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inba00/PycharmProjects/excel_combiner/templates/"/>
    </mc:Choice>
  </mc:AlternateContent>
  <xr:revisionPtr revIDLastSave="0" documentId="13_ncr:1_{09724919-3167-074E-A6B5-B413C6E46607}" xr6:coauthVersionLast="45" xr6:coauthVersionMax="45" xr10:uidLastSave="{00000000-0000-0000-0000-000000000000}"/>
  <bookViews>
    <workbookView xWindow="1680" yWindow="680" windowWidth="27240" windowHeight="16440" xr2:uid="{2EABFD74-CA8D-FE41-B35D-5239AADE8939}"/>
  </bookViews>
  <sheets>
    <sheet name="BS Seg Total" sheetId="1" r:id="rId1"/>
    <sheet name="BS BU Seg CY" sheetId="4" r:id="rId2"/>
    <sheet name="BS BU Seg PY" sheetId="5" r:id="rId3"/>
    <sheet name="BS BU Seg Last Period PY" sheetId="2" r:id="rId4"/>
  </sheets>
  <externalReferences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_Order1" hidden="1">255</definedName>
    <definedName name="Act_Top50_data">'[1]2009 Actual'!$A$509:$E$751</definedName>
    <definedName name="ASD" localSheetId="0">#REF!</definedName>
    <definedName name="ASD">#REF!</definedName>
    <definedName name="DataRange">[2]Sheet1!$A$1:$N$35</definedName>
    <definedName name="deno" localSheetId="0">#REF!</definedName>
    <definedName name="deno">#REF!</definedName>
    <definedName name="Dimensions_T_BoldTypeface" localSheetId="0">#REF!</definedName>
    <definedName name="Dimensions_T_BoldTypeface">#REF!</definedName>
    <definedName name="Dimensions_T_Closed" localSheetId="0">#REF!</definedName>
    <definedName name="Dimensions_T_Closed">#REF!</definedName>
    <definedName name="Dimensions_T_Column" localSheetId="0">#REF!</definedName>
    <definedName name="Dimensions_T_Column">#REF!</definedName>
    <definedName name="Dimensions_T_CompanyGroup" localSheetId="0">#REF!</definedName>
    <definedName name="Dimensions_T_CompanyGroup">#REF!</definedName>
    <definedName name="Dimensions_T_COSBlockAllocation" localSheetId="0">#REF!</definedName>
    <definedName name="Dimensions_T_COSBlockAllocation">#REF!</definedName>
    <definedName name="Dimensions_T_COSBlockDistribution" localSheetId="0">#REF!</definedName>
    <definedName name="Dimensions_T_COSBlockDistribution">#REF!</definedName>
    <definedName name="Dimensions_T_COSBlockPostCost" localSheetId="0">#REF!</definedName>
    <definedName name="Dimensions_T_COSBlockPostCost">#REF!</definedName>
    <definedName name="Dimensions_T_COSBlockPostWork" localSheetId="0">#REF!</definedName>
    <definedName name="Dimensions_T_COSBlockPostWork">#REF!</definedName>
    <definedName name="Dimensions_T_COSValidFrom" localSheetId="0">#REF!</definedName>
    <definedName name="Dimensions_T_COSValidFrom">#REF!</definedName>
    <definedName name="Dimensions_T_COSValidUntil" localSheetId="0">#REF!</definedName>
    <definedName name="Dimensions_T_COSValidUntil">#REF!</definedName>
    <definedName name="Dimensions_T_Description" localSheetId="0">#REF!</definedName>
    <definedName name="Dimensions_T_Description">#REF!</definedName>
    <definedName name="Dimensions_T_DimensionCode" localSheetId="0">#REF!</definedName>
    <definedName name="Dimensions_T_DimensionCode">#REF!</definedName>
    <definedName name="Dimensions_T_InCharge" localSheetId="0">#REF!</definedName>
    <definedName name="Dimensions_T_InCharge">#REF!</definedName>
    <definedName name="Dimensions_T_Italic" localSheetId="0">#REF!</definedName>
    <definedName name="Dimensions_T_Italic">#REF!</definedName>
    <definedName name="Dimensions_T_LineExceed" localSheetId="0">#REF!</definedName>
    <definedName name="Dimensions_T_LineExceed">#REF!</definedName>
    <definedName name="Dimensions_T_LineSub" localSheetId="0">#REF!</definedName>
    <definedName name="Dimensions_T_LineSub">#REF!</definedName>
    <definedName name="Dimensions_T_Num" localSheetId="0">#REF!</definedName>
    <definedName name="Dimensions_T_Num">#REF!</definedName>
    <definedName name="Dimensions_T_ReverseSign" localSheetId="0">#REF!</definedName>
    <definedName name="Dimensions_T_ReverseSign">#REF!</definedName>
    <definedName name="Dimensions_T_UnderlineNumerals" localSheetId="0">#REF!</definedName>
    <definedName name="Dimensions_T_UnderlineNumerals">#REF!</definedName>
    <definedName name="Dimensions_T_UnderLineTxt" localSheetId="0">#REF!</definedName>
    <definedName name="Dimensions_T_UnderLineTxt">#REF!</definedName>
    <definedName name="Enum326">'[3]#Lookup'!$A$2:$A$6</definedName>
    <definedName name="Enum61469">'[3]#Lookup'!$B$2:$B$3</definedName>
    <definedName name="HeaderRange">[2]Sheet1!$A$1:$N$1</definedName>
    <definedName name="LAST_YEAR">'[4]2008 Actual'!$A$2:$BB$502</definedName>
    <definedName name="LYN" localSheetId="0">#REF!</definedName>
    <definedName name="LYN">#REF!</definedName>
    <definedName name="myaccts" localSheetId="0">#REF!</definedName>
    <definedName name="myaccts">#REF!</definedName>
    <definedName name="MyAffiliate" localSheetId="0">#REF!</definedName>
    <definedName name="MyAffiliate">#REF!</definedName>
    <definedName name="NewJournal_Blank_98_A_List" localSheetId="0">#REF!</definedName>
    <definedName name="NewJournal_Blank_98_A_List">#REF!</definedName>
    <definedName name="NvsASD">"V2002-01-31"</definedName>
    <definedName name="NvsAutoDrillOk">"VY"</definedName>
    <definedName name="NvsElapsedTime">0.00182523147668689</definedName>
    <definedName name="NvsEndTime">37292.6721561343</definedName>
    <definedName name="NvsInstLang">"VENG"</definedName>
    <definedName name="NvsInstSpec">"%"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"%,X,RZF.ACCOUNT.,CZF.."</definedName>
    <definedName name="NvsPanelEffdt">"V1900-01-01"</definedName>
    <definedName name="NvsPanelSetid">"VSHARE"</definedName>
    <definedName name="NvsParentRef">'[5]Trial Balance'!$I$46</definedName>
    <definedName name="NvsReqBU">"VGL003"</definedName>
    <definedName name="NvsReqBUOnly">"VY"</definedName>
    <definedName name="NvsTransLed">"VN"</definedName>
    <definedName name="NvsTreeASD">"V2002-01-31"</definedName>
    <definedName name="oops">'[6]Detail GL Accts w.Acct Unit'!$A$3:$C$7038</definedName>
    <definedName name="OSRRefAA100x_0_0" localSheetId="0">'BS Seg Total'!#REF!</definedName>
    <definedName name="OSRRefAA102x_0_0" localSheetId="0">'BS Seg Total'!#REF!</definedName>
    <definedName name="OSRRefAA104x_0_0" localSheetId="0">'BS Seg Total'!#REF!</definedName>
    <definedName name="OSRRefAA106x_0_0" localSheetId="0">'BS Seg Total'!#REF!</definedName>
    <definedName name="OSRRefAA11x_0_0" localSheetId="0">'BS Seg Total'!#REF!</definedName>
    <definedName name="OSRRefAA13x_0_0" localSheetId="0">'BS Seg Total'!#REF!</definedName>
    <definedName name="OSRRefAA15x_0_0" localSheetId="0">'BS Seg Total'!#REF!</definedName>
    <definedName name="OSRRefAA17x_0_0" localSheetId="0">'BS Seg Total'!#REF!</definedName>
    <definedName name="OSRRefAA19x_0_0" localSheetId="0">'BS Seg Total'!#REF!</definedName>
    <definedName name="OSRRefAA21x_0_0" localSheetId="0">'BS Seg Total'!#REF!</definedName>
    <definedName name="OSRRefAA25x_0_0" localSheetId="0">'BS Seg Total'!#REF!</definedName>
    <definedName name="OSRRefAA27x_0_0" localSheetId="0">'BS Seg Total'!#REF!</definedName>
    <definedName name="OSRRefAA29x_0_0" localSheetId="0">'BS Seg Total'!#REF!</definedName>
    <definedName name="OSRRefAA31x_0_0" localSheetId="0">'BS Seg Total'!#REF!</definedName>
    <definedName name="OSRRefAA33x_0_0" localSheetId="0">'BS Seg Total'!#REF!</definedName>
    <definedName name="OSRRefAA38x_0_0" localSheetId="0">'BS Seg Total'!#REF!</definedName>
    <definedName name="OSRRefAA40x_0_0" localSheetId="0">'BS Seg Total'!#REF!</definedName>
    <definedName name="OSRRefAA42x_0_0" localSheetId="0">'BS Seg Total'!#REF!</definedName>
    <definedName name="OSRRefAA44x_0_0" localSheetId="0">'BS Seg Total'!#REF!</definedName>
    <definedName name="OSRRefAA46x_0_0" localSheetId="0">'BS Seg Total'!#REF!</definedName>
    <definedName name="OSRRefAA48x_0_0" localSheetId="0">'BS Seg Total'!#REF!</definedName>
    <definedName name="OSRRefAA50x_0_0" localSheetId="0">'BS Seg Total'!#REF!</definedName>
    <definedName name="OSRRefAA52x_0_0" localSheetId="0">'BS Seg Total'!#REF!</definedName>
    <definedName name="OSRRefAA54x_0_0" localSheetId="0">'BS Seg Total'!#REF!</definedName>
    <definedName name="OSRRefAA58x_0_0" localSheetId="0">'BS Seg Total'!#REF!</definedName>
    <definedName name="OSRRefAA60x_0_0" localSheetId="0">'BS Seg Total'!#REF!</definedName>
    <definedName name="OSRRefAA62x_0_0" localSheetId="0">'BS Seg Total'!#REF!</definedName>
    <definedName name="OSRRefAA64x_0_0" localSheetId="0">'BS Seg Total'!#REF!</definedName>
    <definedName name="OSRRefAA66x_0_0" localSheetId="0">'BS Seg Total'!#REF!</definedName>
    <definedName name="OSRRefAA72x_0_0" localSheetId="0">'BS Seg Total'!#REF!</definedName>
    <definedName name="OSRRefAA74x_0_0" localSheetId="0">'BS Seg Total'!#REF!</definedName>
    <definedName name="OSRRefAA76x_0_0" localSheetId="0">'BS Seg Total'!#REF!</definedName>
    <definedName name="OSRRefAA78x_0_0" localSheetId="0">'BS Seg Total'!#REF!</definedName>
    <definedName name="OSRRefAA80x_0_0" localSheetId="0">'BS Seg Total'!#REF!</definedName>
    <definedName name="OSRRefAA84x_0_0" localSheetId="0">'BS Seg Total'!#REF!</definedName>
    <definedName name="OSRRefAA98x_0_0" localSheetId="0">'BS Seg Total'!#REF!</definedName>
    <definedName name="OSRRefAC100x_0_0" localSheetId="0">'BS Seg Total'!#REF!</definedName>
    <definedName name="OSRRefAC102x_0_0" localSheetId="0">'BS Seg Total'!#REF!</definedName>
    <definedName name="OSRRefAC104x_0_0" localSheetId="0">'BS Seg Total'!#REF!</definedName>
    <definedName name="OSRRefAC106x_0_0" localSheetId="0">'BS Seg Total'!#REF!</definedName>
    <definedName name="OSRRefAC11x_0_0" localSheetId="0">'BS Seg Total'!#REF!</definedName>
    <definedName name="OSRRefAC13x_0_0" localSheetId="0">'BS Seg Total'!#REF!</definedName>
    <definedName name="OSRRefAC15x_0_0" localSheetId="0">'BS Seg Total'!#REF!</definedName>
    <definedName name="OSRRefAC17x_0_0" localSheetId="0">'BS Seg Total'!#REF!</definedName>
    <definedName name="OSRRefAC19x_0_0" localSheetId="0">'BS Seg Total'!#REF!</definedName>
    <definedName name="OSRRefAC21x_0_0" localSheetId="0">'BS Seg Total'!#REF!</definedName>
    <definedName name="OSRRefAC25x_0_0" localSheetId="0">'BS Seg Total'!#REF!</definedName>
    <definedName name="OSRRefAC27x_0_0" localSheetId="0">'BS Seg Total'!#REF!</definedName>
    <definedName name="OSRRefAC29x_0_0" localSheetId="0">'BS Seg Total'!#REF!</definedName>
    <definedName name="OSRRefAC31x_0_0" localSheetId="0">'BS Seg Total'!#REF!</definedName>
    <definedName name="OSRRefAC33x_0_0" localSheetId="0">'BS Seg Total'!#REF!</definedName>
    <definedName name="OSRRefAC38x_0_0" localSheetId="0">'BS Seg Total'!#REF!</definedName>
    <definedName name="OSRRefAC40x_0_0" localSheetId="0">'BS Seg Total'!#REF!</definedName>
    <definedName name="OSRRefAC42x_0_0" localSheetId="0">'BS Seg Total'!#REF!</definedName>
    <definedName name="OSRRefAC44x_0_0" localSheetId="0">'BS Seg Total'!#REF!</definedName>
    <definedName name="OSRRefAC46x_0_0" localSheetId="0">'BS Seg Total'!#REF!</definedName>
    <definedName name="OSRRefAC48x_0_0" localSheetId="0">'BS Seg Total'!#REF!</definedName>
    <definedName name="OSRRefAC50x_0_0" localSheetId="0">'BS Seg Total'!#REF!</definedName>
    <definedName name="OSRRefAC52x_0_0" localSheetId="0">'BS Seg Total'!#REF!</definedName>
    <definedName name="OSRRefAC54x_0_0" localSheetId="0">'BS Seg Total'!#REF!</definedName>
    <definedName name="OSRRefAC58x_0_0" localSheetId="0">'BS Seg Total'!#REF!</definedName>
    <definedName name="OSRRefAC60x_0_0" localSheetId="0">'BS Seg Total'!#REF!</definedName>
    <definedName name="OSRRefAC62x_0_0" localSheetId="0">'BS Seg Total'!#REF!</definedName>
    <definedName name="OSRRefAC64x_0_0" localSheetId="0">'BS Seg Total'!#REF!</definedName>
    <definedName name="OSRRefAC66x_0_0" localSheetId="0">'BS Seg Total'!#REF!</definedName>
    <definedName name="OSRRefAC72x_0_0" localSheetId="0">'BS Seg Total'!#REF!</definedName>
    <definedName name="OSRRefAC74x_0_0" localSheetId="0">'BS Seg Total'!#REF!</definedName>
    <definedName name="OSRRefAC76x_0_0" localSheetId="0">'BS Seg Total'!#REF!</definedName>
    <definedName name="OSRRefAC78x_0_0" localSheetId="0">'BS Seg Total'!#REF!</definedName>
    <definedName name="OSRRefAC80x_0_0" localSheetId="0">'BS Seg Total'!#REF!</definedName>
    <definedName name="OSRRefAC84x_0_0" localSheetId="0">'BS Seg Total'!#REF!</definedName>
    <definedName name="OSRRefAC98x_0_0" localSheetId="0">'BS Seg Total'!#REF!</definedName>
    <definedName name="OSRRefAD100x_0_0" localSheetId="0">'BS Seg Total'!#REF!</definedName>
    <definedName name="OSRRefAD102x_0_0" localSheetId="0">'BS Seg Total'!#REF!</definedName>
    <definedName name="OSRRefAD104x_0_0" localSheetId="0">'BS Seg Total'!#REF!</definedName>
    <definedName name="OSRRefAD106x_0_0" localSheetId="0">'BS Seg Total'!#REF!</definedName>
    <definedName name="OSRRefAD11x_0_0" localSheetId="0">'BS Seg Total'!#REF!</definedName>
    <definedName name="OSRRefAD13x_0_0" localSheetId="0">'BS Seg Total'!#REF!</definedName>
    <definedName name="OSRRefAD15x_0_0" localSheetId="0">'BS Seg Total'!#REF!</definedName>
    <definedName name="OSRRefAD17x_0_0" localSheetId="0">'BS Seg Total'!#REF!</definedName>
    <definedName name="OSRRefAD19x_0_0" localSheetId="0">'BS Seg Total'!#REF!</definedName>
    <definedName name="OSRRefAD21x_0_0" localSheetId="0">'BS Seg Total'!#REF!</definedName>
    <definedName name="OSRRefAD25x_0_0" localSheetId="0">'BS Seg Total'!#REF!</definedName>
    <definedName name="OSRRefAD27x_0_0" localSheetId="0">'BS Seg Total'!#REF!</definedName>
    <definedName name="OSRRefAD29x_0_0" localSheetId="0">'BS Seg Total'!#REF!</definedName>
    <definedName name="OSRRefAD31x_0_0" localSheetId="0">'BS Seg Total'!#REF!</definedName>
    <definedName name="OSRRefAD33x_0_0" localSheetId="0">'BS Seg Total'!#REF!</definedName>
    <definedName name="OSRRefAD38x_0_0" localSheetId="0">'BS Seg Total'!#REF!</definedName>
    <definedName name="OSRRefAD40x_0_0" localSheetId="0">'BS Seg Total'!#REF!</definedName>
    <definedName name="OSRRefAD42x_0_0" localSheetId="0">'BS Seg Total'!#REF!</definedName>
    <definedName name="OSRRefAD44x_0_0" localSheetId="0">'BS Seg Total'!#REF!</definedName>
    <definedName name="OSRRefAD46x_0_0" localSheetId="0">'BS Seg Total'!#REF!</definedName>
    <definedName name="OSRRefAD48x_0_0" localSheetId="0">'BS Seg Total'!#REF!</definedName>
    <definedName name="OSRRefAD50x_0_0" localSheetId="0">'BS Seg Total'!#REF!</definedName>
    <definedName name="OSRRefAD52x_0_0" localSheetId="0">'BS Seg Total'!#REF!</definedName>
    <definedName name="OSRRefAD54x_0_0" localSheetId="0">'BS Seg Total'!#REF!</definedName>
    <definedName name="OSRRefAD58x_0_0" localSheetId="0">'BS Seg Total'!#REF!</definedName>
    <definedName name="OSRRefAD60x_0_0" localSheetId="0">'BS Seg Total'!#REF!</definedName>
    <definedName name="OSRRefAD62x_0_0" localSheetId="0">'BS Seg Total'!#REF!</definedName>
    <definedName name="OSRRefAD64x_0_0" localSheetId="0">'BS Seg Total'!#REF!</definedName>
    <definedName name="OSRRefAD66x_0_0" localSheetId="0">'BS Seg Total'!#REF!</definedName>
    <definedName name="OSRRefAD72x_0_0" localSheetId="0">'BS Seg Total'!#REF!</definedName>
    <definedName name="OSRRefAD74x_0_0" localSheetId="0">'BS Seg Total'!#REF!</definedName>
    <definedName name="OSRRefAD76x_0_0" localSheetId="0">'BS Seg Total'!#REF!</definedName>
    <definedName name="OSRRefAD78x_0_0" localSheetId="0">'BS Seg Total'!#REF!</definedName>
    <definedName name="OSRRefAD80x_0_0" localSheetId="0">'BS Seg Total'!#REF!</definedName>
    <definedName name="OSRRefAD84x_0_0" localSheetId="0">'BS Seg Total'!#REF!</definedName>
    <definedName name="OSRRefAD98x_0_0" localSheetId="0">'BS Seg Total'!#REF!</definedName>
    <definedName name="OSRRefAF100x_0_0" localSheetId="0">'BS Seg Total'!#REF!</definedName>
    <definedName name="OSRRefAF102x_0_0" localSheetId="0">'BS Seg Total'!#REF!</definedName>
    <definedName name="OSRRefAF104x_0_0" localSheetId="0">'BS Seg Total'!#REF!</definedName>
    <definedName name="OSRRefAF106x_0_0" localSheetId="0">'BS Seg Total'!#REF!</definedName>
    <definedName name="OSRRefAF11x_0_0" localSheetId="0">'BS Seg Total'!#REF!</definedName>
    <definedName name="OSRRefAF13x_0_0" localSheetId="0">'BS Seg Total'!#REF!</definedName>
    <definedName name="OSRRefAF15x_0_0" localSheetId="0">'BS Seg Total'!#REF!</definedName>
    <definedName name="OSRRefAF17x_0_0" localSheetId="0">'BS Seg Total'!#REF!</definedName>
    <definedName name="OSRRefAF19x_0_0" localSheetId="0">'BS Seg Total'!#REF!</definedName>
    <definedName name="OSRRefAF21x_0_0" localSheetId="0">'BS Seg Total'!#REF!</definedName>
    <definedName name="OSRRefAF25x_0_0" localSheetId="0">'BS Seg Total'!#REF!</definedName>
    <definedName name="OSRRefAF27x_0_0" localSheetId="0">'BS Seg Total'!#REF!</definedName>
    <definedName name="OSRRefAF29x_0_0" localSheetId="0">'BS Seg Total'!#REF!</definedName>
    <definedName name="OSRRefAF31x_0_0" localSheetId="0">'BS Seg Total'!#REF!</definedName>
    <definedName name="OSRRefAF33x_0_0" localSheetId="0">'BS Seg Total'!#REF!</definedName>
    <definedName name="OSRRefAF38x_0_0" localSheetId="0">'BS Seg Total'!#REF!</definedName>
    <definedName name="OSRRefAF40x_0_0" localSheetId="0">'BS Seg Total'!#REF!</definedName>
    <definedName name="OSRRefAF42x_0_0" localSheetId="0">'BS Seg Total'!#REF!</definedName>
    <definedName name="OSRRefAF44x_0_0" localSheetId="0">'BS Seg Total'!#REF!</definedName>
    <definedName name="OSRRefAF46x_0_0" localSheetId="0">'BS Seg Total'!#REF!</definedName>
    <definedName name="OSRRefAF48x_0_0" localSheetId="0">'BS Seg Total'!#REF!</definedName>
    <definedName name="OSRRefAF50x_0_0" localSheetId="0">'BS Seg Total'!#REF!</definedName>
    <definedName name="OSRRefAF52x_0_0" localSheetId="0">'BS Seg Total'!#REF!</definedName>
    <definedName name="OSRRefAF54x_0_0" localSheetId="0">'BS Seg Total'!#REF!</definedName>
    <definedName name="OSRRefAF58x_0_0" localSheetId="0">'BS Seg Total'!#REF!</definedName>
    <definedName name="OSRRefAF60x_0_0" localSheetId="0">'BS Seg Total'!#REF!</definedName>
    <definedName name="OSRRefAF62x_0_0" localSheetId="0">'BS Seg Total'!#REF!</definedName>
    <definedName name="OSRRefAF64x_0_0" localSheetId="0">'BS Seg Total'!#REF!</definedName>
    <definedName name="OSRRefAF66x_0_0" localSheetId="0">'BS Seg Total'!#REF!</definedName>
    <definedName name="OSRRefAF72x_0_0" localSheetId="0">'BS Seg Total'!#REF!</definedName>
    <definedName name="OSRRefAF74x_0_0" localSheetId="0">'BS Seg Total'!#REF!</definedName>
    <definedName name="OSRRefAF76x_0_0" localSheetId="0">'BS Seg Total'!#REF!</definedName>
    <definedName name="OSRRefAF78x_0_0" localSheetId="0">'BS Seg Total'!#REF!</definedName>
    <definedName name="OSRRefAF80x_0_0" localSheetId="0">'BS Seg Total'!#REF!</definedName>
    <definedName name="OSRRefAF84x_0_0" localSheetId="0">'BS Seg Total'!#REF!</definedName>
    <definedName name="OSRRefAF98x_0_0" localSheetId="0">'BS Seg Total'!#REF!</definedName>
    <definedName name="OSRRefAG100x_0_0" localSheetId="0">'BS Seg Total'!#REF!</definedName>
    <definedName name="OSRRefAG102x_0_0" localSheetId="0">'BS Seg Total'!#REF!</definedName>
    <definedName name="OSRRefAG104x_0_0" localSheetId="0">'BS Seg Total'!#REF!</definedName>
    <definedName name="OSRRefAG106x_0_0" localSheetId="0">'BS Seg Total'!#REF!</definedName>
    <definedName name="OSRRefAG11x_0_0" localSheetId="0">'BS Seg Total'!#REF!</definedName>
    <definedName name="OSRRefAG13x_0_0" localSheetId="0">'BS Seg Total'!#REF!</definedName>
    <definedName name="OSRRefAG15x_0_0" localSheetId="0">'BS Seg Total'!#REF!</definedName>
    <definedName name="OSRRefAG17x_0_0" localSheetId="0">'BS Seg Total'!#REF!</definedName>
    <definedName name="OSRRefAG19x_0_0" localSheetId="0">'BS Seg Total'!#REF!</definedName>
    <definedName name="OSRRefAG21x_0_0" localSheetId="0">'BS Seg Total'!#REF!</definedName>
    <definedName name="OSRRefAG25x_0_0" localSheetId="0">'BS Seg Total'!#REF!</definedName>
    <definedName name="OSRRefAG27x_0_0" localSheetId="0">'BS Seg Total'!#REF!</definedName>
    <definedName name="OSRRefAG29x_0_0" localSheetId="0">'BS Seg Total'!#REF!</definedName>
    <definedName name="OSRRefAG31x_0_0" localSheetId="0">'BS Seg Total'!#REF!</definedName>
    <definedName name="OSRRefAG33x_0_0" localSheetId="0">'BS Seg Total'!#REF!</definedName>
    <definedName name="OSRRefAG38x_0_0" localSheetId="0">'BS Seg Total'!#REF!</definedName>
    <definedName name="OSRRefAG40x_0_0" localSheetId="0">'BS Seg Total'!#REF!</definedName>
    <definedName name="OSRRefAG42x_0_0" localSheetId="0">'BS Seg Total'!#REF!</definedName>
    <definedName name="OSRRefAG44x_0_0" localSheetId="0">'BS Seg Total'!#REF!</definedName>
    <definedName name="OSRRefAG46x_0_0" localSheetId="0">'BS Seg Total'!#REF!</definedName>
    <definedName name="OSRRefAG48x_0_0" localSheetId="0">'BS Seg Total'!#REF!</definedName>
    <definedName name="OSRRefAG50x_0_0" localSheetId="0">'BS Seg Total'!#REF!</definedName>
    <definedName name="OSRRefAG52x_0_0" localSheetId="0">'BS Seg Total'!#REF!</definedName>
    <definedName name="OSRRefAG54x_0_0" localSheetId="0">'BS Seg Total'!#REF!</definedName>
    <definedName name="OSRRefAG58x_0_0" localSheetId="0">'BS Seg Total'!#REF!</definedName>
    <definedName name="OSRRefAG60x_0_0" localSheetId="0">'BS Seg Total'!#REF!</definedName>
    <definedName name="OSRRefAG62x_0_0" localSheetId="0">'BS Seg Total'!#REF!</definedName>
    <definedName name="OSRRefAG64x_0_0" localSheetId="0">'BS Seg Total'!#REF!</definedName>
    <definedName name="OSRRefAG66x_0_0" localSheetId="0">'BS Seg Total'!#REF!</definedName>
    <definedName name="OSRRefAG72x_0_0" localSheetId="0">'BS Seg Total'!#REF!</definedName>
    <definedName name="OSRRefAG74x_0_0" localSheetId="0">'BS Seg Total'!#REF!</definedName>
    <definedName name="OSRRefAG76x_0_0" localSheetId="0">'BS Seg Total'!#REF!</definedName>
    <definedName name="OSRRefAG78x_0_0" localSheetId="0">'BS Seg Total'!#REF!</definedName>
    <definedName name="OSRRefAG80x_0_0" localSheetId="0">'BS Seg Total'!#REF!</definedName>
    <definedName name="OSRRefAG84x_0_0" localSheetId="0">'BS Seg Total'!#REF!</definedName>
    <definedName name="OSRRefAG98x_0_0" localSheetId="0">'BS Seg Total'!#REF!</definedName>
    <definedName name="OSRRefAH100x_0_0" localSheetId="0">'BS Seg Total'!#REF!</definedName>
    <definedName name="OSRRefAH102x_0_0" localSheetId="0">'BS Seg Total'!#REF!</definedName>
    <definedName name="OSRRefAH104x_0_0" localSheetId="0">'BS Seg Total'!#REF!</definedName>
    <definedName name="OSRRefAH106x_0_0" localSheetId="0">'BS Seg Total'!#REF!</definedName>
    <definedName name="OSRRefAH11x_0_0" localSheetId="0">'BS Seg Total'!#REF!</definedName>
    <definedName name="OSRRefAH13x_0_0" localSheetId="0">'BS Seg Total'!#REF!</definedName>
    <definedName name="OSRRefAH15x_0_0" localSheetId="0">'BS Seg Total'!#REF!</definedName>
    <definedName name="OSRRefAH17x_0_0" localSheetId="0">'BS Seg Total'!#REF!</definedName>
    <definedName name="OSRRefAH19x_0_0" localSheetId="0">'BS Seg Total'!#REF!</definedName>
    <definedName name="OSRRefAH21x_0_0" localSheetId="0">'BS Seg Total'!#REF!</definedName>
    <definedName name="OSRRefAH25x_0_0" localSheetId="0">'BS Seg Total'!#REF!</definedName>
    <definedName name="OSRRefAH27x_0_0" localSheetId="0">'BS Seg Total'!#REF!</definedName>
    <definedName name="OSRRefAH29x_0_0" localSheetId="0">'BS Seg Total'!#REF!</definedName>
    <definedName name="OSRRefAH31x_0_0" localSheetId="0">'BS Seg Total'!#REF!</definedName>
    <definedName name="OSRRefAH33x_0_0" localSheetId="0">'BS Seg Total'!#REF!</definedName>
    <definedName name="OSRRefAH38x_0_0" localSheetId="0">'BS Seg Total'!#REF!</definedName>
    <definedName name="OSRRefAH40x_0_0" localSheetId="0">'BS Seg Total'!#REF!</definedName>
    <definedName name="OSRRefAH42x_0_0" localSheetId="0">'BS Seg Total'!#REF!</definedName>
    <definedName name="OSRRefAH44x_0_0" localSheetId="0">'BS Seg Total'!#REF!</definedName>
    <definedName name="OSRRefAH46x_0_0" localSheetId="0">'BS Seg Total'!#REF!</definedName>
    <definedName name="OSRRefAH48x_0_0" localSheetId="0">'BS Seg Total'!#REF!</definedName>
    <definedName name="OSRRefAH50x_0_0" localSheetId="0">'BS Seg Total'!#REF!</definedName>
    <definedName name="OSRRefAH52x_0_0" localSheetId="0">'BS Seg Total'!#REF!</definedName>
    <definedName name="OSRRefAH54x_0_0" localSheetId="0">'BS Seg Total'!#REF!</definedName>
    <definedName name="OSRRefAH58x_0_0" localSheetId="0">'BS Seg Total'!#REF!</definedName>
    <definedName name="OSRRefAH60x_0_0" localSheetId="0">'BS Seg Total'!#REF!</definedName>
    <definedName name="OSRRefAH62x_0_0" localSheetId="0">'BS Seg Total'!#REF!</definedName>
    <definedName name="OSRRefAH64x_0_0" localSheetId="0">'BS Seg Total'!#REF!</definedName>
    <definedName name="OSRRefAH66x_0_0" localSheetId="0">'BS Seg Total'!#REF!</definedName>
    <definedName name="OSRRefAH72x_0_0" localSheetId="0">'BS Seg Total'!#REF!</definedName>
    <definedName name="OSRRefAH74x_0_0" localSheetId="0">'BS Seg Total'!#REF!</definedName>
    <definedName name="OSRRefAH76x_0_0" localSheetId="0">'BS Seg Total'!#REF!</definedName>
    <definedName name="OSRRefAH78x_0_0" localSheetId="0">'BS Seg Total'!#REF!</definedName>
    <definedName name="OSRRefAH80x_0_0" localSheetId="0">'BS Seg Total'!#REF!</definedName>
    <definedName name="OSRRefAH84x_0_0" localSheetId="0">'BS Seg Total'!#REF!</definedName>
    <definedName name="OSRRefAH98x_0_0" localSheetId="0">'BS Seg Total'!#REF!</definedName>
    <definedName name="OSRRefAJ100x_0_0" localSheetId="0">'BS Seg Total'!#REF!</definedName>
    <definedName name="OSRRefAJ102x_0_0" localSheetId="0">'BS Seg Total'!#REF!</definedName>
    <definedName name="OSRRefAJ104x_0_0" localSheetId="0">'BS Seg Total'!#REF!</definedName>
    <definedName name="OSRRefAJ106x_0_0" localSheetId="0">'BS Seg Total'!#REF!</definedName>
    <definedName name="OSRRefAJ11x_0_0" localSheetId="0">'BS Seg Total'!#REF!</definedName>
    <definedName name="OSRRefAJ13x_0_0" localSheetId="0">'BS Seg Total'!#REF!</definedName>
    <definedName name="OSRRefAJ15x_0_0" localSheetId="0">'BS Seg Total'!#REF!</definedName>
    <definedName name="OSRRefAJ17x_0_0" localSheetId="0">'BS Seg Total'!#REF!</definedName>
    <definedName name="OSRRefAJ19x_0_0" localSheetId="0">'BS Seg Total'!#REF!</definedName>
    <definedName name="OSRRefAJ21x_0_0" localSheetId="0">'BS Seg Total'!#REF!</definedName>
    <definedName name="OSRRefAJ25x_0_0" localSheetId="0">'BS Seg Total'!#REF!</definedName>
    <definedName name="OSRRefAJ27x_0_0" localSheetId="0">'BS Seg Total'!#REF!</definedName>
    <definedName name="OSRRefAJ29x_0_0" localSheetId="0">'BS Seg Total'!#REF!</definedName>
    <definedName name="OSRRefAJ31x_0_0" localSheetId="0">'BS Seg Total'!#REF!</definedName>
    <definedName name="OSRRefAJ33x_0_0" localSheetId="0">'BS Seg Total'!#REF!</definedName>
    <definedName name="OSRRefAJ38x_0_0" localSheetId="0">'BS Seg Total'!#REF!</definedName>
    <definedName name="OSRRefAJ40x_0_0" localSheetId="0">'BS Seg Total'!#REF!</definedName>
    <definedName name="OSRRefAJ42x_0_0" localSheetId="0">'BS Seg Total'!#REF!</definedName>
    <definedName name="OSRRefAJ44x_0_0" localSheetId="0">'BS Seg Total'!#REF!</definedName>
    <definedName name="OSRRefAJ46x_0_0" localSheetId="0">'BS Seg Total'!#REF!</definedName>
    <definedName name="OSRRefAJ48x_0_0" localSheetId="0">'BS Seg Total'!#REF!</definedName>
    <definedName name="OSRRefAJ50x_0_0" localSheetId="0">'BS Seg Total'!#REF!</definedName>
    <definedName name="OSRRefAJ52x_0_0" localSheetId="0">'BS Seg Total'!#REF!</definedName>
    <definedName name="OSRRefAJ54x_0_0" localSheetId="0">'BS Seg Total'!#REF!</definedName>
    <definedName name="OSRRefAJ58x_0_0" localSheetId="0">'BS Seg Total'!#REF!</definedName>
    <definedName name="OSRRefAJ60x_0_0" localSheetId="0">'BS Seg Total'!#REF!</definedName>
    <definedName name="OSRRefAJ62x_0_0" localSheetId="0">'BS Seg Total'!#REF!</definedName>
    <definedName name="OSRRefAJ64x_0_0" localSheetId="0">'BS Seg Total'!#REF!</definedName>
    <definedName name="OSRRefAJ66x_0_0" localSheetId="0">'BS Seg Total'!#REF!</definedName>
    <definedName name="OSRRefAJ72x_0_0" localSheetId="0">'BS Seg Total'!#REF!</definedName>
    <definedName name="OSRRefAJ74x_0_0" localSheetId="0">'BS Seg Total'!#REF!</definedName>
    <definedName name="OSRRefAJ76x_0_0" localSheetId="0">'BS Seg Total'!#REF!</definedName>
    <definedName name="OSRRefAJ78x_0_0" localSheetId="0">'BS Seg Total'!#REF!</definedName>
    <definedName name="OSRRefAJ80x_0_0" localSheetId="0">'BS Seg Total'!#REF!</definedName>
    <definedName name="OSRRefAJ84x_0_0" localSheetId="0">'BS Seg Total'!#REF!</definedName>
    <definedName name="OSRRefAJ98x_0_0" localSheetId="0">'BS Seg Total'!#REF!</definedName>
    <definedName name="OSRRefAQ100x_0_0" localSheetId="0">'BS Seg Total'!#REF!</definedName>
    <definedName name="OSRRefAQ102x_0_0" localSheetId="0">'BS Seg Total'!#REF!</definedName>
    <definedName name="OSRRefAQ104x_0_0" localSheetId="0">'BS Seg Total'!#REF!</definedName>
    <definedName name="OSRRefAQ106x_0_0" localSheetId="0">'BS Seg Total'!#REF!</definedName>
    <definedName name="OSRRefAQ11x_0_0" localSheetId="0">'BS Seg Total'!#REF!</definedName>
    <definedName name="OSRRefAQ13x_0_0" localSheetId="0">'BS Seg Total'!#REF!</definedName>
    <definedName name="OSRRefAQ15x_0_0" localSheetId="0">'BS Seg Total'!#REF!</definedName>
    <definedName name="OSRRefAQ17x_0_0" localSheetId="0">'BS Seg Total'!#REF!</definedName>
    <definedName name="OSRRefAQ19x_0_0" localSheetId="0">'BS Seg Total'!#REF!</definedName>
    <definedName name="OSRRefAQ21x_0_0" localSheetId="0">'BS Seg Total'!#REF!</definedName>
    <definedName name="OSRRefAQ25x_0_0" localSheetId="0">'BS Seg Total'!#REF!</definedName>
    <definedName name="OSRRefAQ27x_0_0" localSheetId="0">'BS Seg Total'!#REF!</definedName>
    <definedName name="OSRRefAQ29x_0_0" localSheetId="0">'BS Seg Total'!#REF!</definedName>
    <definedName name="OSRRefAQ31x_0_0" localSheetId="0">'BS Seg Total'!#REF!</definedName>
    <definedName name="OSRRefAQ33x_0_0" localSheetId="0">'BS Seg Total'!#REF!</definedName>
    <definedName name="OSRRefAQ38x_0_0" localSheetId="0">'BS Seg Total'!#REF!</definedName>
    <definedName name="OSRRefAQ40x_0_0" localSheetId="0">'BS Seg Total'!#REF!</definedName>
    <definedName name="OSRRefAQ42x_0_0" localSheetId="0">'BS Seg Total'!#REF!</definedName>
    <definedName name="OSRRefAQ44x_0_0" localSheetId="0">'BS Seg Total'!#REF!</definedName>
    <definedName name="OSRRefAQ46x_0_0" localSheetId="0">'BS Seg Total'!#REF!</definedName>
    <definedName name="OSRRefAQ48x_0_0" localSheetId="0">'BS Seg Total'!#REF!</definedName>
    <definedName name="OSRRefAQ50x_0_0" localSheetId="0">'BS Seg Total'!#REF!</definedName>
    <definedName name="OSRRefAQ52x_0_0" localSheetId="0">'BS Seg Total'!#REF!</definedName>
    <definedName name="OSRRefAQ54x_0_0" localSheetId="0">'BS Seg Total'!#REF!</definedName>
    <definedName name="OSRRefAQ58x_0_0" localSheetId="0">'BS Seg Total'!#REF!</definedName>
    <definedName name="OSRRefAQ60x_0_0" localSheetId="0">'BS Seg Total'!#REF!</definedName>
    <definedName name="OSRRefAQ62x_0_0" localSheetId="0">'BS Seg Total'!#REF!</definedName>
    <definedName name="OSRRefAQ64x_0_0" localSheetId="0">'BS Seg Total'!#REF!</definedName>
    <definedName name="OSRRefAQ66x_0_0" localSheetId="0">'BS Seg Total'!#REF!</definedName>
    <definedName name="OSRRefAQ72x_0_0" localSheetId="0">'BS Seg Total'!#REF!</definedName>
    <definedName name="OSRRefAQ74x_0_0" localSheetId="0">'BS Seg Total'!#REF!</definedName>
    <definedName name="OSRRefAQ76x_0_0" localSheetId="0">'BS Seg Total'!#REF!</definedName>
    <definedName name="OSRRefAQ78x_0_0" localSheetId="0">'BS Seg Total'!#REF!</definedName>
    <definedName name="OSRRefAQ80x_0_0" localSheetId="0">'BS Seg Total'!#REF!</definedName>
    <definedName name="OSRRefAQ84x_0_0" localSheetId="0">'BS Seg Total'!#REF!</definedName>
    <definedName name="OSRRefAQ98x_0_0" localSheetId="0">'BS Seg Total'!#REF!</definedName>
    <definedName name="OSRRefAR100x_0_0" localSheetId="0">'BS Seg Total'!#REF!</definedName>
    <definedName name="OSRRefAR102x_0_0" localSheetId="0">'BS Seg Total'!#REF!</definedName>
    <definedName name="OSRRefAR104x_0_0" localSheetId="0">'BS Seg Total'!#REF!</definedName>
    <definedName name="OSRRefAR106x_0_0" localSheetId="0">'BS Seg Total'!#REF!</definedName>
    <definedName name="OSRRefAR11x_0_0" localSheetId="0">'BS Seg Total'!#REF!</definedName>
    <definedName name="OSRRefAR13x_0_0" localSheetId="0">'BS Seg Total'!#REF!</definedName>
    <definedName name="OSRRefAR15x_0_0" localSheetId="0">'BS Seg Total'!#REF!</definedName>
    <definedName name="OSRRefAR17x_0_0" localSheetId="0">'BS Seg Total'!#REF!</definedName>
    <definedName name="OSRRefAR19x_0_0" localSheetId="0">'BS Seg Total'!#REF!</definedName>
    <definedName name="OSRRefAR21x_0_0" localSheetId="0">'BS Seg Total'!#REF!</definedName>
    <definedName name="OSRRefAR25x_0_0" localSheetId="0">'BS Seg Total'!#REF!</definedName>
    <definedName name="OSRRefAR27x_0_0" localSheetId="0">'BS Seg Total'!#REF!</definedName>
    <definedName name="OSRRefAR29x_0_0" localSheetId="0">'BS Seg Total'!#REF!</definedName>
    <definedName name="OSRRefAR31x_0_0" localSheetId="0">'BS Seg Total'!#REF!</definedName>
    <definedName name="OSRRefAR33x_0_0" localSheetId="0">'BS Seg Total'!#REF!</definedName>
    <definedName name="OSRRefAR38x_0_0" localSheetId="0">'BS Seg Total'!#REF!</definedName>
    <definedName name="OSRRefAR40x_0_0" localSheetId="0">'BS Seg Total'!#REF!</definedName>
    <definedName name="OSRRefAR42x_0_0" localSheetId="0">'BS Seg Total'!#REF!</definedName>
    <definedName name="OSRRefAR44x_0_0" localSheetId="0">'BS Seg Total'!#REF!</definedName>
    <definedName name="OSRRefAR46x_0_0" localSheetId="0">'BS Seg Total'!#REF!</definedName>
    <definedName name="OSRRefAR48x_0_0" localSheetId="0">'BS Seg Total'!#REF!</definedName>
    <definedName name="OSRRefAR50x_0_0" localSheetId="0">'BS Seg Total'!#REF!</definedName>
    <definedName name="OSRRefAR52x_0_0" localSheetId="0">'BS Seg Total'!#REF!</definedName>
    <definedName name="OSRRefAR54x_0_0" localSheetId="0">'BS Seg Total'!#REF!</definedName>
    <definedName name="OSRRefAR58x_0_0" localSheetId="0">'BS Seg Total'!#REF!</definedName>
    <definedName name="OSRRefAR60x_0_0" localSheetId="0">'BS Seg Total'!#REF!</definedName>
    <definedName name="OSRRefAR62x_0_0" localSheetId="0">'BS Seg Total'!#REF!</definedName>
    <definedName name="OSRRefAR64x_0_0" localSheetId="0">'BS Seg Total'!#REF!</definedName>
    <definedName name="OSRRefAR66x_0_0" localSheetId="0">'BS Seg Total'!#REF!</definedName>
    <definedName name="OSRRefAR72x_0_0" localSheetId="0">'BS Seg Total'!#REF!</definedName>
    <definedName name="OSRRefAR74x_0_0" localSheetId="0">'BS Seg Total'!#REF!</definedName>
    <definedName name="OSRRefAR76x_0_0" localSheetId="0">'BS Seg Total'!#REF!</definedName>
    <definedName name="OSRRefAR78x_0_0" localSheetId="0">'BS Seg Total'!#REF!</definedName>
    <definedName name="OSRRefAR80x_0_0" localSheetId="0">'BS Seg Total'!#REF!</definedName>
    <definedName name="OSRRefAR84x_0_0" localSheetId="0">'BS Seg Total'!#REF!</definedName>
    <definedName name="OSRRefAR98x_0_0" localSheetId="0">'BS Seg Total'!#REF!</definedName>
    <definedName name="OSRRefAT100x_0_0" localSheetId="0">'BS Seg Total'!#REF!</definedName>
    <definedName name="OSRRefAT102x_0_0" localSheetId="0">'BS Seg Total'!#REF!</definedName>
    <definedName name="OSRRefAT104x_0_0" localSheetId="0">'BS Seg Total'!#REF!</definedName>
    <definedName name="OSRRefAT106x_0_0" localSheetId="0">'BS Seg Total'!#REF!</definedName>
    <definedName name="OSRRefAT11x_0_0" localSheetId="0">'BS Seg Total'!#REF!</definedName>
    <definedName name="OSRRefAT13x_0_0" localSheetId="0">'BS Seg Total'!#REF!</definedName>
    <definedName name="OSRRefAT15x_0_0" localSheetId="0">'BS Seg Total'!#REF!</definedName>
    <definedName name="OSRRefAT17x_0_0" localSheetId="0">'BS Seg Total'!#REF!</definedName>
    <definedName name="OSRRefAT19x_0_0" localSheetId="0">'BS Seg Total'!#REF!</definedName>
    <definedName name="OSRRefAT21x_0_0" localSheetId="0">'BS Seg Total'!#REF!</definedName>
    <definedName name="OSRRefAT25x_0_0" localSheetId="0">'BS Seg Total'!#REF!</definedName>
    <definedName name="OSRRefAT27x_0_0" localSheetId="0">'BS Seg Total'!#REF!</definedName>
    <definedName name="OSRRefAT29x_0_0" localSheetId="0">'BS Seg Total'!#REF!</definedName>
    <definedName name="OSRRefAT31x_0_0" localSheetId="0">'BS Seg Total'!#REF!</definedName>
    <definedName name="OSRRefAT33x_0_0" localSheetId="0">'BS Seg Total'!#REF!</definedName>
    <definedName name="OSRRefAT38x_0_0" localSheetId="0">'BS Seg Total'!#REF!</definedName>
    <definedName name="OSRRefAT40x_0_0" localSheetId="0">'BS Seg Total'!#REF!</definedName>
    <definedName name="OSRRefAT42x_0_0" localSheetId="0">'BS Seg Total'!#REF!</definedName>
    <definedName name="OSRRefAT44x_0_0" localSheetId="0">'BS Seg Total'!#REF!</definedName>
    <definedName name="OSRRefAT46x_0_0" localSheetId="0">'BS Seg Total'!#REF!</definedName>
    <definedName name="OSRRefAT48x_0_0" localSheetId="0">'BS Seg Total'!#REF!</definedName>
    <definedName name="OSRRefAT50x_0_0" localSheetId="0">'BS Seg Total'!#REF!</definedName>
    <definedName name="OSRRefAT52x_0_0" localSheetId="0">'BS Seg Total'!#REF!</definedName>
    <definedName name="OSRRefAT54x_0_0" localSheetId="0">'BS Seg Total'!#REF!</definedName>
    <definedName name="OSRRefAT58x_0_0" localSheetId="0">'BS Seg Total'!#REF!</definedName>
    <definedName name="OSRRefAT60x_0_0" localSheetId="0">'BS Seg Total'!#REF!</definedName>
    <definedName name="OSRRefAT62x_0_0" localSheetId="0">'BS Seg Total'!#REF!</definedName>
    <definedName name="OSRRefAT64x_0_0" localSheetId="0">'BS Seg Total'!#REF!</definedName>
    <definedName name="OSRRefAT66x_0_0" localSheetId="0">'BS Seg Total'!#REF!</definedName>
    <definedName name="OSRRefAT72x_0_0" localSheetId="0">'BS Seg Total'!#REF!</definedName>
    <definedName name="OSRRefAT74x_0_0" localSheetId="0">'BS Seg Total'!#REF!</definedName>
    <definedName name="OSRRefAT76x_0_0" localSheetId="0">'BS Seg Total'!#REF!</definedName>
    <definedName name="OSRRefAT78x_0_0" localSheetId="0">'BS Seg Total'!#REF!</definedName>
    <definedName name="OSRRefAT80x_0_0" localSheetId="0">'BS Seg Total'!#REF!</definedName>
    <definedName name="OSRRefAT84x_0_0" localSheetId="0">'BS Seg Total'!#REF!</definedName>
    <definedName name="OSRRefAT98x_0_0" localSheetId="0">'BS Seg Total'!#REF!</definedName>
    <definedName name="OSRRefAU100x_0_0" localSheetId="0">'BS Seg Total'!#REF!</definedName>
    <definedName name="OSRRefAU102x_0_0" localSheetId="0">'BS Seg Total'!#REF!</definedName>
    <definedName name="OSRRefAU104x_0_0" localSheetId="0">'BS Seg Total'!#REF!</definedName>
    <definedName name="OSRRefAU106x_0_0" localSheetId="0">'BS Seg Total'!#REF!</definedName>
    <definedName name="OSRRefAU11x_0_0" localSheetId="0">'BS Seg Total'!#REF!</definedName>
    <definedName name="OSRRefAU13x_0_0" localSheetId="0">'BS Seg Total'!#REF!</definedName>
    <definedName name="OSRRefAU15x_0_0" localSheetId="0">'BS Seg Total'!#REF!</definedName>
    <definedName name="OSRRefAU17x_0_0" localSheetId="0">'BS Seg Total'!#REF!</definedName>
    <definedName name="OSRRefAU19x_0_0" localSheetId="0">'BS Seg Total'!#REF!</definedName>
    <definedName name="OSRRefAU21x_0_0" localSheetId="0">'BS Seg Total'!#REF!</definedName>
    <definedName name="OSRRefAU25x_0_0" localSheetId="0">'BS Seg Total'!#REF!</definedName>
    <definedName name="OSRRefAU27x_0_0" localSheetId="0">'BS Seg Total'!#REF!</definedName>
    <definedName name="OSRRefAU29x_0_0" localSheetId="0">'BS Seg Total'!#REF!</definedName>
    <definedName name="OSRRefAU31x_0_0" localSheetId="0">'BS Seg Total'!#REF!</definedName>
    <definedName name="OSRRefAU33x_0_0" localSheetId="0">'BS Seg Total'!#REF!</definedName>
    <definedName name="OSRRefAU38x_0_0" localSheetId="0">'BS Seg Total'!#REF!</definedName>
    <definedName name="OSRRefAU40x_0_0" localSheetId="0">'BS Seg Total'!#REF!</definedName>
    <definedName name="OSRRefAU42x_0_0" localSheetId="0">'BS Seg Total'!#REF!</definedName>
    <definedName name="OSRRefAU44x_0_0" localSheetId="0">'BS Seg Total'!#REF!</definedName>
    <definedName name="OSRRefAU46x_0_0" localSheetId="0">'BS Seg Total'!#REF!</definedName>
    <definedName name="OSRRefAU48x_0_0" localSheetId="0">'BS Seg Total'!#REF!</definedName>
    <definedName name="OSRRefAU50x_0_0" localSheetId="0">'BS Seg Total'!#REF!</definedName>
    <definedName name="OSRRefAU52x_0_0" localSheetId="0">'BS Seg Total'!#REF!</definedName>
    <definedName name="OSRRefAU54x_0_0" localSheetId="0">'BS Seg Total'!#REF!</definedName>
    <definedName name="OSRRefAU58x_0_0" localSheetId="0">'BS Seg Total'!#REF!</definedName>
    <definedName name="OSRRefAU60x_0_0" localSheetId="0">'BS Seg Total'!#REF!</definedName>
    <definedName name="OSRRefAU62x_0_0" localSheetId="0">'BS Seg Total'!#REF!</definedName>
    <definedName name="OSRRefAU64x_0_0" localSheetId="0">'BS Seg Total'!#REF!</definedName>
    <definedName name="OSRRefAU66x_0_0" localSheetId="0">'BS Seg Total'!#REF!</definedName>
    <definedName name="OSRRefAU72x_0_0" localSheetId="0">'BS Seg Total'!#REF!</definedName>
    <definedName name="OSRRefAU74x_0_0" localSheetId="0">'BS Seg Total'!#REF!</definedName>
    <definedName name="OSRRefAU76x_0_0" localSheetId="0">'BS Seg Total'!#REF!</definedName>
    <definedName name="OSRRefAU78x_0_0" localSheetId="0">'BS Seg Total'!#REF!</definedName>
    <definedName name="OSRRefAU80x_0_0" localSheetId="0">'BS Seg Total'!#REF!</definedName>
    <definedName name="OSRRefAU84x_0_0" localSheetId="0">'BS Seg Total'!#REF!</definedName>
    <definedName name="OSRRefAU98x_0_0" localSheetId="0">'BS Seg Total'!#REF!</definedName>
    <definedName name="OSRRefAW100x_0_0" localSheetId="0">'BS Seg Total'!#REF!</definedName>
    <definedName name="OSRRefAW102x_0_0" localSheetId="0">'BS Seg Total'!#REF!</definedName>
    <definedName name="OSRRefAW104x_0_0" localSheetId="0">'BS Seg Total'!#REF!</definedName>
    <definedName name="OSRRefAW106x_0_0" localSheetId="0">'BS Seg Total'!#REF!</definedName>
    <definedName name="OSRRefAW11x_0_0" localSheetId="0">'BS Seg Total'!#REF!</definedName>
    <definedName name="OSRRefAW13x_0_0" localSheetId="0">'BS Seg Total'!#REF!</definedName>
    <definedName name="OSRRefAW15x_0_0" localSheetId="0">'BS Seg Total'!#REF!</definedName>
    <definedName name="OSRRefAW17x_0_0" localSheetId="0">'BS Seg Total'!#REF!</definedName>
    <definedName name="OSRRefAW19x_0_0" localSheetId="0">'BS Seg Total'!#REF!</definedName>
    <definedName name="OSRRefAW21x_0_0" localSheetId="0">'BS Seg Total'!#REF!</definedName>
    <definedName name="OSRRefAW25x_0_0" localSheetId="0">'BS Seg Total'!#REF!</definedName>
    <definedName name="OSRRefAW27x_0_0" localSheetId="0">'BS Seg Total'!#REF!</definedName>
    <definedName name="OSRRefAW29x_0_0" localSheetId="0">'BS Seg Total'!#REF!</definedName>
    <definedName name="OSRRefAW31x_0_0" localSheetId="0">'BS Seg Total'!#REF!</definedName>
    <definedName name="OSRRefAW33x_0_0" localSheetId="0">'BS Seg Total'!#REF!</definedName>
    <definedName name="OSRRefAW38x_0_0" localSheetId="0">'BS Seg Total'!#REF!</definedName>
    <definedName name="OSRRefAW40x_0_0" localSheetId="0">'BS Seg Total'!#REF!</definedName>
    <definedName name="OSRRefAW42x_0_0" localSheetId="0">'BS Seg Total'!#REF!</definedName>
    <definedName name="OSRRefAW44x_0_0" localSheetId="0">'BS Seg Total'!#REF!</definedName>
    <definedName name="OSRRefAW46x_0_0" localSheetId="0">'BS Seg Total'!#REF!</definedName>
    <definedName name="OSRRefAW48x_0_0" localSheetId="0">'BS Seg Total'!#REF!</definedName>
    <definedName name="OSRRefAW50x_0_0" localSheetId="0">'BS Seg Total'!#REF!</definedName>
    <definedName name="OSRRefAW52x_0_0" localSheetId="0">'BS Seg Total'!#REF!</definedName>
    <definedName name="OSRRefAW54x_0_0" localSheetId="0">'BS Seg Total'!#REF!</definedName>
    <definedName name="OSRRefAW58x_0_0" localSheetId="0">'BS Seg Total'!#REF!</definedName>
    <definedName name="OSRRefAW60x_0_0" localSheetId="0">'BS Seg Total'!#REF!</definedName>
    <definedName name="OSRRefAW62x_0_0" localSheetId="0">'BS Seg Total'!#REF!</definedName>
    <definedName name="OSRRefAW64x_0_0" localSheetId="0">'BS Seg Total'!#REF!</definedName>
    <definedName name="OSRRefAW66x_0_0" localSheetId="0">'BS Seg Total'!#REF!</definedName>
    <definedName name="OSRRefAW72x_0_0" localSheetId="0">'BS Seg Total'!#REF!</definedName>
    <definedName name="OSRRefAW74x_0_0" localSheetId="0">'BS Seg Total'!#REF!</definedName>
    <definedName name="OSRRefAW76x_0_0" localSheetId="0">'BS Seg Total'!#REF!</definedName>
    <definedName name="OSRRefAW78x_0_0" localSheetId="0">'BS Seg Total'!#REF!</definedName>
    <definedName name="OSRRefAW80x_0_0" localSheetId="0">'BS Seg Total'!#REF!</definedName>
    <definedName name="OSRRefAW84x_0_0" localSheetId="0">'BS Seg Total'!#REF!</definedName>
    <definedName name="OSRRefAW98x_0_0" localSheetId="0">'BS Seg Total'!#REF!</definedName>
    <definedName name="OSRRefAX100x_0_0" localSheetId="0">'BS Seg Total'!#REF!</definedName>
    <definedName name="OSRRefAX102x_0_0" localSheetId="0">'BS Seg Total'!#REF!</definedName>
    <definedName name="OSRRefAX104x_0_0" localSheetId="0">'BS Seg Total'!#REF!</definedName>
    <definedName name="OSRRefAX106x_0_0" localSheetId="0">'BS Seg Total'!#REF!</definedName>
    <definedName name="OSRRefAX11x_0_0" localSheetId="0">'BS Seg Total'!#REF!</definedName>
    <definedName name="OSRRefAX13x_0_0" localSheetId="0">'BS Seg Total'!#REF!</definedName>
    <definedName name="OSRRefAX15x_0_0" localSheetId="0">'BS Seg Total'!#REF!</definedName>
    <definedName name="OSRRefAX17x_0_0" localSheetId="0">'BS Seg Total'!#REF!</definedName>
    <definedName name="OSRRefAX19x_0_0" localSheetId="0">'BS Seg Total'!#REF!</definedName>
    <definedName name="OSRRefAX21x_0_0" localSheetId="0">'BS Seg Total'!#REF!</definedName>
    <definedName name="OSRRefAX25x_0_0" localSheetId="0">'BS Seg Total'!#REF!</definedName>
    <definedName name="OSRRefAX27x_0_0" localSheetId="0">'BS Seg Total'!#REF!</definedName>
    <definedName name="OSRRefAX29x_0_0" localSheetId="0">'BS Seg Total'!#REF!</definedName>
    <definedName name="OSRRefAX31x_0_0" localSheetId="0">'BS Seg Total'!#REF!</definedName>
    <definedName name="OSRRefAX33x_0_0" localSheetId="0">'BS Seg Total'!#REF!</definedName>
    <definedName name="OSRRefAX38x_0_0" localSheetId="0">'BS Seg Total'!#REF!</definedName>
    <definedName name="OSRRefAX40x_0_0" localSheetId="0">'BS Seg Total'!#REF!</definedName>
    <definedName name="OSRRefAX42x_0_0" localSheetId="0">'BS Seg Total'!#REF!</definedName>
    <definedName name="OSRRefAX44x_0_0" localSheetId="0">'BS Seg Total'!#REF!</definedName>
    <definedName name="OSRRefAX46x_0_0" localSheetId="0">'BS Seg Total'!#REF!</definedName>
    <definedName name="OSRRefAX48x_0_0" localSheetId="0">'BS Seg Total'!#REF!</definedName>
    <definedName name="OSRRefAX50x_0_0" localSheetId="0">'BS Seg Total'!#REF!</definedName>
    <definedName name="OSRRefAX52x_0_0" localSheetId="0">'BS Seg Total'!#REF!</definedName>
    <definedName name="OSRRefAX54x_0_0" localSheetId="0">'BS Seg Total'!#REF!</definedName>
    <definedName name="OSRRefAX58x_0_0" localSheetId="0">'BS Seg Total'!#REF!</definedName>
    <definedName name="OSRRefAX60x_0_0" localSheetId="0">'BS Seg Total'!#REF!</definedName>
    <definedName name="OSRRefAX62x_0_0" localSheetId="0">'BS Seg Total'!#REF!</definedName>
    <definedName name="OSRRefAX64x_0_0" localSheetId="0">'BS Seg Total'!#REF!</definedName>
    <definedName name="OSRRefAX66x_0_0" localSheetId="0">'BS Seg Total'!#REF!</definedName>
    <definedName name="OSRRefAX72x_0_0" localSheetId="0">'BS Seg Total'!#REF!</definedName>
    <definedName name="OSRRefAX74x_0_0" localSheetId="0">'BS Seg Total'!#REF!</definedName>
    <definedName name="OSRRefAX76x_0_0" localSheetId="0">'BS Seg Total'!#REF!</definedName>
    <definedName name="OSRRefAX78x_0_0" localSheetId="0">'BS Seg Total'!#REF!</definedName>
    <definedName name="OSRRefAX80x_0_0" localSheetId="0">'BS Seg Total'!#REF!</definedName>
    <definedName name="OSRRefAX84x_0_0" localSheetId="0">'BS Seg Total'!#REF!</definedName>
    <definedName name="OSRRefAX98x_0_0" localSheetId="0">'BS Seg Total'!#REF!</definedName>
    <definedName name="OSRRefAY100x_0_0" localSheetId="0">'BS Seg Total'!#REF!</definedName>
    <definedName name="OSRRefAY102x_0_0" localSheetId="0">'BS Seg Total'!#REF!</definedName>
    <definedName name="OSRRefAY104x_0_0" localSheetId="0">'BS Seg Total'!#REF!</definedName>
    <definedName name="OSRRefAY106x_0_0" localSheetId="0">'BS Seg Total'!#REF!</definedName>
    <definedName name="OSRRefAY11x_0_0" localSheetId="0">'BS Seg Total'!#REF!</definedName>
    <definedName name="OSRRefAY13x_0_0" localSheetId="0">'BS Seg Total'!#REF!</definedName>
    <definedName name="OSRRefAY15x_0_0" localSheetId="0">'BS Seg Total'!#REF!</definedName>
    <definedName name="OSRRefAY17x_0_0" localSheetId="0">'BS Seg Total'!#REF!</definedName>
    <definedName name="OSRRefAY19x_0_0" localSheetId="0">'BS Seg Total'!#REF!</definedName>
    <definedName name="OSRRefAY21x_0_0" localSheetId="0">'BS Seg Total'!#REF!</definedName>
    <definedName name="OSRRefAY25x_0_0" localSheetId="0">'BS Seg Total'!#REF!</definedName>
    <definedName name="OSRRefAY27x_0_0" localSheetId="0">'BS Seg Total'!#REF!</definedName>
    <definedName name="OSRRefAY29x_0_0" localSheetId="0">'BS Seg Total'!#REF!</definedName>
    <definedName name="OSRRefAY31x_0_0" localSheetId="0">'BS Seg Total'!#REF!</definedName>
    <definedName name="OSRRefAY33x_0_0" localSheetId="0">'BS Seg Total'!#REF!</definedName>
    <definedName name="OSRRefAY38x_0_0" localSheetId="0">'BS Seg Total'!#REF!</definedName>
    <definedName name="OSRRefAY40x_0_0" localSheetId="0">'BS Seg Total'!#REF!</definedName>
    <definedName name="OSRRefAY42x_0_0" localSheetId="0">'BS Seg Total'!#REF!</definedName>
    <definedName name="OSRRefAY44x_0_0" localSheetId="0">'BS Seg Total'!#REF!</definedName>
    <definedName name="OSRRefAY46x_0_0" localSheetId="0">'BS Seg Total'!#REF!</definedName>
    <definedName name="OSRRefAY48x_0_0" localSheetId="0">'BS Seg Total'!#REF!</definedName>
    <definedName name="OSRRefAY50x_0_0" localSheetId="0">'BS Seg Total'!#REF!</definedName>
    <definedName name="OSRRefAY52x_0_0" localSheetId="0">'BS Seg Total'!#REF!</definedName>
    <definedName name="OSRRefAY54x_0_0" localSheetId="0">'BS Seg Total'!#REF!</definedName>
    <definedName name="OSRRefAY58x_0_0" localSheetId="0">'BS Seg Total'!#REF!</definedName>
    <definedName name="OSRRefAY60x_0_0" localSheetId="0">'BS Seg Total'!#REF!</definedName>
    <definedName name="OSRRefAY62x_0_0" localSheetId="0">'BS Seg Total'!#REF!</definedName>
    <definedName name="OSRRefAY64x_0_0" localSheetId="0">'BS Seg Total'!#REF!</definedName>
    <definedName name="OSRRefAY66x_0_0" localSheetId="0">'BS Seg Total'!#REF!</definedName>
    <definedName name="OSRRefAY72x_0_0" localSheetId="0">'BS Seg Total'!#REF!</definedName>
    <definedName name="OSRRefAY74x_0_0" localSheetId="0">'BS Seg Total'!#REF!</definedName>
    <definedName name="OSRRefAY76x_0_0" localSheetId="0">'BS Seg Total'!#REF!</definedName>
    <definedName name="OSRRefAY78x_0_0" localSheetId="0">'BS Seg Total'!#REF!</definedName>
    <definedName name="OSRRefAY80x_0_0" localSheetId="0">'BS Seg Total'!#REF!</definedName>
    <definedName name="OSRRefAY84x_0_0" localSheetId="0">'BS Seg Total'!#REF!</definedName>
    <definedName name="OSRRefAY98x_0_0" localSheetId="0">'BS Seg Total'!#REF!</definedName>
    <definedName name="OSRRefBA100x_0_0" localSheetId="0">'BS Seg Total'!#REF!</definedName>
    <definedName name="OSRRefBA102x_0_0" localSheetId="0">'BS Seg Total'!#REF!</definedName>
    <definedName name="OSRRefBA104x_0_0" localSheetId="0">'BS Seg Total'!#REF!</definedName>
    <definedName name="OSRRefBA106x_0_0" localSheetId="0">'BS Seg Total'!#REF!</definedName>
    <definedName name="OSRRefBA11x_0_0" localSheetId="0">'BS Seg Total'!#REF!</definedName>
    <definedName name="OSRRefBA13x_0_0" localSheetId="0">'BS Seg Total'!#REF!</definedName>
    <definedName name="OSRRefBA15x_0_0" localSheetId="0">'BS Seg Total'!#REF!</definedName>
    <definedName name="OSRRefBA17x_0_0" localSheetId="0">'BS Seg Total'!#REF!</definedName>
    <definedName name="OSRRefBA19x_0_0" localSheetId="0">'BS Seg Total'!#REF!</definedName>
    <definedName name="OSRRefBA21x_0_0" localSheetId="0">'BS Seg Total'!#REF!</definedName>
    <definedName name="OSRRefBA25x_0_0" localSheetId="0">'BS Seg Total'!#REF!</definedName>
    <definedName name="OSRRefBA27x_0_0" localSheetId="0">'BS Seg Total'!#REF!</definedName>
    <definedName name="OSRRefBA29x_0_0" localSheetId="0">'BS Seg Total'!#REF!</definedName>
    <definedName name="OSRRefBA31x_0_0" localSheetId="0">'BS Seg Total'!#REF!</definedName>
    <definedName name="OSRRefBA33x_0_0" localSheetId="0">'BS Seg Total'!#REF!</definedName>
    <definedName name="OSRRefBA38x_0_0" localSheetId="0">'BS Seg Total'!#REF!</definedName>
    <definedName name="OSRRefBA40x_0_0" localSheetId="0">'BS Seg Total'!#REF!</definedName>
    <definedName name="OSRRefBA42x_0_0" localSheetId="0">'BS Seg Total'!#REF!</definedName>
    <definedName name="OSRRefBA44x_0_0" localSheetId="0">'BS Seg Total'!#REF!</definedName>
    <definedName name="OSRRefBA46x_0_0" localSheetId="0">'BS Seg Total'!#REF!</definedName>
    <definedName name="OSRRefBA48x_0_0" localSheetId="0">'BS Seg Total'!#REF!</definedName>
    <definedName name="OSRRefBA50x_0_0" localSheetId="0">'BS Seg Total'!#REF!</definedName>
    <definedName name="OSRRefBA52x_0_0" localSheetId="0">'BS Seg Total'!#REF!</definedName>
    <definedName name="OSRRefBA54x_0_0" localSheetId="0">'BS Seg Total'!#REF!</definedName>
    <definedName name="OSRRefBA58x_0_0" localSheetId="0">'BS Seg Total'!#REF!</definedName>
    <definedName name="OSRRefBA60x_0_0" localSheetId="0">'BS Seg Total'!#REF!</definedName>
    <definedName name="OSRRefBA62x_0_0" localSheetId="0">'BS Seg Total'!#REF!</definedName>
    <definedName name="OSRRefBA64x_0_0" localSheetId="0">'BS Seg Total'!#REF!</definedName>
    <definedName name="OSRRefBA66x_0_0" localSheetId="0">'BS Seg Total'!#REF!</definedName>
    <definedName name="OSRRefBA72x_0_0" localSheetId="0">'BS Seg Total'!#REF!</definedName>
    <definedName name="OSRRefBA74x_0_0" localSheetId="0">'BS Seg Total'!#REF!</definedName>
    <definedName name="OSRRefBA76x_0_0" localSheetId="0">'BS Seg Total'!#REF!</definedName>
    <definedName name="OSRRefBA78x_0_0" localSheetId="0">'BS Seg Total'!#REF!</definedName>
    <definedName name="OSRRefBA80x_0_0" localSheetId="0">'BS Seg Total'!#REF!</definedName>
    <definedName name="OSRRefBA84x_0_0" localSheetId="0">'BS Seg Total'!#REF!</definedName>
    <definedName name="OSRRefBA98x_0_0" localSheetId="0">'BS Seg Total'!#REF!</definedName>
    <definedName name="OSRRefBD100x_0_0" localSheetId="0">'BS Seg Total'!#REF!</definedName>
    <definedName name="OSRRefBD102x_0_0" localSheetId="0">'BS Seg Total'!#REF!</definedName>
    <definedName name="OSRRefBD104x_0_0" localSheetId="0">'BS Seg Total'!#REF!</definedName>
    <definedName name="OSRRefBD106x_0_0" localSheetId="0">'BS Seg Total'!#REF!</definedName>
    <definedName name="OSRRefBD11x_0_0" localSheetId="0">'BS Seg Total'!#REF!</definedName>
    <definedName name="OSRRefBD13x_0_0" localSheetId="0">'BS Seg Total'!#REF!</definedName>
    <definedName name="OSRRefBD15x_0_0" localSheetId="0">'BS Seg Total'!#REF!</definedName>
    <definedName name="OSRRefBD17x_0_0" localSheetId="0">'BS Seg Total'!#REF!</definedName>
    <definedName name="OSRRefBD19x_0_0" localSheetId="0">'BS Seg Total'!#REF!</definedName>
    <definedName name="OSRRefBD21x_0_0" localSheetId="0">'BS Seg Total'!#REF!</definedName>
    <definedName name="OSRRefBD25x_0_0" localSheetId="0">'BS Seg Total'!#REF!</definedName>
    <definedName name="OSRRefBD27x_0_0" localSheetId="0">'BS Seg Total'!#REF!</definedName>
    <definedName name="OSRRefBD29x_0_0" localSheetId="0">'BS Seg Total'!#REF!</definedName>
    <definedName name="OSRRefBD31x_0_0" localSheetId="0">'BS Seg Total'!#REF!</definedName>
    <definedName name="OSRRefBD33x_0_0" localSheetId="0">'BS Seg Total'!#REF!</definedName>
    <definedName name="OSRRefBD38x_0_0" localSheetId="0">'BS Seg Total'!#REF!</definedName>
    <definedName name="OSRRefBD40x_0_0" localSheetId="0">'BS Seg Total'!#REF!</definedName>
    <definedName name="OSRRefBD42x_0_0" localSheetId="0">'BS Seg Total'!#REF!</definedName>
    <definedName name="OSRRefBD44x_0_0" localSheetId="0">'BS Seg Total'!#REF!</definedName>
    <definedName name="OSRRefBD46x_0_0" localSheetId="0">'BS Seg Total'!#REF!</definedName>
    <definedName name="OSRRefBD48x_0_0" localSheetId="0">'BS Seg Total'!#REF!</definedName>
    <definedName name="OSRRefBD50x_0_0" localSheetId="0">'BS Seg Total'!#REF!</definedName>
    <definedName name="OSRRefBD52x_0_0" localSheetId="0">'BS Seg Total'!#REF!</definedName>
    <definedName name="OSRRefBD54x_0_0" localSheetId="0">'BS Seg Total'!#REF!</definedName>
    <definedName name="OSRRefBD58x_0_0" localSheetId="0">'BS Seg Total'!#REF!</definedName>
    <definedName name="OSRRefBD60x_0_0" localSheetId="0">'BS Seg Total'!#REF!</definedName>
    <definedName name="OSRRefBD62x_0_0" localSheetId="0">'BS Seg Total'!#REF!</definedName>
    <definedName name="OSRRefBD64x_0_0" localSheetId="0">'BS Seg Total'!#REF!</definedName>
    <definedName name="OSRRefBD66x_0_0" localSheetId="0">'BS Seg Total'!#REF!</definedName>
    <definedName name="OSRRefBD72x_0_0" localSheetId="0">'BS Seg Total'!#REF!</definedName>
    <definedName name="OSRRefBD74x_0_0" localSheetId="0">'BS Seg Total'!#REF!</definedName>
    <definedName name="OSRRefBD76x_0_0" localSheetId="0">'BS Seg Total'!#REF!</definedName>
    <definedName name="OSRRefBD78x_0_0" localSheetId="0">'BS Seg Total'!#REF!</definedName>
    <definedName name="OSRRefBD80x_0_0" localSheetId="0">'BS Seg Total'!#REF!</definedName>
    <definedName name="OSRRefBD84x_0_0" localSheetId="0">'BS Seg Total'!#REF!</definedName>
    <definedName name="OSRRefBD98x_0_0" localSheetId="0">'BS Seg Total'!#REF!</definedName>
    <definedName name="OSRRefCV100x_0_0" localSheetId="0">'BS Seg Total'!#REF!</definedName>
    <definedName name="OSRRefCV102x_0_0" localSheetId="0">'BS Seg Total'!#REF!</definedName>
    <definedName name="OSRRefCV104x_0_0" localSheetId="0">'BS Seg Total'!#REF!</definedName>
    <definedName name="OSRRefCV106x_0_0" localSheetId="0">'BS Seg Total'!#REF!</definedName>
    <definedName name="OSRRefCV11x_0_0" localSheetId="0">'BS Seg Total'!#REF!</definedName>
    <definedName name="OSRRefCV13x_0_0" localSheetId="0">'BS Seg Total'!#REF!</definedName>
    <definedName name="OSRRefCV15x_0_0" localSheetId="0">'BS Seg Total'!#REF!</definedName>
    <definedName name="OSRRefCV17x_0_0" localSheetId="0">'BS Seg Total'!#REF!</definedName>
    <definedName name="OSRRefCV19x_0_0" localSheetId="0">'BS Seg Total'!#REF!</definedName>
    <definedName name="OSRRefCV21x_0_0" localSheetId="0">'BS Seg Total'!#REF!</definedName>
    <definedName name="OSRRefCV25x_0_0" localSheetId="0">'BS Seg Total'!#REF!</definedName>
    <definedName name="OSRRefCV27x_0_0" localSheetId="0">'BS Seg Total'!#REF!</definedName>
    <definedName name="OSRRefCV29x_0_0" localSheetId="0">'BS Seg Total'!#REF!</definedName>
    <definedName name="OSRRefCV31x_0_0" localSheetId="0">'BS Seg Total'!#REF!</definedName>
    <definedName name="OSRRefCV33x_0_0" localSheetId="0">'BS Seg Total'!#REF!</definedName>
    <definedName name="OSRRefCV38x_0_0" localSheetId="0">'BS Seg Total'!#REF!</definedName>
    <definedName name="OSRRefCV40x_0_0" localSheetId="0">'BS Seg Total'!#REF!</definedName>
    <definedName name="OSRRefCV42x_0_0" localSheetId="0">'BS Seg Total'!#REF!</definedName>
    <definedName name="OSRRefCV44x_0_0" localSheetId="0">'BS Seg Total'!#REF!</definedName>
    <definedName name="OSRRefCV46x_0_0" localSheetId="0">'BS Seg Total'!#REF!</definedName>
    <definedName name="OSRRefCV48x_0_0" localSheetId="0">'BS Seg Total'!#REF!</definedName>
    <definedName name="OSRRefCV50x_0_0" localSheetId="0">'BS Seg Total'!#REF!</definedName>
    <definedName name="OSRRefCV52x_0_0" localSheetId="0">'BS Seg Total'!#REF!</definedName>
    <definedName name="OSRRefCV54x_0_0" localSheetId="0">'BS Seg Total'!#REF!</definedName>
    <definedName name="OSRRefCV58x_0_0" localSheetId="0">'BS Seg Total'!#REF!</definedName>
    <definedName name="OSRRefCV60x_0_0" localSheetId="0">'BS Seg Total'!#REF!</definedName>
    <definedName name="OSRRefCV62x_0_0" localSheetId="0">'BS Seg Total'!#REF!</definedName>
    <definedName name="OSRRefCV64x_0_0" localSheetId="0">'BS Seg Total'!#REF!</definedName>
    <definedName name="OSRRefCV66x_0_0" localSheetId="0">'BS Seg Total'!#REF!</definedName>
    <definedName name="OSRRefCV72x_0_0" localSheetId="0">'BS Seg Total'!#REF!</definedName>
    <definedName name="OSRRefCV74x_0_0" localSheetId="0">'BS Seg Total'!#REF!</definedName>
    <definedName name="OSRRefCV76x_0_0" localSheetId="0">'BS Seg Total'!#REF!</definedName>
    <definedName name="OSRRefCV78x_0_0" localSheetId="0">'BS Seg Total'!#REF!</definedName>
    <definedName name="OSRRefCV80x_0_0" localSheetId="0">'BS Seg Total'!#REF!</definedName>
    <definedName name="OSRRefCV84x_0_0" localSheetId="0">'BS Seg Total'!#REF!</definedName>
    <definedName name="OSRRefCV98x_0_0" localSheetId="0">'BS Seg Total'!#REF!</definedName>
    <definedName name="OSRRefCW100x_0_0" localSheetId="0">'BS Seg Total'!#REF!</definedName>
    <definedName name="OSRRefCW102x_0_0" localSheetId="0">'BS Seg Total'!#REF!</definedName>
    <definedName name="OSRRefCW104x_0_0" localSheetId="0">'BS Seg Total'!#REF!</definedName>
    <definedName name="OSRRefCW106x_0_0" localSheetId="0">'BS Seg Total'!#REF!</definedName>
    <definedName name="OSRRefCW11x_0_0" localSheetId="0">'BS Seg Total'!#REF!</definedName>
    <definedName name="OSRRefCW13x_0_0" localSheetId="0">'BS Seg Total'!#REF!</definedName>
    <definedName name="OSRRefCW15x_0_0" localSheetId="0">'BS Seg Total'!#REF!</definedName>
    <definedName name="OSRRefCW17x_0_0" localSheetId="0">'BS Seg Total'!#REF!</definedName>
    <definedName name="OSRRefCW19x_0_0" localSheetId="0">'BS Seg Total'!#REF!</definedName>
    <definedName name="OSRRefCW21x_0_0" localSheetId="0">'BS Seg Total'!#REF!</definedName>
    <definedName name="OSRRefCW25x_0_0" localSheetId="0">'BS Seg Total'!#REF!</definedName>
    <definedName name="OSRRefCW27x_0_0" localSheetId="0">'BS Seg Total'!#REF!</definedName>
    <definedName name="OSRRefCW29x_0_0" localSheetId="0">'BS Seg Total'!#REF!</definedName>
    <definedName name="OSRRefCW31x_0_0" localSheetId="0">'BS Seg Total'!#REF!</definedName>
    <definedName name="OSRRefCW33x_0_0" localSheetId="0">'BS Seg Total'!#REF!</definedName>
    <definedName name="OSRRefCW38x_0_0" localSheetId="0">'BS Seg Total'!#REF!</definedName>
    <definedName name="OSRRefCW40x_0_0" localSheetId="0">'BS Seg Total'!#REF!</definedName>
    <definedName name="OSRRefCW42x_0_0" localSheetId="0">'BS Seg Total'!#REF!</definedName>
    <definedName name="OSRRefCW44x_0_0" localSheetId="0">'BS Seg Total'!#REF!</definedName>
    <definedName name="OSRRefCW46x_0_0" localSheetId="0">'BS Seg Total'!#REF!</definedName>
    <definedName name="OSRRefCW48x_0_0" localSheetId="0">'BS Seg Total'!#REF!</definedName>
    <definedName name="OSRRefCW50x_0_0" localSheetId="0">'BS Seg Total'!#REF!</definedName>
    <definedName name="OSRRefCW52x_0_0" localSheetId="0">'BS Seg Total'!#REF!</definedName>
    <definedName name="OSRRefCW54x_0_0" localSheetId="0">'BS Seg Total'!#REF!</definedName>
    <definedName name="OSRRefCW58x_0_0" localSheetId="0">'BS Seg Total'!#REF!</definedName>
    <definedName name="OSRRefCW60x_0_0" localSheetId="0">'BS Seg Total'!#REF!</definedName>
    <definedName name="OSRRefCW62x_0_0" localSheetId="0">'BS Seg Total'!#REF!</definedName>
    <definedName name="OSRRefCW64x_0_0" localSheetId="0">'BS Seg Total'!#REF!</definedName>
    <definedName name="OSRRefCW66x_0_0" localSheetId="0">'BS Seg Total'!#REF!</definedName>
    <definedName name="OSRRefCW72x_0_0" localSheetId="0">'BS Seg Total'!#REF!</definedName>
    <definedName name="OSRRefCW74x_0_0" localSheetId="0">'BS Seg Total'!#REF!</definedName>
    <definedName name="OSRRefCW76x_0_0" localSheetId="0">'BS Seg Total'!#REF!</definedName>
    <definedName name="OSRRefCW78x_0_0" localSheetId="0">'BS Seg Total'!#REF!</definedName>
    <definedName name="OSRRefCW80x_0_0" localSheetId="0">'BS Seg Total'!#REF!</definedName>
    <definedName name="OSRRefCW84x_0_0" localSheetId="0">'BS Seg Total'!#REF!</definedName>
    <definedName name="OSRRefCW98x_0_0" localSheetId="0">'BS Seg Total'!#REF!</definedName>
    <definedName name="OSRRefCX100x_0_0" localSheetId="0">'BS Seg Total'!#REF!</definedName>
    <definedName name="OSRRefCX102x_0_0" localSheetId="0">'BS Seg Total'!#REF!</definedName>
    <definedName name="OSRRefCX104x_0_0" localSheetId="0">'BS Seg Total'!#REF!</definedName>
    <definedName name="OSRRefCX106x_0_0" localSheetId="0">'BS Seg Total'!#REF!</definedName>
    <definedName name="OSRRefCX11x_0_0" localSheetId="0">'BS Seg Total'!#REF!</definedName>
    <definedName name="OSRRefCX13x_0_0" localSheetId="0">'BS Seg Total'!#REF!</definedName>
    <definedName name="OSRRefCX15x_0_0" localSheetId="0">'BS Seg Total'!#REF!</definedName>
    <definedName name="OSRRefCX17x_0_0" localSheetId="0">'BS Seg Total'!#REF!</definedName>
    <definedName name="OSRRefCX19x_0_0" localSheetId="0">'BS Seg Total'!#REF!</definedName>
    <definedName name="OSRRefCX21x_0_0" localSheetId="0">'BS Seg Total'!#REF!</definedName>
    <definedName name="OSRRefCX25x_0_0" localSheetId="0">'BS Seg Total'!#REF!</definedName>
    <definedName name="OSRRefCX27x_0_0" localSheetId="0">'BS Seg Total'!#REF!</definedName>
    <definedName name="OSRRefCX29x_0_0" localSheetId="0">'BS Seg Total'!#REF!</definedName>
    <definedName name="OSRRefCX31x_0_0" localSheetId="0">'BS Seg Total'!#REF!</definedName>
    <definedName name="OSRRefCX33x_0_0" localSheetId="0">'BS Seg Total'!#REF!</definedName>
    <definedName name="OSRRefCX38x_0_0" localSheetId="0">'BS Seg Total'!#REF!</definedName>
    <definedName name="OSRRefCX40x_0_0" localSheetId="0">'BS Seg Total'!#REF!</definedName>
    <definedName name="OSRRefCX42x_0_0" localSheetId="0">'BS Seg Total'!#REF!</definedName>
    <definedName name="OSRRefCX44x_0_0" localSheetId="0">'BS Seg Total'!#REF!</definedName>
    <definedName name="OSRRefCX46x_0_0" localSheetId="0">'BS Seg Total'!#REF!</definedName>
    <definedName name="OSRRefCX48x_0_0" localSheetId="0">'BS Seg Total'!#REF!</definedName>
    <definedName name="OSRRefCX50x_0_0" localSheetId="0">'BS Seg Total'!#REF!</definedName>
    <definedName name="OSRRefCX52x_0_0" localSheetId="0">'BS Seg Total'!#REF!</definedName>
    <definedName name="OSRRefCX54x_0_0" localSheetId="0">'BS Seg Total'!#REF!</definedName>
    <definedName name="OSRRefCX58x_0_0" localSheetId="0">'BS Seg Total'!#REF!</definedName>
    <definedName name="OSRRefCX60x_0_0" localSheetId="0">'BS Seg Total'!#REF!</definedName>
    <definedName name="OSRRefCX62x_0_0" localSheetId="0">'BS Seg Total'!#REF!</definedName>
    <definedName name="OSRRefCX64x_0_0" localSheetId="0">'BS Seg Total'!#REF!</definedName>
    <definedName name="OSRRefCX66x_0_0" localSheetId="0">'BS Seg Total'!#REF!</definedName>
    <definedName name="OSRRefCX72x_0_0" localSheetId="0">'BS Seg Total'!#REF!</definedName>
    <definedName name="OSRRefCX74x_0_0" localSheetId="0">'BS Seg Total'!#REF!</definedName>
    <definedName name="OSRRefCX76x_0_0" localSheetId="0">'BS Seg Total'!#REF!</definedName>
    <definedName name="OSRRefCX78x_0_0" localSheetId="0">'BS Seg Total'!#REF!</definedName>
    <definedName name="OSRRefCX80x_0_0" localSheetId="0">'BS Seg Total'!#REF!</definedName>
    <definedName name="OSRRefCX84x_0_0" localSheetId="0">'BS Seg Total'!#REF!</definedName>
    <definedName name="OSRRefCX98x_0_0" localSheetId="0">'BS Seg Total'!#REF!</definedName>
    <definedName name="OSRRefDC100x_0_0" localSheetId="0">'BS Seg Total'!#REF!</definedName>
    <definedName name="OSRRefDC102x_0_0" localSheetId="0">'BS Seg Total'!#REF!</definedName>
    <definedName name="OSRRefDC104x_0_0" localSheetId="0">'BS Seg Total'!#REF!</definedName>
    <definedName name="OSRRefDC106x_0_0" localSheetId="0">'BS Seg Total'!#REF!</definedName>
    <definedName name="OSRRefDC11x_0_0" localSheetId="0">'BS Seg Total'!#REF!</definedName>
    <definedName name="OSRRefDC13x_0_0" localSheetId="0">'BS Seg Total'!#REF!</definedName>
    <definedName name="OSRRefDC15x_0_0" localSheetId="0">'BS Seg Total'!#REF!</definedName>
    <definedName name="OSRRefDC17x_0_0" localSheetId="0">'BS Seg Total'!#REF!</definedName>
    <definedName name="OSRRefDC19x_0_0" localSheetId="0">'BS Seg Total'!#REF!</definedName>
    <definedName name="OSRRefDC21x_0_0" localSheetId="0">'BS Seg Total'!#REF!</definedName>
    <definedName name="OSRRefDC25x_0_0" localSheetId="0">'BS Seg Total'!#REF!</definedName>
    <definedName name="OSRRefDC27x_0_0" localSheetId="0">'BS Seg Total'!#REF!</definedName>
    <definedName name="OSRRefDC29x_0_0" localSheetId="0">'BS Seg Total'!#REF!</definedName>
    <definedName name="OSRRefDC31x_0_0" localSheetId="0">'BS Seg Total'!#REF!</definedName>
    <definedName name="OSRRefDC33x_0_0" localSheetId="0">'BS Seg Total'!#REF!</definedName>
    <definedName name="OSRRefDC38x_0_0" localSheetId="0">'BS Seg Total'!#REF!</definedName>
    <definedName name="OSRRefDC40x_0_0" localSheetId="0">'BS Seg Total'!#REF!</definedName>
    <definedName name="OSRRefDC42x_0_0" localSheetId="0">'BS Seg Total'!#REF!</definedName>
    <definedName name="OSRRefDC44x_0_0" localSheetId="0">'BS Seg Total'!#REF!</definedName>
    <definedName name="OSRRefDC46x_0_0" localSheetId="0">'BS Seg Total'!#REF!</definedName>
    <definedName name="OSRRefDC48x_0_0" localSheetId="0">'BS Seg Total'!#REF!</definedName>
    <definedName name="OSRRefDC50x_0_0" localSheetId="0">'BS Seg Total'!#REF!</definedName>
    <definedName name="OSRRefDC52x_0_0" localSheetId="0">'BS Seg Total'!#REF!</definedName>
    <definedName name="OSRRefDC54x_0_0" localSheetId="0">'BS Seg Total'!#REF!</definedName>
    <definedName name="OSRRefDC58x_0_0" localSheetId="0">'BS Seg Total'!#REF!</definedName>
    <definedName name="OSRRefDC60x_0_0" localSheetId="0">'BS Seg Total'!#REF!</definedName>
    <definedName name="OSRRefDC62x_0_0" localSheetId="0">'BS Seg Total'!#REF!</definedName>
    <definedName name="OSRRefDC64x_0_0" localSheetId="0">'BS Seg Total'!#REF!</definedName>
    <definedName name="OSRRefDC66x_0_0" localSheetId="0">'BS Seg Total'!#REF!</definedName>
    <definedName name="OSRRefDC72x_0_0" localSheetId="0">'BS Seg Total'!#REF!</definedName>
    <definedName name="OSRRefDC74x_0_0" localSheetId="0">'BS Seg Total'!#REF!</definedName>
    <definedName name="OSRRefDC76x_0_0" localSheetId="0">'BS Seg Total'!#REF!</definedName>
    <definedName name="OSRRefDC78x_0_0" localSheetId="0">'BS Seg Total'!#REF!</definedName>
    <definedName name="OSRRefDC80x_0_0" localSheetId="0">'BS Seg Total'!#REF!</definedName>
    <definedName name="OSRRefDC84x_0_0" localSheetId="0">'BS Seg Total'!#REF!</definedName>
    <definedName name="OSRRefDC98x_0_0" localSheetId="0">'BS Seg Total'!#REF!</definedName>
    <definedName name="OSRRefDJ100x_0_0" localSheetId="0">'BS Seg Total'!#REF!</definedName>
    <definedName name="OSRRefDJ102x_0_0" localSheetId="0">'BS Seg Total'!#REF!</definedName>
    <definedName name="OSRRefDJ104x_0_0" localSheetId="0">'BS Seg Total'!#REF!</definedName>
    <definedName name="OSRRefDJ106x_0_0" localSheetId="0">'BS Seg Total'!#REF!</definedName>
    <definedName name="OSRRefDJ11x_0_0" localSheetId="0">'BS Seg Total'!#REF!</definedName>
    <definedName name="OSRRefDJ13x_0_0" localSheetId="0">'BS Seg Total'!#REF!</definedName>
    <definedName name="OSRRefDJ15x_0_0" localSheetId="0">'BS Seg Total'!#REF!</definedName>
    <definedName name="OSRRefDJ17x_0_0" localSheetId="0">'BS Seg Total'!#REF!</definedName>
    <definedName name="OSRRefDJ19x_0_0" localSheetId="0">'BS Seg Total'!#REF!</definedName>
    <definedName name="OSRRefDJ21x_0_0" localSheetId="0">'BS Seg Total'!#REF!</definedName>
    <definedName name="OSRRefDJ25x_0_0" localSheetId="0">'BS Seg Total'!#REF!</definedName>
    <definedName name="OSRRefDJ27x_0_0" localSheetId="0">'BS Seg Total'!#REF!</definedName>
    <definedName name="OSRRefDJ29x_0_0" localSheetId="0">'BS Seg Total'!#REF!</definedName>
    <definedName name="OSRRefDJ31x_0_0" localSheetId="0">'BS Seg Total'!#REF!</definedName>
    <definedName name="OSRRefDJ33x_0_0" localSheetId="0">'BS Seg Total'!#REF!</definedName>
    <definedName name="OSRRefDJ38x_0_0" localSheetId="0">'BS Seg Total'!#REF!</definedName>
    <definedName name="OSRRefDJ40x_0_0" localSheetId="0">'BS Seg Total'!#REF!</definedName>
    <definedName name="OSRRefDJ42x_0_0" localSheetId="0">'BS Seg Total'!#REF!</definedName>
    <definedName name="OSRRefDJ44x_0_0" localSheetId="0">'BS Seg Total'!#REF!</definedName>
    <definedName name="OSRRefDJ46x_0_0" localSheetId="0">'BS Seg Total'!#REF!</definedName>
    <definedName name="OSRRefDJ48x_0_0" localSheetId="0">'BS Seg Total'!#REF!</definedName>
    <definedName name="OSRRefDJ50x_0_0" localSheetId="0">'BS Seg Total'!#REF!</definedName>
    <definedName name="OSRRefDJ52x_0_0" localSheetId="0">'BS Seg Total'!#REF!</definedName>
    <definedName name="OSRRefDJ54x_0_0" localSheetId="0">'BS Seg Total'!#REF!</definedName>
    <definedName name="OSRRefDJ58x_0_0" localSheetId="0">'BS Seg Total'!#REF!</definedName>
    <definedName name="OSRRefDJ60x_0_0" localSheetId="0">'BS Seg Total'!#REF!</definedName>
    <definedName name="OSRRefDJ62x_0_0" localSheetId="0">'BS Seg Total'!#REF!</definedName>
    <definedName name="OSRRefDJ64x_0_0" localSheetId="0">'BS Seg Total'!#REF!</definedName>
    <definedName name="OSRRefDJ66x_0_0" localSheetId="0">'BS Seg Total'!#REF!</definedName>
    <definedName name="OSRRefDJ72x_0_0" localSheetId="0">'BS Seg Total'!#REF!</definedName>
    <definedName name="OSRRefDJ74x_0_0" localSheetId="0">'BS Seg Total'!#REF!</definedName>
    <definedName name="OSRRefDJ76x_0_0" localSheetId="0">'BS Seg Total'!#REF!</definedName>
    <definedName name="OSRRefDJ78x_0_0" localSheetId="0">'BS Seg Total'!#REF!</definedName>
    <definedName name="OSRRefDJ80x_0_0" localSheetId="0">'BS Seg Total'!#REF!</definedName>
    <definedName name="OSRRefDJ84x_0_0" localSheetId="0">'BS Seg Total'!#REF!</definedName>
    <definedName name="OSRRefDJ98x_0_0" localSheetId="0">'BS Seg Total'!#REF!</definedName>
    <definedName name="OSRRefDK100x_0_0" localSheetId="0">'BS Seg Total'!#REF!</definedName>
    <definedName name="OSRRefDK102x_0_0" localSheetId="0">'BS Seg Total'!#REF!</definedName>
    <definedName name="OSRRefDK104x_0_0" localSheetId="0">'BS Seg Total'!#REF!</definedName>
    <definedName name="OSRRefDK106x_0_0" localSheetId="0">'BS Seg Total'!#REF!</definedName>
    <definedName name="OSRRefDK11x_0_0" localSheetId="0">'BS Seg Total'!#REF!</definedName>
    <definedName name="OSRRefDK13x_0_0" localSheetId="0">'BS Seg Total'!#REF!</definedName>
    <definedName name="OSRRefDK15x_0_0" localSheetId="0">'BS Seg Total'!#REF!</definedName>
    <definedName name="OSRRefDK17x_0_0" localSheetId="0">'BS Seg Total'!#REF!</definedName>
    <definedName name="OSRRefDK19x_0_0" localSheetId="0">'BS Seg Total'!#REF!</definedName>
    <definedName name="OSRRefDK21x_0_0" localSheetId="0">'BS Seg Total'!#REF!</definedName>
    <definedName name="OSRRefDK25x_0_0" localSheetId="0">'BS Seg Total'!#REF!</definedName>
    <definedName name="OSRRefDK27x_0_0" localSheetId="0">'BS Seg Total'!#REF!</definedName>
    <definedName name="OSRRefDK29x_0_0" localSheetId="0">'BS Seg Total'!#REF!</definedName>
    <definedName name="OSRRefDK31x_0_0" localSheetId="0">'BS Seg Total'!#REF!</definedName>
    <definedName name="OSRRefDK33x_0_0" localSheetId="0">'BS Seg Total'!#REF!</definedName>
    <definedName name="OSRRefDK38x_0_0" localSheetId="0">'BS Seg Total'!#REF!</definedName>
    <definedName name="OSRRefDK40x_0_0" localSheetId="0">'BS Seg Total'!#REF!</definedName>
    <definedName name="OSRRefDK42x_0_0" localSheetId="0">'BS Seg Total'!#REF!</definedName>
    <definedName name="OSRRefDK44x_0_0" localSheetId="0">'BS Seg Total'!#REF!</definedName>
    <definedName name="OSRRefDK46x_0_0" localSheetId="0">'BS Seg Total'!#REF!</definedName>
    <definedName name="OSRRefDK48x_0_0" localSheetId="0">'BS Seg Total'!#REF!</definedName>
    <definedName name="OSRRefDK50x_0_0" localSheetId="0">'BS Seg Total'!#REF!</definedName>
    <definedName name="OSRRefDK52x_0_0" localSheetId="0">'BS Seg Total'!#REF!</definedName>
    <definedName name="OSRRefDK54x_0_0" localSheetId="0">'BS Seg Total'!#REF!</definedName>
    <definedName name="OSRRefDK58x_0_0" localSheetId="0">'BS Seg Total'!#REF!</definedName>
    <definedName name="OSRRefDK60x_0_0" localSheetId="0">'BS Seg Total'!#REF!</definedName>
    <definedName name="OSRRefDK62x_0_0" localSheetId="0">'BS Seg Total'!#REF!</definedName>
    <definedName name="OSRRefDK64x_0_0" localSheetId="0">'BS Seg Total'!#REF!</definedName>
    <definedName name="OSRRefDK66x_0_0" localSheetId="0">'BS Seg Total'!#REF!</definedName>
    <definedName name="OSRRefDK72x_0_0" localSheetId="0">'BS Seg Total'!#REF!</definedName>
    <definedName name="OSRRefDK74x_0_0" localSheetId="0">'BS Seg Total'!#REF!</definedName>
    <definedName name="OSRRefDK76x_0_0" localSheetId="0">'BS Seg Total'!#REF!</definedName>
    <definedName name="OSRRefDK78x_0_0" localSheetId="0">'BS Seg Total'!#REF!</definedName>
    <definedName name="OSRRefDK80x_0_0" localSheetId="0">'BS Seg Total'!#REF!</definedName>
    <definedName name="OSRRefDK84x_0_0" localSheetId="0">'BS Seg Total'!#REF!</definedName>
    <definedName name="OSRRefDK98x_0_0" localSheetId="0">'BS Seg Total'!#REF!</definedName>
    <definedName name="OSRRefDM100x_0_0" localSheetId="0">'BS Seg Total'!#REF!</definedName>
    <definedName name="OSRRefDM102x_0_0" localSheetId="0">'BS Seg Total'!#REF!</definedName>
    <definedName name="OSRRefDM104x_0_0" localSheetId="0">'BS Seg Total'!#REF!</definedName>
    <definedName name="OSRRefDM106x_0_0" localSheetId="0">'BS Seg Total'!#REF!</definedName>
    <definedName name="OSRRefDM11x_0_0" localSheetId="0">'BS Seg Total'!#REF!</definedName>
    <definedName name="OSRRefDM13x_0_0" localSheetId="0">'BS Seg Total'!#REF!</definedName>
    <definedName name="OSRRefDM15x_0_0" localSheetId="0">'BS Seg Total'!#REF!</definedName>
    <definedName name="OSRRefDM17x_0_0" localSheetId="0">'BS Seg Total'!#REF!</definedName>
    <definedName name="OSRRefDM19x_0_0" localSheetId="0">'BS Seg Total'!#REF!</definedName>
    <definedName name="OSRRefDM21x_0_0" localSheetId="0">'BS Seg Total'!#REF!</definedName>
    <definedName name="OSRRefDM25x_0_0" localSheetId="0">'BS Seg Total'!#REF!</definedName>
    <definedName name="OSRRefDM27x_0_0" localSheetId="0">'BS Seg Total'!#REF!</definedName>
    <definedName name="OSRRefDM29x_0_0" localSheetId="0">'BS Seg Total'!#REF!</definedName>
    <definedName name="OSRRefDM31x_0_0" localSheetId="0">'BS Seg Total'!#REF!</definedName>
    <definedName name="OSRRefDM33x_0_0" localSheetId="0">'BS Seg Total'!#REF!</definedName>
    <definedName name="OSRRefDM38x_0_0" localSheetId="0">'BS Seg Total'!#REF!</definedName>
    <definedName name="OSRRefDM40x_0_0" localSheetId="0">'BS Seg Total'!#REF!</definedName>
    <definedName name="OSRRefDM42x_0_0" localSheetId="0">'BS Seg Total'!#REF!</definedName>
    <definedName name="OSRRefDM44x_0_0" localSheetId="0">'BS Seg Total'!#REF!</definedName>
    <definedName name="OSRRefDM46x_0_0" localSheetId="0">'BS Seg Total'!#REF!</definedName>
    <definedName name="OSRRefDM48x_0_0" localSheetId="0">'BS Seg Total'!#REF!</definedName>
    <definedName name="OSRRefDM50x_0_0" localSheetId="0">'BS Seg Total'!#REF!</definedName>
    <definedName name="OSRRefDM52x_0_0" localSheetId="0">'BS Seg Total'!#REF!</definedName>
    <definedName name="OSRRefDM54x_0_0" localSheetId="0">'BS Seg Total'!#REF!</definedName>
    <definedName name="OSRRefDM58x_0_0" localSheetId="0">'BS Seg Total'!#REF!</definedName>
    <definedName name="OSRRefDM60x_0_0" localSheetId="0">'BS Seg Total'!#REF!</definedName>
    <definedName name="OSRRefDM62x_0_0" localSheetId="0">'BS Seg Total'!#REF!</definedName>
    <definedName name="OSRRefDM64x_0_0" localSheetId="0">'BS Seg Total'!#REF!</definedName>
    <definedName name="OSRRefDM66x_0_0" localSheetId="0">'BS Seg Total'!#REF!</definedName>
    <definedName name="OSRRefDM72x_0_0" localSheetId="0">'BS Seg Total'!#REF!</definedName>
    <definedName name="OSRRefDM74x_0_0" localSheetId="0">'BS Seg Total'!#REF!</definedName>
    <definedName name="OSRRefDM76x_0_0" localSheetId="0">'BS Seg Total'!#REF!</definedName>
    <definedName name="OSRRefDM78x_0_0" localSheetId="0">'BS Seg Total'!#REF!</definedName>
    <definedName name="OSRRefDM80x_0_0" localSheetId="0">'BS Seg Total'!#REF!</definedName>
    <definedName name="OSRRefDM84x_0_0" localSheetId="0">'BS Seg Total'!#REF!</definedName>
    <definedName name="OSRRefDM98x_0_0" localSheetId="0">'BS Seg Total'!#REF!</definedName>
    <definedName name="OSRRefDN100x_0_0" localSheetId="0">'BS Seg Total'!#REF!</definedName>
    <definedName name="OSRRefDN102x_0_0" localSheetId="0">'BS Seg Total'!#REF!</definedName>
    <definedName name="OSRRefDN104x_0_0" localSheetId="0">'BS Seg Total'!#REF!</definedName>
    <definedName name="OSRRefDN106x_0_0" localSheetId="0">'BS Seg Total'!#REF!</definedName>
    <definedName name="OSRRefDN11x_0_0" localSheetId="0">'BS Seg Total'!#REF!</definedName>
    <definedName name="OSRRefDN13x_0_0" localSheetId="0">'BS Seg Total'!#REF!</definedName>
    <definedName name="OSRRefDN15x_0_0" localSheetId="0">'BS Seg Total'!#REF!</definedName>
    <definedName name="OSRRefDN17x_0_0" localSheetId="0">'BS Seg Total'!#REF!</definedName>
    <definedName name="OSRRefDN19x_0_0" localSheetId="0">'BS Seg Total'!#REF!</definedName>
    <definedName name="OSRRefDN21x_0_0" localSheetId="0">'BS Seg Total'!#REF!</definedName>
    <definedName name="OSRRefDN25x_0_0" localSheetId="0">'BS Seg Total'!#REF!</definedName>
    <definedName name="OSRRefDN27x_0_0" localSheetId="0">'BS Seg Total'!#REF!</definedName>
    <definedName name="OSRRefDN29x_0_0" localSheetId="0">'BS Seg Total'!#REF!</definedName>
    <definedName name="OSRRefDN31x_0_0" localSheetId="0">'BS Seg Total'!#REF!</definedName>
    <definedName name="OSRRefDN33x_0_0" localSheetId="0">'BS Seg Total'!#REF!</definedName>
    <definedName name="OSRRefDN38x_0_0" localSheetId="0">'BS Seg Total'!#REF!</definedName>
    <definedName name="OSRRefDN40x_0_0" localSheetId="0">'BS Seg Total'!#REF!</definedName>
    <definedName name="OSRRefDN42x_0_0" localSheetId="0">'BS Seg Total'!#REF!</definedName>
    <definedName name="OSRRefDN44x_0_0" localSheetId="0">'BS Seg Total'!#REF!</definedName>
    <definedName name="OSRRefDN46x_0_0" localSheetId="0">'BS Seg Total'!#REF!</definedName>
    <definedName name="OSRRefDN48x_0_0" localSheetId="0">'BS Seg Total'!#REF!</definedName>
    <definedName name="OSRRefDN50x_0_0" localSheetId="0">'BS Seg Total'!#REF!</definedName>
    <definedName name="OSRRefDN52x_0_0" localSheetId="0">'BS Seg Total'!#REF!</definedName>
    <definedName name="OSRRefDN54x_0_0" localSheetId="0">'BS Seg Total'!#REF!</definedName>
    <definedName name="OSRRefDN58x_0_0" localSheetId="0">'BS Seg Total'!#REF!</definedName>
    <definedName name="OSRRefDN60x_0_0" localSheetId="0">'BS Seg Total'!#REF!</definedName>
    <definedName name="OSRRefDN62x_0_0" localSheetId="0">'BS Seg Total'!#REF!</definedName>
    <definedName name="OSRRefDN64x_0_0" localSheetId="0">'BS Seg Total'!#REF!</definedName>
    <definedName name="OSRRefDN66x_0_0" localSheetId="0">'BS Seg Total'!#REF!</definedName>
    <definedName name="OSRRefDN72x_0_0" localSheetId="0">'BS Seg Total'!#REF!</definedName>
    <definedName name="OSRRefDN74x_0_0" localSheetId="0">'BS Seg Total'!#REF!</definedName>
    <definedName name="OSRRefDN76x_0_0" localSheetId="0">'BS Seg Total'!#REF!</definedName>
    <definedName name="OSRRefDN78x_0_0" localSheetId="0">'BS Seg Total'!#REF!</definedName>
    <definedName name="OSRRefDN80x_0_0" localSheetId="0">'BS Seg Total'!#REF!</definedName>
    <definedName name="OSRRefDN84x_0_0" localSheetId="0">'BS Seg Total'!#REF!</definedName>
    <definedName name="OSRRefDN98x_0_0" localSheetId="0">'BS Seg Total'!#REF!</definedName>
    <definedName name="OSRRefDO100x_0_0" localSheetId="0">'BS Seg Total'!#REF!</definedName>
    <definedName name="OSRRefDO102x_0_0" localSheetId="0">'BS Seg Total'!#REF!</definedName>
    <definedName name="OSRRefDO104x_0_0" localSheetId="0">'BS Seg Total'!#REF!</definedName>
    <definedName name="OSRRefDO106x_0_0" localSheetId="0">'BS Seg Total'!#REF!</definedName>
    <definedName name="OSRRefDO11x_0_0" localSheetId="0">'BS Seg Total'!#REF!</definedName>
    <definedName name="OSRRefDO13x_0_0" localSheetId="0">'BS Seg Total'!#REF!</definedName>
    <definedName name="OSRRefDO15x_0_0" localSheetId="0">'BS Seg Total'!#REF!</definedName>
    <definedName name="OSRRefDO17x_0_0" localSheetId="0">'BS Seg Total'!#REF!</definedName>
    <definedName name="OSRRefDO19x_0_0" localSheetId="0">'BS Seg Total'!#REF!</definedName>
    <definedName name="OSRRefDO21x_0_0" localSheetId="0">'BS Seg Total'!#REF!</definedName>
    <definedName name="OSRRefDO25x_0_0" localSheetId="0">'BS Seg Total'!#REF!</definedName>
    <definedName name="OSRRefDO27x_0_0" localSheetId="0">'BS Seg Total'!#REF!</definedName>
    <definedName name="OSRRefDO29x_0_0" localSheetId="0">'BS Seg Total'!#REF!</definedName>
    <definedName name="OSRRefDO31x_0_0" localSheetId="0">'BS Seg Total'!#REF!</definedName>
    <definedName name="OSRRefDO33x_0_0" localSheetId="0">'BS Seg Total'!#REF!</definedName>
    <definedName name="OSRRefDO38x_0_0" localSheetId="0">'BS Seg Total'!#REF!</definedName>
    <definedName name="OSRRefDO40x_0_0" localSheetId="0">'BS Seg Total'!#REF!</definedName>
    <definedName name="OSRRefDO42x_0_0" localSheetId="0">'BS Seg Total'!#REF!</definedName>
    <definedName name="OSRRefDO44x_0_0" localSheetId="0">'BS Seg Total'!#REF!</definedName>
    <definedName name="OSRRefDO46x_0_0" localSheetId="0">'BS Seg Total'!#REF!</definedName>
    <definedName name="OSRRefDO48x_0_0" localSheetId="0">'BS Seg Total'!#REF!</definedName>
    <definedName name="OSRRefDO50x_0_0" localSheetId="0">'BS Seg Total'!#REF!</definedName>
    <definedName name="OSRRefDO52x_0_0" localSheetId="0">'BS Seg Total'!#REF!</definedName>
    <definedName name="OSRRefDO54x_0_0" localSheetId="0">'BS Seg Total'!#REF!</definedName>
    <definedName name="OSRRefDO58x_0_0" localSheetId="0">'BS Seg Total'!#REF!</definedName>
    <definedName name="OSRRefDO60x_0_0" localSheetId="0">'BS Seg Total'!#REF!</definedName>
    <definedName name="OSRRefDO62x_0_0" localSheetId="0">'BS Seg Total'!#REF!</definedName>
    <definedName name="OSRRefDO64x_0_0" localSheetId="0">'BS Seg Total'!#REF!</definedName>
    <definedName name="OSRRefDO66x_0_0" localSheetId="0">'BS Seg Total'!#REF!</definedName>
    <definedName name="OSRRefDO72x_0_0" localSheetId="0">'BS Seg Total'!#REF!</definedName>
    <definedName name="OSRRefDO74x_0_0" localSheetId="0">'BS Seg Total'!#REF!</definedName>
    <definedName name="OSRRefDO76x_0_0" localSheetId="0">'BS Seg Total'!#REF!</definedName>
    <definedName name="OSRRefDO78x_0_0" localSheetId="0">'BS Seg Total'!#REF!</definedName>
    <definedName name="OSRRefDO80x_0_0" localSheetId="0">'BS Seg Total'!#REF!</definedName>
    <definedName name="OSRRefDO84x_0_0" localSheetId="0">'BS Seg Total'!#REF!</definedName>
    <definedName name="OSRRefDO98x_0_0" localSheetId="0">'BS Seg Total'!#REF!</definedName>
    <definedName name="OSRRefDQ100x_0_0" localSheetId="0">'BS Seg Total'!#REF!</definedName>
    <definedName name="OSRRefDQ102x_0_0" localSheetId="0">'BS Seg Total'!#REF!</definedName>
    <definedName name="OSRRefDQ104x_0_0" localSheetId="0">'BS Seg Total'!#REF!</definedName>
    <definedName name="OSRRefDQ106x_0_0" localSheetId="0">'BS Seg Total'!#REF!</definedName>
    <definedName name="OSRRefDQ11x_0_0" localSheetId="0">'BS Seg Total'!#REF!</definedName>
    <definedName name="OSRRefDQ13x_0_0" localSheetId="0">'BS Seg Total'!#REF!</definedName>
    <definedName name="OSRRefDQ15x_0_0" localSheetId="0">'BS Seg Total'!#REF!</definedName>
    <definedName name="OSRRefDQ17x_0_0" localSheetId="0">'BS Seg Total'!#REF!</definedName>
    <definedName name="OSRRefDQ19x_0_0" localSheetId="0">'BS Seg Total'!#REF!</definedName>
    <definedName name="OSRRefDQ21x_0_0" localSheetId="0">'BS Seg Total'!#REF!</definedName>
    <definedName name="OSRRefDQ25x_0_0" localSheetId="0">'BS Seg Total'!#REF!</definedName>
    <definedName name="OSRRefDQ27x_0_0" localSheetId="0">'BS Seg Total'!#REF!</definedName>
    <definedName name="OSRRefDQ29x_0_0" localSheetId="0">'BS Seg Total'!#REF!</definedName>
    <definedName name="OSRRefDQ31x_0_0" localSheetId="0">'BS Seg Total'!#REF!</definedName>
    <definedName name="OSRRefDQ33x_0_0" localSheetId="0">'BS Seg Total'!#REF!</definedName>
    <definedName name="OSRRefDQ38x_0_0" localSheetId="0">'BS Seg Total'!#REF!</definedName>
    <definedName name="OSRRefDQ40x_0_0" localSheetId="0">'BS Seg Total'!#REF!</definedName>
    <definedName name="OSRRefDQ42x_0_0" localSheetId="0">'BS Seg Total'!#REF!</definedName>
    <definedName name="OSRRefDQ44x_0_0" localSheetId="0">'BS Seg Total'!#REF!</definedName>
    <definedName name="OSRRefDQ46x_0_0" localSheetId="0">'BS Seg Total'!#REF!</definedName>
    <definedName name="OSRRefDQ48x_0_0" localSheetId="0">'BS Seg Total'!#REF!</definedName>
    <definedName name="OSRRefDQ50x_0_0" localSheetId="0">'BS Seg Total'!#REF!</definedName>
    <definedName name="OSRRefDQ52x_0_0" localSheetId="0">'BS Seg Total'!#REF!</definedName>
    <definedName name="OSRRefDQ54x_0_0" localSheetId="0">'BS Seg Total'!#REF!</definedName>
    <definedName name="OSRRefDQ58x_0_0" localSheetId="0">'BS Seg Total'!#REF!</definedName>
    <definedName name="OSRRefDQ60x_0_0" localSheetId="0">'BS Seg Total'!#REF!</definedName>
    <definedName name="OSRRefDQ62x_0_0" localSheetId="0">'BS Seg Total'!#REF!</definedName>
    <definedName name="OSRRefDQ64x_0_0" localSheetId="0">'BS Seg Total'!#REF!</definedName>
    <definedName name="OSRRefDQ66x_0_0" localSheetId="0">'BS Seg Total'!#REF!</definedName>
    <definedName name="OSRRefDQ72x_0_0" localSheetId="0">'BS Seg Total'!#REF!</definedName>
    <definedName name="OSRRefDQ74x_0_0" localSheetId="0">'BS Seg Total'!#REF!</definedName>
    <definedName name="OSRRefDQ76x_0_0" localSheetId="0">'BS Seg Total'!#REF!</definedName>
    <definedName name="OSRRefDQ78x_0_0" localSheetId="0">'BS Seg Total'!#REF!</definedName>
    <definedName name="OSRRefDQ80x_0_0" localSheetId="0">'BS Seg Total'!#REF!</definedName>
    <definedName name="OSRRefDQ84x_0_0" localSheetId="0">'BS Seg Total'!#REF!</definedName>
    <definedName name="OSRRefDQ98x_0_0" localSheetId="0">'BS Seg Total'!#REF!</definedName>
    <definedName name="OSRRefI100x_0_0" localSheetId="0">'BS Seg Total'!#REF!</definedName>
    <definedName name="OSRRefI102x_0_0" localSheetId="0">'BS Seg Total'!#REF!</definedName>
    <definedName name="OSRRefI104x_0_0" localSheetId="0">'BS Seg Total'!#REF!</definedName>
    <definedName name="OSRRefI106x_0_0" localSheetId="0">'BS Seg Total'!#REF!</definedName>
    <definedName name="OSRRefI11x_0_0" localSheetId="0">'BS Seg Total'!#REF!</definedName>
    <definedName name="OSRRefI13x_0_0" localSheetId="0">'BS Seg Total'!#REF!</definedName>
    <definedName name="OSRRefI15x_0_0" localSheetId="0">'BS Seg Total'!#REF!</definedName>
    <definedName name="OSRRefI17x_0_0" localSheetId="0">'BS Seg Total'!#REF!</definedName>
    <definedName name="OSRRefI19x_0_0" localSheetId="0">'BS Seg Total'!#REF!</definedName>
    <definedName name="OSRRefI21x_0_0" localSheetId="0">'BS Seg Total'!#REF!</definedName>
    <definedName name="OSRRefI25x_0_0" localSheetId="0">'BS Seg Total'!#REF!</definedName>
    <definedName name="OSRRefI27x_0_0" localSheetId="0">'BS Seg Total'!#REF!</definedName>
    <definedName name="OSRRefI29x_0_0" localSheetId="0">'BS Seg Total'!#REF!</definedName>
    <definedName name="OSRRefI31x_0_0" localSheetId="0">'BS Seg Total'!#REF!</definedName>
    <definedName name="OSRRefI33x_0_0" localSheetId="0">'BS Seg Total'!#REF!</definedName>
    <definedName name="OSRRefI38x_0_0" localSheetId="0">'BS Seg Total'!#REF!</definedName>
    <definedName name="OSRRefI40x_0_0" localSheetId="0">'BS Seg Total'!#REF!</definedName>
    <definedName name="OSRRefI42x_0_0" localSheetId="0">'BS Seg Total'!#REF!</definedName>
    <definedName name="OSRRefI44x_0_0" localSheetId="0">'BS Seg Total'!#REF!</definedName>
    <definedName name="OSRRefI46x_0_0" localSheetId="0">'BS Seg Total'!#REF!</definedName>
    <definedName name="OSRRefI48x_0_0" localSheetId="0">'BS Seg Total'!#REF!</definedName>
    <definedName name="OSRRefI50x_0_0" localSheetId="0">'BS Seg Total'!#REF!</definedName>
    <definedName name="OSRRefI52x_0_0" localSheetId="0">'BS Seg Total'!#REF!</definedName>
    <definedName name="OSRRefI54x_0_0" localSheetId="0">'BS Seg Total'!#REF!</definedName>
    <definedName name="OSRRefI58x_0_0" localSheetId="0">'BS Seg Total'!#REF!</definedName>
    <definedName name="OSRRefI60x_0_0" localSheetId="0">'BS Seg Total'!#REF!</definedName>
    <definedName name="OSRRefI62x_0_0" localSheetId="0">'BS Seg Total'!#REF!</definedName>
    <definedName name="OSRRefI64x_0_0" localSheetId="0">'BS Seg Total'!#REF!</definedName>
    <definedName name="OSRRefI66x_0_0" localSheetId="0">'BS Seg Total'!#REF!</definedName>
    <definedName name="OSRRefI72x_0_0" localSheetId="0">'BS Seg Total'!#REF!</definedName>
    <definedName name="OSRRefI74x_0_0" localSheetId="0">'BS Seg Total'!#REF!</definedName>
    <definedName name="OSRRefI76x_0_0" localSheetId="0">'BS Seg Total'!#REF!</definedName>
    <definedName name="OSRRefI78x_0_0" localSheetId="0">'BS Seg Total'!#REF!</definedName>
    <definedName name="OSRRefI80x_0_0" localSheetId="0">'BS Seg Total'!#REF!</definedName>
    <definedName name="OSRRefI84x_0_0" localSheetId="0">'BS Seg Total'!#REF!</definedName>
    <definedName name="OSRRefI98x_0_0" localSheetId="0">'BS Seg Total'!#REF!</definedName>
    <definedName name="OSRRefJ100x_0_0" localSheetId="0">'BS Seg Total'!#REF!</definedName>
    <definedName name="OSRRefJ102x_0_0" localSheetId="0">'BS Seg Total'!#REF!</definedName>
    <definedName name="OSRRefJ104x_0_0" localSheetId="0">'BS Seg Total'!#REF!</definedName>
    <definedName name="OSRRefJ106x_0_0" localSheetId="0">'BS Seg Total'!#REF!</definedName>
    <definedName name="OSRRefJ11x_0_0" localSheetId="0">'BS Seg Total'!#REF!</definedName>
    <definedName name="OSRRefJ13x_0_0" localSheetId="0">'BS Seg Total'!#REF!</definedName>
    <definedName name="OSRRefJ15x_0_0" localSheetId="0">'BS Seg Total'!#REF!</definedName>
    <definedName name="OSRRefJ17x_0_0" localSheetId="0">'BS Seg Total'!#REF!</definedName>
    <definedName name="OSRRefJ19x_0_0" localSheetId="0">'BS Seg Total'!#REF!</definedName>
    <definedName name="OSRRefJ21x_0_0" localSheetId="0">'BS Seg Total'!#REF!</definedName>
    <definedName name="OSRRefJ25x_0_0" localSheetId="0">'BS Seg Total'!#REF!</definedName>
    <definedName name="OSRRefJ27x_0_0" localSheetId="0">'BS Seg Total'!#REF!</definedName>
    <definedName name="OSRRefJ29x_0_0" localSheetId="0">'BS Seg Total'!#REF!</definedName>
    <definedName name="OSRRefJ31x_0_0" localSheetId="0">'BS Seg Total'!#REF!</definedName>
    <definedName name="OSRRefJ33x_0_0" localSheetId="0">'BS Seg Total'!#REF!</definedName>
    <definedName name="OSRRefJ38x_0_0" localSheetId="0">'BS Seg Total'!#REF!</definedName>
    <definedName name="OSRRefJ40x_0_0" localSheetId="0">'BS Seg Total'!#REF!</definedName>
    <definedName name="OSRRefJ42x_0_0" localSheetId="0">'BS Seg Total'!#REF!</definedName>
    <definedName name="OSRRefJ44x_0_0" localSheetId="0">'BS Seg Total'!#REF!</definedName>
    <definedName name="OSRRefJ46x_0_0" localSheetId="0">'BS Seg Total'!#REF!</definedName>
    <definedName name="OSRRefJ48x_0_0" localSheetId="0">'BS Seg Total'!#REF!</definedName>
    <definedName name="OSRRefJ50x_0_0" localSheetId="0">'BS Seg Total'!#REF!</definedName>
    <definedName name="OSRRefJ52x_0_0" localSheetId="0">'BS Seg Total'!#REF!</definedName>
    <definedName name="OSRRefJ54x_0_0" localSheetId="0">'BS Seg Total'!#REF!</definedName>
    <definedName name="OSRRefJ58x_0_0" localSheetId="0">'BS Seg Total'!#REF!</definedName>
    <definedName name="OSRRefJ60x_0_0" localSheetId="0">'BS Seg Total'!#REF!</definedName>
    <definedName name="OSRRefJ62x_0_0" localSheetId="0">'BS Seg Total'!#REF!</definedName>
    <definedName name="OSRRefJ64x_0_0" localSheetId="0">'BS Seg Total'!#REF!</definedName>
    <definedName name="OSRRefJ66x_0_0" localSheetId="0">'BS Seg Total'!#REF!</definedName>
    <definedName name="OSRRefJ72x_0_0" localSheetId="0">'BS Seg Total'!#REF!</definedName>
    <definedName name="OSRRefJ74x_0_0" localSheetId="0">'BS Seg Total'!#REF!</definedName>
    <definedName name="OSRRefJ76x_0_0" localSheetId="0">'BS Seg Total'!#REF!</definedName>
    <definedName name="OSRRefJ78x_0_0" localSheetId="0">'BS Seg Total'!#REF!</definedName>
    <definedName name="OSRRefJ80x_0_0" localSheetId="0">'BS Seg Total'!#REF!</definedName>
    <definedName name="OSRRefJ84x_0_0" localSheetId="0">'BS Seg Total'!#REF!</definedName>
    <definedName name="OSRRefJ98x_0_0" localSheetId="0">'BS Seg Total'!#REF!</definedName>
    <definedName name="OSRRefL100x_0_0" localSheetId="0">'BS Seg Total'!#REF!</definedName>
    <definedName name="OSRRefL102x_0_0" localSheetId="0">'BS Seg Total'!#REF!</definedName>
    <definedName name="OSRRefL104x_0_0" localSheetId="0">'BS Seg Total'!#REF!</definedName>
    <definedName name="OSRRefL106x_0_0" localSheetId="0">'BS Seg Total'!#REF!</definedName>
    <definedName name="OSRRefL11x_0_0" localSheetId="0">'BS Seg Total'!#REF!</definedName>
    <definedName name="OSRRefL13x_0_0" localSheetId="0">'BS Seg Total'!#REF!</definedName>
    <definedName name="OSRRefL15x_0_0" localSheetId="0">'BS Seg Total'!#REF!</definedName>
    <definedName name="OSRRefL17x_0_0" localSheetId="0">'BS Seg Total'!#REF!</definedName>
    <definedName name="OSRRefL19x_0_0" localSheetId="0">'BS Seg Total'!#REF!</definedName>
    <definedName name="OSRRefL21x_0_0" localSheetId="0">'BS Seg Total'!#REF!</definedName>
    <definedName name="OSRRefL25x_0_0" localSheetId="0">'BS Seg Total'!#REF!</definedName>
    <definedName name="OSRRefL27x_0_0" localSheetId="0">'BS Seg Total'!#REF!</definedName>
    <definedName name="OSRRefL29x_0_0" localSheetId="0">'BS Seg Total'!#REF!</definedName>
    <definedName name="OSRRefL31x_0_0" localSheetId="0">'BS Seg Total'!#REF!</definedName>
    <definedName name="OSRRefL33x_0_0" localSheetId="0">'BS Seg Total'!#REF!</definedName>
    <definedName name="OSRRefL38x_0_0" localSheetId="0">'BS Seg Total'!#REF!</definedName>
    <definedName name="OSRRefL40x_0_0" localSheetId="0">'BS Seg Total'!#REF!</definedName>
    <definedName name="OSRRefL42x_0_0" localSheetId="0">'BS Seg Total'!#REF!</definedName>
    <definedName name="OSRRefL44x_0_0" localSheetId="0">'BS Seg Total'!#REF!</definedName>
    <definedName name="OSRRefL46x_0_0" localSheetId="0">'BS Seg Total'!#REF!</definedName>
    <definedName name="OSRRefL48x_0_0" localSheetId="0">'BS Seg Total'!#REF!</definedName>
    <definedName name="OSRRefL50x_0_0" localSheetId="0">'BS Seg Total'!#REF!</definedName>
    <definedName name="OSRRefL52x_0_0" localSheetId="0">'BS Seg Total'!#REF!</definedName>
    <definedName name="OSRRefL54x_0_0" localSheetId="0">'BS Seg Total'!#REF!</definedName>
    <definedName name="OSRRefL58x_0_0" localSheetId="0">'BS Seg Total'!#REF!</definedName>
    <definedName name="OSRRefL60x_0_0" localSheetId="0">'BS Seg Total'!#REF!</definedName>
    <definedName name="OSRRefL62x_0_0" localSheetId="0">'BS Seg Total'!#REF!</definedName>
    <definedName name="OSRRefL64x_0_0" localSheetId="0">'BS Seg Total'!#REF!</definedName>
    <definedName name="OSRRefL66x_0_0" localSheetId="0">'BS Seg Total'!#REF!</definedName>
    <definedName name="OSRRefL72x_0_0" localSheetId="0">'BS Seg Total'!#REF!</definedName>
    <definedName name="OSRRefL74x_0_0" localSheetId="0">'BS Seg Total'!#REF!</definedName>
    <definedName name="OSRRefL76x_0_0" localSheetId="0">'BS Seg Total'!#REF!</definedName>
    <definedName name="OSRRefL78x_0_0" localSheetId="0">'BS Seg Total'!#REF!</definedName>
    <definedName name="OSRRefL80x_0_0" localSheetId="0">'BS Seg Total'!#REF!</definedName>
    <definedName name="OSRRefL84x_0_0" localSheetId="0">'BS Seg Total'!#REF!</definedName>
    <definedName name="OSRRefL98x_0_0" localSheetId="0">'BS Seg Total'!#REF!</definedName>
    <definedName name="OSRRefM100x_0_0" localSheetId="0">'BS Seg Total'!#REF!</definedName>
    <definedName name="OSRRefM102x_0_0" localSheetId="0">'BS Seg Total'!#REF!</definedName>
    <definedName name="OSRRefM104x_0_0" localSheetId="0">'BS Seg Total'!#REF!</definedName>
    <definedName name="OSRRefM106x_0_0" localSheetId="0">'BS Seg Total'!#REF!</definedName>
    <definedName name="OSRRefM11x_0_0" localSheetId="0">'BS Seg Total'!#REF!</definedName>
    <definedName name="OSRRefM13x_0_0" localSheetId="0">'BS Seg Total'!#REF!</definedName>
    <definedName name="OSRRefM15x_0_0" localSheetId="0">'BS Seg Total'!#REF!</definedName>
    <definedName name="OSRRefM17x_0_0" localSheetId="0">'BS Seg Total'!#REF!</definedName>
    <definedName name="OSRRefM19x_0_0" localSheetId="0">'BS Seg Total'!#REF!</definedName>
    <definedName name="OSRRefM21x_0_0" localSheetId="0">'BS Seg Total'!#REF!</definedName>
    <definedName name="OSRRefM25x_0_0" localSheetId="0">'BS Seg Total'!#REF!</definedName>
    <definedName name="OSRRefM27x_0_0" localSheetId="0">'BS Seg Total'!#REF!</definedName>
    <definedName name="OSRRefM29x_0_0" localSheetId="0">'BS Seg Total'!#REF!</definedName>
    <definedName name="OSRRefM31x_0_0" localSheetId="0">'BS Seg Total'!#REF!</definedName>
    <definedName name="OSRRefM33x_0_0" localSheetId="0">'BS Seg Total'!#REF!</definedName>
    <definedName name="OSRRefM38x_0_0" localSheetId="0">'BS Seg Total'!#REF!</definedName>
    <definedName name="OSRRefM40x_0_0" localSheetId="0">'BS Seg Total'!#REF!</definedName>
    <definedName name="OSRRefM42x_0_0" localSheetId="0">'BS Seg Total'!#REF!</definedName>
    <definedName name="OSRRefM44x_0_0" localSheetId="0">'BS Seg Total'!#REF!</definedName>
    <definedName name="OSRRefM46x_0_0" localSheetId="0">'BS Seg Total'!#REF!</definedName>
    <definedName name="OSRRefM48x_0_0" localSheetId="0">'BS Seg Total'!#REF!</definedName>
    <definedName name="OSRRefM50x_0_0" localSheetId="0">'BS Seg Total'!#REF!</definedName>
    <definedName name="OSRRefM52x_0_0" localSheetId="0">'BS Seg Total'!#REF!</definedName>
    <definedName name="OSRRefM54x_0_0" localSheetId="0">'BS Seg Total'!#REF!</definedName>
    <definedName name="OSRRefM58x_0_0" localSheetId="0">'BS Seg Total'!#REF!</definedName>
    <definedName name="OSRRefM60x_0_0" localSheetId="0">'BS Seg Total'!#REF!</definedName>
    <definedName name="OSRRefM62x_0_0" localSheetId="0">'BS Seg Total'!#REF!</definedName>
    <definedName name="OSRRefM64x_0_0" localSheetId="0">'BS Seg Total'!#REF!</definedName>
    <definedName name="OSRRefM66x_0_0" localSheetId="0">'BS Seg Total'!#REF!</definedName>
    <definedName name="OSRRefM72x_0_0" localSheetId="0">'BS Seg Total'!#REF!</definedName>
    <definedName name="OSRRefM74x_0_0" localSheetId="0">'BS Seg Total'!#REF!</definedName>
    <definedName name="OSRRefM76x_0_0" localSheetId="0">'BS Seg Total'!#REF!</definedName>
    <definedName name="OSRRefM78x_0_0" localSheetId="0">'BS Seg Total'!#REF!</definedName>
    <definedName name="OSRRefM80x_0_0" localSheetId="0">'BS Seg Total'!#REF!</definedName>
    <definedName name="OSRRefM84x_0_0" localSheetId="0">'BS Seg Total'!#REF!</definedName>
    <definedName name="OSRRefM98x_0_0" localSheetId="0">'BS Seg Total'!#REF!</definedName>
    <definedName name="OSRRefO100x_0_0" localSheetId="0">'BS Seg Total'!#REF!</definedName>
    <definedName name="OSRRefO102x_0_0" localSheetId="0">'BS Seg Total'!#REF!</definedName>
    <definedName name="OSRRefO104x_0_0" localSheetId="0">'BS Seg Total'!#REF!</definedName>
    <definedName name="OSRRefO106x_0_0" localSheetId="0">'BS Seg Total'!#REF!</definedName>
    <definedName name="OSRRefO11x_0_0" localSheetId="0">'BS Seg Total'!#REF!</definedName>
    <definedName name="OSRRefO13x_0_0" localSheetId="0">'BS Seg Total'!#REF!</definedName>
    <definedName name="OSRRefO15x_0_0" localSheetId="0">'BS Seg Total'!#REF!</definedName>
    <definedName name="OSRRefO17x_0_0" localSheetId="0">'BS Seg Total'!#REF!</definedName>
    <definedName name="OSRRefO19x_0_0" localSheetId="0">'BS Seg Total'!#REF!</definedName>
    <definedName name="OSRRefO21x_0_0" localSheetId="0">'BS Seg Total'!#REF!</definedName>
    <definedName name="OSRRefO25x_0_0" localSheetId="0">'BS Seg Total'!#REF!</definedName>
    <definedName name="OSRRefO27x_0_0" localSheetId="0">'BS Seg Total'!#REF!</definedName>
    <definedName name="OSRRefO29x_0_0" localSheetId="0">'BS Seg Total'!#REF!</definedName>
    <definedName name="OSRRefO31x_0_0" localSheetId="0">'BS Seg Total'!#REF!</definedName>
    <definedName name="OSRRefO33x_0_0" localSheetId="0">'BS Seg Total'!#REF!</definedName>
    <definedName name="OSRRefO38x_0_0" localSheetId="0">'BS Seg Total'!#REF!</definedName>
    <definedName name="OSRRefO40x_0_0" localSheetId="0">'BS Seg Total'!#REF!</definedName>
    <definedName name="OSRRefO42x_0_0" localSheetId="0">'BS Seg Total'!#REF!</definedName>
    <definedName name="OSRRefO44x_0_0" localSheetId="0">'BS Seg Total'!#REF!</definedName>
    <definedName name="OSRRefO46x_0_0" localSheetId="0">'BS Seg Total'!#REF!</definedName>
    <definedName name="OSRRefO48x_0_0" localSheetId="0">'BS Seg Total'!#REF!</definedName>
    <definedName name="OSRRefO50x_0_0" localSheetId="0">'BS Seg Total'!#REF!</definedName>
    <definedName name="OSRRefO52x_0_0" localSheetId="0">'BS Seg Total'!#REF!</definedName>
    <definedName name="OSRRefO54x_0_0" localSheetId="0">'BS Seg Total'!#REF!</definedName>
    <definedName name="OSRRefO58x_0_0" localSheetId="0">'BS Seg Total'!#REF!</definedName>
    <definedName name="OSRRefO60x_0_0" localSheetId="0">'BS Seg Total'!#REF!</definedName>
    <definedName name="OSRRefO62x_0_0" localSheetId="0">'BS Seg Total'!#REF!</definedName>
    <definedName name="OSRRefO64x_0_0" localSheetId="0">'BS Seg Total'!#REF!</definedName>
    <definedName name="OSRRefO66x_0_0" localSheetId="0">'BS Seg Total'!#REF!</definedName>
    <definedName name="OSRRefO72x_0_0" localSheetId="0">'BS Seg Total'!#REF!</definedName>
    <definedName name="OSRRefO74x_0_0" localSheetId="0">'BS Seg Total'!#REF!</definedName>
    <definedName name="OSRRefO76x_0_0" localSheetId="0">'BS Seg Total'!#REF!</definedName>
    <definedName name="OSRRefO78x_0_0" localSheetId="0">'BS Seg Total'!#REF!</definedName>
    <definedName name="OSRRefO80x_0_0" localSheetId="0">'BS Seg Total'!#REF!</definedName>
    <definedName name="OSRRefO84x_0_0" localSheetId="0">'BS Seg Total'!#REF!</definedName>
    <definedName name="OSRRefO98x_0_0" localSheetId="0">'BS Seg Total'!#REF!</definedName>
    <definedName name="OSRRefP100x_0_0" localSheetId="0">'BS Seg Total'!#REF!</definedName>
    <definedName name="OSRRefP102x_0_0" localSheetId="0">'BS Seg Total'!#REF!</definedName>
    <definedName name="OSRRefP104x_0_0" localSheetId="0">'BS Seg Total'!#REF!</definedName>
    <definedName name="OSRRefP106x_0_0" localSheetId="0">'BS Seg Total'!#REF!</definedName>
    <definedName name="OSRRefP11x_0_0" localSheetId="0">'BS Seg Total'!#REF!</definedName>
    <definedName name="OSRRefP13x_0_0" localSheetId="0">'BS Seg Total'!#REF!</definedName>
    <definedName name="OSRRefP15x_0_0" localSheetId="0">'BS Seg Total'!#REF!</definedName>
    <definedName name="OSRRefP17x_0_0" localSheetId="0">'BS Seg Total'!#REF!</definedName>
    <definedName name="OSRRefP19x_0_0" localSheetId="0">'BS Seg Total'!#REF!</definedName>
    <definedName name="OSRRefP21x_0_0" localSheetId="0">'BS Seg Total'!#REF!</definedName>
    <definedName name="OSRRefP25x_0_0" localSheetId="0">'BS Seg Total'!#REF!</definedName>
    <definedName name="OSRRefP27x_0_0" localSheetId="0">'BS Seg Total'!#REF!</definedName>
    <definedName name="OSRRefP29x_0_0" localSheetId="0">'BS Seg Total'!#REF!</definedName>
    <definedName name="OSRRefP31x_0_0" localSheetId="0">'BS Seg Total'!#REF!</definedName>
    <definedName name="OSRRefP33x_0_0" localSheetId="0">'BS Seg Total'!#REF!</definedName>
    <definedName name="OSRRefP38x_0_0" localSheetId="0">'BS Seg Total'!#REF!</definedName>
    <definedName name="OSRRefP40x_0_0" localSheetId="0">'BS Seg Total'!#REF!</definedName>
    <definedName name="OSRRefP42x_0_0" localSheetId="0">'BS Seg Total'!#REF!</definedName>
    <definedName name="OSRRefP44x_0_0" localSheetId="0">'BS Seg Total'!#REF!</definedName>
    <definedName name="OSRRefP46x_0_0" localSheetId="0">'BS Seg Total'!#REF!</definedName>
    <definedName name="OSRRefP48x_0_0" localSheetId="0">'BS Seg Total'!#REF!</definedName>
    <definedName name="OSRRefP50x_0_0" localSheetId="0">'BS Seg Total'!#REF!</definedName>
    <definedName name="OSRRefP52x_0_0" localSheetId="0">'BS Seg Total'!#REF!</definedName>
    <definedName name="OSRRefP54x_0_0" localSheetId="0">'BS Seg Total'!#REF!</definedName>
    <definedName name="OSRRefP58x_0_0" localSheetId="0">'BS Seg Total'!#REF!</definedName>
    <definedName name="OSRRefP60x_0_0" localSheetId="0">'BS Seg Total'!#REF!</definedName>
    <definedName name="OSRRefP62x_0_0" localSheetId="0">'BS Seg Total'!#REF!</definedName>
    <definedName name="OSRRefP64x_0_0" localSheetId="0">'BS Seg Total'!#REF!</definedName>
    <definedName name="OSRRefP66x_0_0" localSheetId="0">'BS Seg Total'!#REF!</definedName>
    <definedName name="OSRRefP72x_0_0" localSheetId="0">'BS Seg Total'!#REF!</definedName>
    <definedName name="OSRRefP74x_0_0" localSheetId="0">'BS Seg Total'!#REF!</definedName>
    <definedName name="OSRRefP76x_0_0" localSheetId="0">'BS Seg Total'!#REF!</definedName>
    <definedName name="OSRRefP78x_0_0" localSheetId="0">'BS Seg Total'!#REF!</definedName>
    <definedName name="OSRRefP80x_0_0" localSheetId="0">'BS Seg Total'!#REF!</definedName>
    <definedName name="OSRRefP84x_0_0" localSheetId="0">'BS Seg Total'!#REF!</definedName>
    <definedName name="OSRRefP98x_0_0" localSheetId="0">'BS Seg Total'!#REF!</definedName>
    <definedName name="OSRRefQ100x_0_0" localSheetId="0">'BS Seg Total'!#REF!</definedName>
    <definedName name="OSRRefQ102x_0_0" localSheetId="0">'BS Seg Total'!#REF!</definedName>
    <definedName name="OSRRefQ104x_0_0" localSheetId="0">'BS Seg Total'!#REF!</definedName>
    <definedName name="OSRRefQ106x_0_0" localSheetId="0">'BS Seg Total'!#REF!</definedName>
    <definedName name="OSRRefQ11x_0_0" localSheetId="0">'BS Seg Total'!#REF!</definedName>
    <definedName name="OSRRefQ13x_0_0" localSheetId="0">'BS Seg Total'!#REF!</definedName>
    <definedName name="OSRRefQ15x_0_0" localSheetId="0">'BS Seg Total'!#REF!</definedName>
    <definedName name="OSRRefQ17x_0_0" localSheetId="0">'BS Seg Total'!#REF!</definedName>
    <definedName name="OSRRefQ19x_0_0" localSheetId="0">'BS Seg Total'!#REF!</definedName>
    <definedName name="OSRRefQ21x_0_0" localSheetId="0">'BS Seg Total'!#REF!</definedName>
    <definedName name="OSRRefQ25x_0_0" localSheetId="0">'BS Seg Total'!#REF!</definedName>
    <definedName name="OSRRefQ27x_0_0" localSheetId="0">'BS Seg Total'!#REF!</definedName>
    <definedName name="OSRRefQ29x_0_0" localSheetId="0">'BS Seg Total'!#REF!</definedName>
    <definedName name="OSRRefQ31x_0_0" localSheetId="0">'BS Seg Total'!#REF!</definedName>
    <definedName name="OSRRefQ33x_0_0" localSheetId="0">'BS Seg Total'!#REF!</definedName>
    <definedName name="OSRRefQ38x_0_0" localSheetId="0">'BS Seg Total'!#REF!</definedName>
    <definedName name="OSRRefQ40x_0_0" localSheetId="0">'BS Seg Total'!#REF!</definedName>
    <definedName name="OSRRefQ42x_0_0" localSheetId="0">'BS Seg Total'!#REF!</definedName>
    <definedName name="OSRRefQ44x_0_0" localSheetId="0">'BS Seg Total'!#REF!</definedName>
    <definedName name="OSRRefQ46x_0_0" localSheetId="0">'BS Seg Total'!#REF!</definedName>
    <definedName name="OSRRefQ48x_0_0" localSheetId="0">'BS Seg Total'!#REF!</definedName>
    <definedName name="OSRRefQ50x_0_0" localSheetId="0">'BS Seg Total'!#REF!</definedName>
    <definedName name="OSRRefQ52x_0_0" localSheetId="0">'BS Seg Total'!#REF!</definedName>
    <definedName name="OSRRefQ54x_0_0" localSheetId="0">'BS Seg Total'!#REF!</definedName>
    <definedName name="OSRRefQ58x_0_0" localSheetId="0">'BS Seg Total'!#REF!</definedName>
    <definedName name="OSRRefQ60x_0_0" localSheetId="0">'BS Seg Total'!#REF!</definedName>
    <definedName name="OSRRefQ62x_0_0" localSheetId="0">'BS Seg Total'!#REF!</definedName>
    <definedName name="OSRRefQ64x_0_0" localSheetId="0">'BS Seg Total'!#REF!</definedName>
    <definedName name="OSRRefQ66x_0_0" localSheetId="0">'BS Seg Total'!#REF!</definedName>
    <definedName name="OSRRefQ72x_0_0" localSheetId="0">'BS Seg Total'!#REF!</definedName>
    <definedName name="OSRRefQ74x_0_0" localSheetId="0">'BS Seg Total'!#REF!</definedName>
    <definedName name="OSRRefQ76x_0_0" localSheetId="0">'BS Seg Total'!#REF!</definedName>
    <definedName name="OSRRefQ78x_0_0" localSheetId="0">'BS Seg Total'!#REF!</definedName>
    <definedName name="OSRRefQ80x_0_0" localSheetId="0">'BS Seg Total'!#REF!</definedName>
    <definedName name="OSRRefQ84x_0_0" localSheetId="0">'BS Seg Total'!#REF!</definedName>
    <definedName name="OSRRefQ98x_0_0" localSheetId="0">'BS Seg Total'!#REF!</definedName>
    <definedName name="OSRRefS100x_0_0" localSheetId="0">'BS Seg Total'!#REF!</definedName>
    <definedName name="OSRRefS102x_0_0" localSheetId="0">'BS Seg Total'!#REF!</definedName>
    <definedName name="OSRRefS104x_0_0" localSheetId="0">'BS Seg Total'!#REF!</definedName>
    <definedName name="OSRRefS106x_0_0" localSheetId="0">'BS Seg Total'!#REF!</definedName>
    <definedName name="OSRRefS11x_0_0" localSheetId="0">'BS Seg Total'!#REF!</definedName>
    <definedName name="OSRRefS13x_0_0" localSheetId="0">'BS Seg Total'!#REF!</definedName>
    <definedName name="OSRRefS15x_0_0" localSheetId="0">'BS Seg Total'!#REF!</definedName>
    <definedName name="OSRRefS17x_0_0" localSheetId="0">'BS Seg Total'!#REF!</definedName>
    <definedName name="OSRRefS19x_0_0" localSheetId="0">'BS Seg Total'!#REF!</definedName>
    <definedName name="OSRRefS21x_0_0" localSheetId="0">'BS Seg Total'!#REF!</definedName>
    <definedName name="OSRRefS25x_0_0" localSheetId="0">'BS Seg Total'!#REF!</definedName>
    <definedName name="OSRRefS27x_0_0" localSheetId="0">'BS Seg Total'!#REF!</definedName>
    <definedName name="OSRRefS29x_0_0" localSheetId="0">'BS Seg Total'!#REF!</definedName>
    <definedName name="OSRRefS31x_0_0" localSheetId="0">'BS Seg Total'!#REF!</definedName>
    <definedName name="OSRRefS33x_0_0" localSheetId="0">'BS Seg Total'!#REF!</definedName>
    <definedName name="OSRRefS38x_0_0" localSheetId="0">'BS Seg Total'!#REF!</definedName>
    <definedName name="OSRRefS40x_0_0" localSheetId="0">'BS Seg Total'!#REF!</definedName>
    <definedName name="OSRRefS42x_0_0" localSheetId="0">'BS Seg Total'!#REF!</definedName>
    <definedName name="OSRRefS44x_0_0" localSheetId="0">'BS Seg Total'!#REF!</definedName>
    <definedName name="OSRRefS46x_0_0" localSheetId="0">'BS Seg Total'!#REF!</definedName>
    <definedName name="OSRRefS48x_0_0" localSheetId="0">'BS Seg Total'!#REF!</definedName>
    <definedName name="OSRRefS50x_0_0" localSheetId="0">'BS Seg Total'!#REF!</definedName>
    <definedName name="OSRRefS52x_0_0" localSheetId="0">'BS Seg Total'!#REF!</definedName>
    <definedName name="OSRRefS54x_0_0" localSheetId="0">'BS Seg Total'!#REF!</definedName>
    <definedName name="OSRRefS58x_0_0" localSheetId="0">'BS Seg Total'!#REF!</definedName>
    <definedName name="OSRRefS60x_0_0" localSheetId="0">'BS Seg Total'!#REF!</definedName>
    <definedName name="OSRRefS62x_0_0" localSheetId="0">'BS Seg Total'!#REF!</definedName>
    <definedName name="OSRRefS64x_0_0" localSheetId="0">'BS Seg Total'!#REF!</definedName>
    <definedName name="OSRRefS66x_0_0" localSheetId="0">'BS Seg Total'!#REF!</definedName>
    <definedName name="OSRRefS72x_0_0" localSheetId="0">'BS Seg Total'!#REF!</definedName>
    <definedName name="OSRRefS74x_0_0" localSheetId="0">'BS Seg Total'!#REF!</definedName>
    <definedName name="OSRRefS76x_0_0" localSheetId="0">'BS Seg Total'!#REF!</definedName>
    <definedName name="OSRRefS78x_0_0" localSheetId="0">'BS Seg Total'!#REF!</definedName>
    <definedName name="OSRRefS80x_0_0" localSheetId="0">'BS Seg Total'!#REF!</definedName>
    <definedName name="OSRRefS84x_0_0" localSheetId="0">'BS Seg Total'!#REF!</definedName>
    <definedName name="OSRRefS98x_0_0" localSheetId="0">'BS Seg Total'!#REF!</definedName>
    <definedName name="OSRRefV100x_0_0" localSheetId="0">'BS Seg Total'!#REF!</definedName>
    <definedName name="OSRRefV102x_0_0" localSheetId="0">'BS Seg Total'!#REF!</definedName>
    <definedName name="OSRRefV104x_0_0" localSheetId="0">'BS Seg Total'!#REF!</definedName>
    <definedName name="OSRRefV106x_0_0" localSheetId="0">'BS Seg Total'!#REF!</definedName>
    <definedName name="OSRRefV11x_0_0" localSheetId="0">'BS Seg Total'!#REF!</definedName>
    <definedName name="OSRRefV13x_0_0" localSheetId="0">'BS Seg Total'!#REF!</definedName>
    <definedName name="OSRRefV15x_0_0" localSheetId="0">'BS Seg Total'!#REF!</definedName>
    <definedName name="OSRRefV17x_0_0" localSheetId="0">'BS Seg Total'!#REF!</definedName>
    <definedName name="OSRRefV19x_0_0" localSheetId="0">'BS Seg Total'!#REF!</definedName>
    <definedName name="OSRRefV21x_0_0" localSheetId="0">'BS Seg Total'!#REF!</definedName>
    <definedName name="OSRRefV25x_0_0" localSheetId="0">'BS Seg Total'!#REF!</definedName>
    <definedName name="OSRRefV27x_0_0" localSheetId="0">'BS Seg Total'!#REF!</definedName>
    <definedName name="OSRRefV29x_0_0" localSheetId="0">'BS Seg Total'!#REF!</definedName>
    <definedName name="OSRRefV31x_0_0" localSheetId="0">'BS Seg Total'!#REF!</definedName>
    <definedName name="OSRRefV33x_0_0" localSheetId="0">'BS Seg Total'!#REF!</definedName>
    <definedName name="OSRRefV38x_0_0" localSheetId="0">'BS Seg Total'!#REF!</definedName>
    <definedName name="OSRRefV40x_0_0" localSheetId="0">'BS Seg Total'!#REF!</definedName>
    <definedName name="OSRRefV42x_0_0" localSheetId="0">'BS Seg Total'!#REF!</definedName>
    <definedName name="OSRRefV44x_0_0" localSheetId="0">'BS Seg Total'!#REF!</definedName>
    <definedName name="OSRRefV46x_0_0" localSheetId="0">'BS Seg Total'!#REF!</definedName>
    <definedName name="OSRRefV48x_0_0" localSheetId="0">'BS Seg Total'!#REF!</definedName>
    <definedName name="OSRRefV50x_0_0" localSheetId="0">'BS Seg Total'!#REF!</definedName>
    <definedName name="OSRRefV52x_0_0" localSheetId="0">'BS Seg Total'!#REF!</definedName>
    <definedName name="OSRRefV54x_0_0" localSheetId="0">'BS Seg Total'!#REF!</definedName>
    <definedName name="OSRRefV58x_0_0" localSheetId="0">'BS Seg Total'!#REF!</definedName>
    <definedName name="OSRRefV60x_0_0" localSheetId="0">'BS Seg Total'!#REF!</definedName>
    <definedName name="OSRRefV62x_0_0" localSheetId="0">'BS Seg Total'!#REF!</definedName>
    <definedName name="OSRRefV64x_0_0" localSheetId="0">'BS Seg Total'!#REF!</definedName>
    <definedName name="OSRRefV66x_0_0" localSheetId="0">'BS Seg Total'!#REF!</definedName>
    <definedName name="OSRRefV72x_0_0" localSheetId="0">'BS Seg Total'!#REF!</definedName>
    <definedName name="OSRRefV74x_0_0" localSheetId="0">'BS Seg Total'!#REF!</definedName>
    <definedName name="OSRRefV76x_0_0" localSheetId="0">'BS Seg Total'!#REF!</definedName>
    <definedName name="OSRRefV78x_0_0" localSheetId="0">'BS Seg Total'!#REF!</definedName>
    <definedName name="OSRRefV80x_0_0" localSheetId="0">'BS Seg Total'!#REF!</definedName>
    <definedName name="OSRRefV84x_0_0" localSheetId="0">'BS Seg Total'!#REF!</definedName>
    <definedName name="OSRRefV98x_0_0" localSheetId="0">'BS Seg Total'!#REF!</definedName>
    <definedName name="OSRRefZ100x_0_0" localSheetId="0">'BS Seg Total'!#REF!</definedName>
    <definedName name="OSRRefZ102x_0_0" localSheetId="0">'BS Seg Total'!#REF!</definedName>
    <definedName name="OSRRefZ104x_0_0" localSheetId="0">'BS Seg Total'!#REF!</definedName>
    <definedName name="OSRRefZ106x_0_0" localSheetId="0">'BS Seg Total'!#REF!</definedName>
    <definedName name="OSRRefZ11x_0_0" localSheetId="0">'BS Seg Total'!#REF!</definedName>
    <definedName name="OSRRefZ13x_0_0" localSheetId="0">'BS Seg Total'!#REF!</definedName>
    <definedName name="OSRRefZ15x_0_0" localSheetId="0">'BS Seg Total'!#REF!</definedName>
    <definedName name="OSRRefZ17x_0_0" localSheetId="0">'BS Seg Total'!#REF!</definedName>
    <definedName name="OSRRefZ19x_0_0" localSheetId="0">'BS Seg Total'!#REF!</definedName>
    <definedName name="OSRRefZ21x_0_0" localSheetId="0">'BS Seg Total'!#REF!</definedName>
    <definedName name="OSRRefZ25x_0_0" localSheetId="0">'BS Seg Total'!#REF!</definedName>
    <definedName name="OSRRefZ27x_0_0" localSheetId="0">'BS Seg Total'!#REF!</definedName>
    <definedName name="OSRRefZ29x_0_0" localSheetId="0">'BS Seg Total'!#REF!</definedName>
    <definedName name="OSRRefZ31x_0_0" localSheetId="0">'BS Seg Total'!#REF!</definedName>
    <definedName name="OSRRefZ33x_0_0" localSheetId="0">'BS Seg Total'!#REF!</definedName>
    <definedName name="OSRRefZ38x_0_0" localSheetId="0">'BS Seg Total'!#REF!</definedName>
    <definedName name="OSRRefZ40x_0_0" localSheetId="0">'BS Seg Total'!#REF!</definedName>
    <definedName name="OSRRefZ42x_0_0" localSheetId="0">'BS Seg Total'!#REF!</definedName>
    <definedName name="OSRRefZ44x_0_0" localSheetId="0">'BS Seg Total'!#REF!</definedName>
    <definedName name="OSRRefZ46x_0_0" localSheetId="0">'BS Seg Total'!#REF!</definedName>
    <definedName name="OSRRefZ48x_0_0" localSheetId="0">'BS Seg Total'!#REF!</definedName>
    <definedName name="OSRRefZ50x_0_0" localSheetId="0">'BS Seg Total'!#REF!</definedName>
    <definedName name="OSRRefZ52x_0_0" localSheetId="0">'BS Seg Total'!#REF!</definedName>
    <definedName name="OSRRefZ54x_0_0" localSheetId="0">'BS Seg Total'!#REF!</definedName>
    <definedName name="OSRRefZ58x_0_0" localSheetId="0">'BS Seg Total'!#REF!</definedName>
    <definedName name="OSRRefZ60x_0_0" localSheetId="0">'BS Seg Total'!#REF!</definedName>
    <definedName name="OSRRefZ62x_0_0" localSheetId="0">'BS Seg Total'!#REF!</definedName>
    <definedName name="OSRRefZ64x_0_0" localSheetId="0">'BS Seg Total'!#REF!</definedName>
    <definedName name="OSRRefZ66x_0_0" localSheetId="0">'BS Seg Total'!#REF!</definedName>
    <definedName name="OSRRefZ72x_0_0" localSheetId="0">'BS Seg Total'!#REF!</definedName>
    <definedName name="OSRRefZ74x_0_0" localSheetId="0">'BS Seg Total'!#REF!</definedName>
    <definedName name="OSRRefZ76x_0_0" localSheetId="0">'BS Seg Total'!#REF!</definedName>
    <definedName name="OSRRefZ78x_0_0" localSheetId="0">'BS Seg Total'!#REF!</definedName>
    <definedName name="OSRRefZ80x_0_0" localSheetId="0">'BS Seg Total'!#REF!</definedName>
    <definedName name="OSRRefZ84x_0_0" localSheetId="0">'BS Seg Total'!#REF!</definedName>
    <definedName name="OSRRefZ98x_0_0" localSheetId="0">'BS Seg Total'!#REF!</definedName>
    <definedName name="PED" localSheetId="0">#REF!</definedName>
    <definedName name="PED">#REF!</definedName>
    <definedName name="Phases" localSheetId="0">#REF!</definedName>
    <definedName name="Phases">#REF!</definedName>
    <definedName name="PLAN">[1]Plan!$A$2:$BB$502</definedName>
    <definedName name="PLAN_PTD">[1]Plan!$A$561:$BB$610</definedName>
    <definedName name="PLAN_QTD">[1]Plan!$A$613:$BB$662</definedName>
    <definedName name="PLAN_YTD">[1]Plan!$A$665:$BC$714</definedName>
    <definedName name="_xlnm.Print_Area" localSheetId="0">'BS Seg Total'!$A$1:$D$10</definedName>
    <definedName name="RBN" localSheetId="0">#REF!</definedName>
    <definedName name="RBN">#REF!</definedName>
    <definedName name="RBU" localSheetId="0">#REF!</definedName>
    <definedName name="RBU">#REF!</definedName>
    <definedName name="RID" localSheetId="0">#REF!</definedName>
    <definedName name="RID">#REF!</definedName>
    <definedName name="RTT" localSheetId="0">#REF!</definedName>
    <definedName name="RTT">#REF!</definedName>
    <definedName name="SortRange">[2]Sheet1!$A$2:$N$35</definedName>
    <definedName name="Table221Field1" localSheetId="0">#REF!</definedName>
    <definedName name="Table221Field1">#REF!</definedName>
    <definedName name="THIS_YEAR">'[1]2009 Actual'!$A$2:$BB$502</definedName>
    <definedName name="TITLE1" localSheetId="0">#REF!</definedName>
    <definedName name="TITLE1">#REF!</definedName>
    <definedName name="TITLE2" localSheetId="0">#REF!</definedName>
    <definedName name="TITLE2">#REF!</definedName>
    <definedName name="Titles">[2]Sheet1!$A$1:$A$1</definedName>
    <definedName name="TopSection">[2]Sheet1!$A$1:$N$1</definedName>
    <definedName name="unit" localSheetId="0">#REF!</definedName>
    <definedName name="unit">#REF!</definedName>
    <definedName name="Units" localSheetId="0">[1]Week!#REF!</definedName>
    <definedName name="Units">[1]Week!#REF!</definedName>
    <definedName name="WEEK">[4]data!$B$5</definedName>
    <definedName name="YEAR" localSheetId="0">#REF!</definedName>
    <definedName name="YEAR">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I6" i="1" l="1"/>
  <c r="CR6" i="1"/>
  <c r="AB6" i="1"/>
  <c r="K6" i="1"/>
  <c r="DR6" i="1"/>
  <c r="DA6" i="1"/>
  <c r="CJ6" i="1"/>
  <c r="BB6" i="1"/>
  <c r="AS6" i="1" s="1"/>
  <c r="AK6" i="1"/>
  <c r="T6" i="1"/>
  <c r="EE10" i="1" l="1"/>
  <c r="DV10" i="1"/>
  <c r="DU10" i="1"/>
  <c r="BW10" i="1" l="1"/>
  <c r="DX10" i="1"/>
  <c r="BH10" i="1"/>
  <c r="BY10" i="1"/>
  <c r="DW10" i="1"/>
  <c r="BR10" i="1" l="1"/>
  <c r="DY10" i="1"/>
  <c r="DZ10" i="1" s="1"/>
  <c r="EB10" i="1"/>
  <c r="EA10" i="1"/>
  <c r="CF10" i="1"/>
  <c r="BO10" i="1"/>
  <c r="BV10" i="1"/>
  <c r="BE10" i="1"/>
  <c r="EC10" i="1"/>
  <c r="BK10" i="1"/>
  <c r="CB10" i="1"/>
  <c r="BZ10" i="1"/>
  <c r="BI10" i="1"/>
  <c r="BL10" i="1"/>
  <c r="CC10" i="1"/>
  <c r="BM10" i="1"/>
  <c r="CD10" i="1"/>
  <c r="BF10" i="1"/>
  <c r="CE10" i="1" l="1"/>
  <c r="BJ10" i="1"/>
  <c r="CA10" i="1"/>
  <c r="BN10" i="1"/>
  <c r="BG10" i="1"/>
  <c r="BX10" i="1"/>
  <c r="ED10" i="1"/>
  <c r="CG10" i="1" l="1"/>
  <c r="BP10" i="1"/>
  <c r="EF10" i="1"/>
  <c r="BS10" i="1" l="1"/>
  <c r="EH10" i="1"/>
  <c r="CI10" i="1"/>
  <c r="EI10" i="1" l="1"/>
  <c r="CJ10" i="1"/>
</calcChain>
</file>

<file path=xl/sharedStrings.xml><?xml version="1.0" encoding="utf-8"?>
<sst xmlns="http://schemas.openxmlformats.org/spreadsheetml/2006/main" count="211" uniqueCount="33">
  <si>
    <t>Blackhawk Network, Inc.</t>
  </si>
  <si>
    <t>Consolidated Balance Sheet</t>
  </si>
  <si>
    <t>Amounts (USD) in thousands, (except per share data)</t>
  </si>
  <si>
    <t>By Segment</t>
  </si>
  <si>
    <t>Current Acquisition By Segment</t>
  </si>
  <si>
    <t>Prior Year Acquisition By Segment</t>
  </si>
  <si>
    <t>Aquicition By Segment</t>
  </si>
  <si>
    <t>Segment</t>
  </si>
  <si>
    <t>YTD Change</t>
  </si>
  <si>
    <t>Y over Y Change</t>
  </si>
  <si>
    <t>B068 B113</t>
  </si>
  <si>
    <t>Total</t>
  </si>
  <si>
    <t>America's</t>
  </si>
  <si>
    <t>Balance</t>
  </si>
  <si>
    <t>no ISP</t>
  </si>
  <si>
    <t>Other US</t>
  </si>
  <si>
    <t>US Retail</t>
  </si>
  <si>
    <t>ISP</t>
  </si>
  <si>
    <t>Other BES</t>
  </si>
  <si>
    <t>Incentives and Rewards</t>
  </si>
  <si>
    <t>Other</t>
  </si>
  <si>
    <t>EMEA</t>
  </si>
  <si>
    <t>Asia</t>
  </si>
  <si>
    <t>Int'l</t>
  </si>
  <si>
    <t>Achivers</t>
  </si>
  <si>
    <t>BHN</t>
  </si>
  <si>
    <t>Check</t>
  </si>
  <si>
    <t>Achievers</t>
  </si>
  <si>
    <t>2020 P05</t>
  </si>
  <si>
    <t>2019 P05</t>
  </si>
  <si>
    <t>2019 P13</t>
  </si>
  <si>
    <t>Segment by BUs</t>
  </si>
  <si>
    <t>Current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</si>
</sst>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4">
    <xf numFmtId="0" fontId="0" fillId="0" borderId="0" xfId="0"/>
    <xf numFmtId="0" fontId="0" fillId="2" borderId="0" xfId="0" applyFill="1"/>
    <xf numFmtId="0" fontId="2" fillId="2" borderId="0" xfId="0" applyFont="1" applyFill="1"/>
    <xf numFmtId="0" fontId="0" fillId="3" borderId="0" xfId="0" applyFill="1"/>
    <xf numFmtId="0" fontId="2" fillId="2" borderId="0" xfId="0" applyFont="1" applyFill="1" applyAlignment="1">
      <alignment horizontal="center"/>
    </xf>
    <xf numFmtId="0" fontId="2" fillId="4" borderId="0" xfId="0" applyFont="1" applyFill="1"/>
    <xf numFmtId="0" fontId="2" fillId="5" borderId="0" xfId="0" applyFont="1" applyFill="1"/>
    <xf numFmtId="0" fontId="3" fillId="2" borderId="0" xfId="0" applyFont="1" applyFill="1"/>
    <xf numFmtId="0" fontId="2" fillId="2" borderId="0" xfId="0" applyFont="1" applyFill="1" applyAlignment="1">
      <alignment horizontal="centerContinuous"/>
    </xf>
    <xf numFmtId="0" fontId="3" fillId="2" borderId="0" xfId="0" applyFont="1" applyFill="1" applyAlignment="1">
      <alignment horizontal="center"/>
    </xf>
    <xf numFmtId="0" fontId="2" fillId="0" borderId="0" xfId="0" applyFont="1"/>
    <xf numFmtId="0" fontId="2" fillId="6" borderId="0" xfId="0" applyFont="1" applyFill="1" applyAlignment="1">
      <alignment horizontal="center" vertical="center"/>
    </xf>
    <xf numFmtId="0" fontId="0" fillId="6" borderId="0" xfId="0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vertical="center"/>
    </xf>
    <xf numFmtId="0" fontId="2" fillId="6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0" fontId="0" fillId="6" borderId="0" xfId="0" applyFill="1"/>
    <xf numFmtId="164" fontId="0" fillId="2" borderId="0" xfId="1" applyNumberFormat="1" applyFont="1" applyFill="1"/>
    <xf numFmtId="164" fontId="0" fillId="6" borderId="0" xfId="1" applyNumberFormat="1" applyFont="1" applyFill="1"/>
    <xf numFmtId="49" fontId="0" fillId="2" borderId="0" xfId="0" applyNumberFormat="1" applyFill="1"/>
    <xf numFmtId="49" fontId="3" fillId="2" borderId="0" xfId="0" applyNumberFormat="1" applyFont="1" applyFill="1" applyAlignment="1">
      <alignment horizontal="center"/>
    </xf>
    <xf numFmtId="49" fontId="2" fillId="2" borderId="0" xfId="0" applyNumberFormat="1" applyFont="1" applyFill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15875</xdr:rowOff>
    </xdr:from>
    <xdr:to>
      <xdr:col>0</xdr:col>
      <xdr:colOff>1460500</xdr:colOff>
      <xdr:row>1</xdr:row>
      <xdr:rowOff>130175</xdr:rowOff>
    </xdr:to>
    <xdr:pic>
      <xdr:nvPicPr>
        <xdr:cNvPr id="2" name="Picture 1" descr="BHN LOGO.bmp">
          <a:extLst>
            <a:ext uri="{FF2B5EF4-FFF2-40B4-BE49-F238E27FC236}">
              <a16:creationId xmlns:a16="http://schemas.microsoft.com/office/drawing/2014/main" id="{668B5A02-411B-0045-839A-DFAFD3AD7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5875"/>
          <a:ext cx="1460500" cy="304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638175</xdr:colOff>
      <xdr:row>1</xdr:row>
      <xdr:rowOff>114301</xdr:rowOff>
    </xdr:to>
    <xdr:pic>
      <xdr:nvPicPr>
        <xdr:cNvPr id="2" name="Picture 1" descr="BHN LOGO.bmp">
          <a:extLst>
            <a:ext uri="{FF2B5EF4-FFF2-40B4-BE49-F238E27FC236}">
              <a16:creationId xmlns:a16="http://schemas.microsoft.com/office/drawing/2014/main" id="{1C7FF103-BC53-C143-B25E-CC65A6E54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"/>
          <a:ext cx="1463675" cy="304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638175</xdr:colOff>
      <xdr:row>1</xdr:row>
      <xdr:rowOff>114301</xdr:rowOff>
    </xdr:to>
    <xdr:pic>
      <xdr:nvPicPr>
        <xdr:cNvPr id="2" name="Picture 1" descr="BHN LOGO.bmp">
          <a:extLst>
            <a:ext uri="{FF2B5EF4-FFF2-40B4-BE49-F238E27FC236}">
              <a16:creationId xmlns:a16="http://schemas.microsoft.com/office/drawing/2014/main" id="{8BEE4086-C760-2747-B124-FC90A7E9B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"/>
          <a:ext cx="1463675" cy="304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638175</xdr:colOff>
      <xdr:row>1</xdr:row>
      <xdr:rowOff>114301</xdr:rowOff>
    </xdr:to>
    <xdr:pic>
      <xdr:nvPicPr>
        <xdr:cNvPr id="2" name="Picture 1" descr="BHN LOGO.bmp">
          <a:extLst>
            <a:ext uri="{FF2B5EF4-FFF2-40B4-BE49-F238E27FC236}">
              <a16:creationId xmlns:a16="http://schemas.microsoft.com/office/drawing/2014/main" id="{F5A3952B-13AE-164C-BFAE-8B2F37861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"/>
          <a:ext cx="1463675" cy="3048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leefs01/data/DOCUME~1/kradh00/LOCALS~1/Temp/Temporary%20Directory%201%20for%20Weekly%20Flash%20Report%20Wk%2024%202009.zip/Weekly%20Flash%20Report%20Wk%2024%20200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/EXECUTIV/SHARED/FINANCE/FinancialReports/FinancialReports%20-%202012/Period%2004%202012/Executive%20Summary/P04%202012%20Backup_JF/Sheet1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eefs01/data/EXECUTIV/SHARED/FINANCE/Audits/Chart%20of%20Accounts/Dimensions(DRAFT_v07-26-10)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eefs01/data/DOCUME~1/kradh00/LOCALS~1/Temp/Temporary%20Directory%201%20for%20Weekly%20Flash%20Report%20Wk%2012%202009.zip/Weekly%20Flash%20Report%20Wk%2012%202009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NVISION/INSTANCE/GL003_TRIALBAL_(2002-03-31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portal.safeway.com/Documents%20and%20Settings/gmitc00/Local%20Settings/Temporary%20Internet%20Files/OLK35/Master%20COA%20V2007_06_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Backup"/>
      <sheetName val="Weekly Flash Report Wk 24 2009"/>
      <sheetName val="Client info"/>
      <sheetName val="Time Accum."/>
      <sheetName val="Hour Budg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149556</v>
          </cell>
          <cell r="C3">
            <v>149556</v>
          </cell>
          <cell r="D3">
            <v>135974</v>
          </cell>
          <cell r="E3">
            <v>124097</v>
          </cell>
          <cell r="F3">
            <v>138874</v>
          </cell>
          <cell r="G3">
            <v>259554</v>
          </cell>
          <cell r="H3">
            <v>164202</v>
          </cell>
          <cell r="I3">
            <v>132157</v>
          </cell>
          <cell r="J3">
            <v>137421</v>
          </cell>
          <cell r="K3">
            <v>128664</v>
          </cell>
          <cell r="L3">
            <v>150145</v>
          </cell>
          <cell r="M3">
            <v>143989</v>
          </cell>
          <cell r="N3">
            <v>134817</v>
          </cell>
          <cell r="O3">
            <v>224459</v>
          </cell>
          <cell r="P3">
            <v>139775</v>
          </cell>
          <cell r="Q3">
            <v>151214</v>
          </cell>
          <cell r="R3">
            <v>205392</v>
          </cell>
          <cell r="S3">
            <v>312990</v>
          </cell>
          <cell r="T3">
            <v>250894</v>
          </cell>
          <cell r="U3">
            <v>191272</v>
          </cell>
          <cell r="V3">
            <v>246347</v>
          </cell>
          <cell r="W3">
            <v>219011</v>
          </cell>
          <cell r="X3">
            <v>279446</v>
          </cell>
          <cell r="Y3">
            <v>519378</v>
          </cell>
          <cell r="Z3">
            <v>335013</v>
          </cell>
          <cell r="AA3">
            <v>198993</v>
          </cell>
          <cell r="AB3">
            <v>216828</v>
          </cell>
          <cell r="AC3">
            <v>200337</v>
          </cell>
          <cell r="AD3">
            <v>261601</v>
          </cell>
          <cell r="AE3">
            <v>251422</v>
          </cell>
          <cell r="AF3">
            <v>287030</v>
          </cell>
          <cell r="AG3">
            <v>234115</v>
          </cell>
          <cell r="AH3">
            <v>222741</v>
          </cell>
          <cell r="AI3">
            <v>208619</v>
          </cell>
          <cell r="AJ3">
            <v>185907</v>
          </cell>
          <cell r="AK3">
            <v>177963</v>
          </cell>
          <cell r="AL3">
            <v>181820</v>
          </cell>
          <cell r="AM3">
            <v>172209</v>
          </cell>
          <cell r="AN3">
            <v>176783</v>
          </cell>
          <cell r="AO3">
            <v>184369</v>
          </cell>
          <cell r="AP3">
            <v>179300</v>
          </cell>
          <cell r="AQ3">
            <v>228705</v>
          </cell>
          <cell r="AR3">
            <v>246199</v>
          </cell>
          <cell r="AS3">
            <v>225810</v>
          </cell>
          <cell r="AT3">
            <v>276667</v>
          </cell>
          <cell r="AU3">
            <v>307889</v>
          </cell>
          <cell r="AV3">
            <v>353710</v>
          </cell>
          <cell r="AW3">
            <v>703401</v>
          </cell>
          <cell r="AX3">
            <v>1313217</v>
          </cell>
          <cell r="AY3">
            <v>3039948</v>
          </cell>
          <cell r="AZ3">
            <v>3800909</v>
          </cell>
          <cell r="BA3">
            <v>432646</v>
          </cell>
          <cell r="BB3">
            <v>0</v>
          </cell>
        </row>
        <row r="4">
          <cell r="A4" t="str">
            <v>ptd</v>
          </cell>
          <cell r="B4">
            <v>149556</v>
          </cell>
          <cell r="C4">
            <v>299112</v>
          </cell>
          <cell r="D4">
            <v>435086</v>
          </cell>
          <cell r="E4">
            <v>559183</v>
          </cell>
          <cell r="F4">
            <v>138874</v>
          </cell>
          <cell r="G4">
            <v>398428</v>
          </cell>
          <cell r="H4">
            <v>562630</v>
          </cell>
          <cell r="I4">
            <v>694787</v>
          </cell>
          <cell r="J4">
            <v>137421</v>
          </cell>
          <cell r="K4">
            <v>266085</v>
          </cell>
          <cell r="L4">
            <v>416230</v>
          </cell>
          <cell r="M4">
            <v>560219</v>
          </cell>
          <cell r="N4">
            <v>134817</v>
          </cell>
          <cell r="O4">
            <v>359276</v>
          </cell>
          <cell r="P4">
            <v>499051</v>
          </cell>
          <cell r="Q4">
            <v>650265</v>
          </cell>
          <cell r="R4">
            <v>205392</v>
          </cell>
          <cell r="S4">
            <v>518382</v>
          </cell>
          <cell r="T4">
            <v>769276</v>
          </cell>
          <cell r="U4">
            <v>960548</v>
          </cell>
          <cell r="V4">
            <v>246347</v>
          </cell>
          <cell r="W4">
            <v>465358</v>
          </cell>
          <cell r="X4">
            <v>744804</v>
          </cell>
          <cell r="Y4">
            <v>1264182</v>
          </cell>
          <cell r="Z4">
            <v>335013</v>
          </cell>
          <cell r="AA4">
            <v>534006</v>
          </cell>
          <cell r="AB4">
            <v>750834</v>
          </cell>
          <cell r="AC4">
            <v>951171</v>
          </cell>
          <cell r="AD4">
            <v>261601</v>
          </cell>
          <cell r="AE4">
            <v>513023</v>
          </cell>
          <cell r="AF4">
            <v>800053</v>
          </cell>
          <cell r="AG4">
            <v>1034168</v>
          </cell>
          <cell r="AH4">
            <v>222741</v>
          </cell>
          <cell r="AI4">
            <v>431360</v>
          </cell>
          <cell r="AJ4">
            <v>617267</v>
          </cell>
          <cell r="AK4">
            <v>795230</v>
          </cell>
          <cell r="AL4">
            <v>181820</v>
          </cell>
          <cell r="AM4">
            <v>354029</v>
          </cell>
          <cell r="AN4">
            <v>530812</v>
          </cell>
          <cell r="AO4">
            <v>715181</v>
          </cell>
          <cell r="AP4">
            <v>179300</v>
          </cell>
          <cell r="AQ4">
            <v>408005</v>
          </cell>
          <cell r="AR4">
            <v>654204</v>
          </cell>
          <cell r="AS4">
            <v>880014</v>
          </cell>
          <cell r="AT4">
            <v>276667</v>
          </cell>
          <cell r="AU4">
            <v>584556</v>
          </cell>
          <cell r="AV4">
            <v>938266</v>
          </cell>
          <cell r="AW4">
            <v>1641667</v>
          </cell>
          <cell r="AX4">
            <v>1313217</v>
          </cell>
          <cell r="AY4">
            <v>4353165</v>
          </cell>
          <cell r="AZ4">
            <v>8154074</v>
          </cell>
          <cell r="BA4">
            <v>8586720</v>
          </cell>
          <cell r="BB4">
            <v>8586720</v>
          </cell>
        </row>
        <row r="5">
          <cell r="A5" t="str">
            <v>qtd</v>
          </cell>
          <cell r="B5">
            <v>149556</v>
          </cell>
          <cell r="C5">
            <v>299112</v>
          </cell>
          <cell r="D5">
            <v>435086</v>
          </cell>
          <cell r="E5">
            <v>559183</v>
          </cell>
          <cell r="F5">
            <v>698057</v>
          </cell>
          <cell r="G5">
            <v>957611</v>
          </cell>
          <cell r="H5">
            <v>1121813</v>
          </cell>
          <cell r="I5">
            <v>1253970</v>
          </cell>
          <cell r="J5">
            <v>1391391</v>
          </cell>
          <cell r="K5">
            <v>1520055</v>
          </cell>
          <cell r="L5">
            <v>1670200</v>
          </cell>
          <cell r="M5">
            <v>1814189</v>
          </cell>
          <cell r="N5">
            <v>134817</v>
          </cell>
          <cell r="O5">
            <v>359276</v>
          </cell>
          <cell r="P5">
            <v>499051</v>
          </cell>
          <cell r="Q5">
            <v>650265</v>
          </cell>
          <cell r="R5">
            <v>855657</v>
          </cell>
          <cell r="S5">
            <v>1168647</v>
          </cell>
          <cell r="T5">
            <v>1419541</v>
          </cell>
          <cell r="U5">
            <v>1610813</v>
          </cell>
          <cell r="V5">
            <v>1857160</v>
          </cell>
          <cell r="W5">
            <v>2076171</v>
          </cell>
          <cell r="X5">
            <v>2355617</v>
          </cell>
          <cell r="Y5">
            <v>2874995</v>
          </cell>
          <cell r="Z5">
            <v>335013</v>
          </cell>
          <cell r="AA5">
            <v>534006</v>
          </cell>
          <cell r="AB5">
            <v>750834</v>
          </cell>
          <cell r="AC5">
            <v>951171</v>
          </cell>
          <cell r="AD5">
            <v>1212772</v>
          </cell>
          <cell r="AE5">
            <v>1464194</v>
          </cell>
          <cell r="AF5">
            <v>1751224</v>
          </cell>
          <cell r="AG5">
            <v>1985339</v>
          </cell>
          <cell r="AH5">
            <v>2208080</v>
          </cell>
          <cell r="AI5">
            <v>2416699</v>
          </cell>
          <cell r="AJ5">
            <v>2602606</v>
          </cell>
          <cell r="AK5">
            <v>2780569</v>
          </cell>
          <cell r="AL5">
            <v>181820</v>
          </cell>
          <cell r="AM5">
            <v>354029</v>
          </cell>
          <cell r="AN5">
            <v>530812</v>
          </cell>
          <cell r="AO5">
            <v>715181</v>
          </cell>
          <cell r="AP5">
            <v>894481</v>
          </cell>
          <cell r="AQ5">
            <v>1123186</v>
          </cell>
          <cell r="AR5">
            <v>1369385</v>
          </cell>
          <cell r="AS5">
            <v>1595195</v>
          </cell>
          <cell r="AT5">
            <v>1871862</v>
          </cell>
          <cell r="AU5">
            <v>2179751</v>
          </cell>
          <cell r="AV5">
            <v>2533461</v>
          </cell>
          <cell r="AW5">
            <v>3236862</v>
          </cell>
          <cell r="AX5">
            <v>4550079</v>
          </cell>
          <cell r="AY5">
            <v>7590027</v>
          </cell>
          <cell r="AZ5">
            <v>11390936</v>
          </cell>
          <cell r="BA5">
            <v>11823582</v>
          </cell>
          <cell r="BB5">
            <v>11823582</v>
          </cell>
        </row>
        <row r="6">
          <cell r="A6" t="str">
            <v>ytd</v>
          </cell>
          <cell r="B6">
            <v>149556</v>
          </cell>
          <cell r="C6">
            <v>299112</v>
          </cell>
          <cell r="D6">
            <v>435086</v>
          </cell>
          <cell r="E6">
            <v>559183</v>
          </cell>
          <cell r="F6">
            <v>698057</v>
          </cell>
          <cell r="G6">
            <v>957611</v>
          </cell>
          <cell r="H6">
            <v>1121813</v>
          </cell>
          <cell r="I6">
            <v>1253970</v>
          </cell>
          <cell r="J6">
            <v>1391391</v>
          </cell>
          <cell r="K6">
            <v>1520055</v>
          </cell>
          <cell r="L6">
            <v>1670200</v>
          </cell>
          <cell r="M6">
            <v>1814189</v>
          </cell>
          <cell r="N6">
            <v>1949006</v>
          </cell>
          <cell r="O6">
            <v>2173465</v>
          </cell>
          <cell r="P6">
            <v>2313240</v>
          </cell>
          <cell r="Q6">
            <v>2464454</v>
          </cell>
          <cell r="R6">
            <v>2669846</v>
          </cell>
          <cell r="S6">
            <v>2982836</v>
          </cell>
          <cell r="T6">
            <v>3233730</v>
          </cell>
          <cell r="U6">
            <v>3425002</v>
          </cell>
          <cell r="V6">
            <v>3671349</v>
          </cell>
          <cell r="W6">
            <v>3890360</v>
          </cell>
          <cell r="X6">
            <v>4169806</v>
          </cell>
          <cell r="Y6">
            <v>4689184</v>
          </cell>
          <cell r="Z6">
            <v>5024197</v>
          </cell>
          <cell r="AA6">
            <v>5223190</v>
          </cell>
          <cell r="AB6">
            <v>5440018</v>
          </cell>
          <cell r="AC6">
            <v>5640355</v>
          </cell>
          <cell r="AD6">
            <v>5901956</v>
          </cell>
          <cell r="AE6">
            <v>6153378</v>
          </cell>
          <cell r="AF6">
            <v>6440408</v>
          </cell>
          <cell r="AG6">
            <v>6674523</v>
          </cell>
          <cell r="AH6">
            <v>6897264</v>
          </cell>
          <cell r="AI6">
            <v>7105883</v>
          </cell>
          <cell r="AJ6">
            <v>7291790</v>
          </cell>
          <cell r="AK6">
            <v>7469753</v>
          </cell>
          <cell r="AL6">
            <v>7651573</v>
          </cell>
          <cell r="AM6">
            <v>7823782</v>
          </cell>
          <cell r="AN6">
            <v>8000565</v>
          </cell>
          <cell r="AO6">
            <v>8184934</v>
          </cell>
          <cell r="AP6">
            <v>8364234</v>
          </cell>
          <cell r="AQ6">
            <v>8592939</v>
          </cell>
          <cell r="AR6">
            <v>8839138</v>
          </cell>
          <cell r="AS6">
            <v>9064948</v>
          </cell>
          <cell r="AT6">
            <v>9341615</v>
          </cell>
          <cell r="AU6">
            <v>9649504</v>
          </cell>
          <cell r="AV6">
            <v>10003214</v>
          </cell>
          <cell r="AW6">
            <v>10706615</v>
          </cell>
          <cell r="AX6">
            <v>12019832</v>
          </cell>
          <cell r="AY6">
            <v>15059780</v>
          </cell>
          <cell r="AZ6">
            <v>18860689</v>
          </cell>
          <cell r="BA6">
            <v>19293335</v>
          </cell>
          <cell r="BB6">
            <v>19293335</v>
          </cell>
        </row>
        <row r="7">
          <cell r="A7" t="str">
            <v>PART</v>
          </cell>
          <cell r="B7">
            <v>3893663</v>
          </cell>
          <cell r="C7">
            <v>3893663</v>
          </cell>
          <cell r="D7">
            <v>3370872</v>
          </cell>
          <cell r="E7">
            <v>3303987</v>
          </cell>
          <cell r="F7">
            <v>3492782</v>
          </cell>
          <cell r="G7">
            <v>6180392</v>
          </cell>
          <cell r="H7">
            <v>3959185</v>
          </cell>
          <cell r="I7">
            <v>3518980</v>
          </cell>
          <cell r="J7">
            <v>3665355</v>
          </cell>
          <cell r="K7">
            <v>3658072</v>
          </cell>
          <cell r="L7">
            <v>4060440</v>
          </cell>
          <cell r="M7">
            <v>3837870</v>
          </cell>
          <cell r="N7">
            <v>3688175</v>
          </cell>
          <cell r="O7">
            <v>5805650</v>
          </cell>
          <cell r="P7">
            <v>3784347</v>
          </cell>
          <cell r="Q7">
            <v>4002095</v>
          </cell>
          <cell r="R7">
            <v>4687077</v>
          </cell>
          <cell r="S7">
            <v>9767802</v>
          </cell>
          <cell r="T7">
            <v>7099977</v>
          </cell>
          <cell r="U7">
            <v>4817825</v>
          </cell>
          <cell r="V7">
            <v>5941103</v>
          </cell>
          <cell r="W7">
            <v>6179940</v>
          </cell>
          <cell r="X7">
            <v>6612548</v>
          </cell>
          <cell r="Y7">
            <v>11282559</v>
          </cell>
          <cell r="Z7">
            <v>7490093</v>
          </cell>
          <cell r="AA7">
            <v>4592703</v>
          </cell>
          <cell r="AB7">
            <v>4253995</v>
          </cell>
          <cell r="AC7">
            <v>4272400</v>
          </cell>
          <cell r="AD7">
            <v>4332913</v>
          </cell>
          <cell r="AE7">
            <v>4202135</v>
          </cell>
          <cell r="AF7">
            <v>4535833</v>
          </cell>
          <cell r="AG7">
            <v>4265023</v>
          </cell>
          <cell r="AH7">
            <v>4288858</v>
          </cell>
          <cell r="AI7">
            <v>4335305</v>
          </cell>
          <cell r="AJ7">
            <v>4118653</v>
          </cell>
          <cell r="AK7">
            <v>4080080</v>
          </cell>
          <cell r="AL7">
            <v>4072940</v>
          </cell>
          <cell r="AM7">
            <v>4006745</v>
          </cell>
          <cell r="AN7">
            <v>4024573</v>
          </cell>
          <cell r="AO7">
            <v>4162543</v>
          </cell>
          <cell r="AP7">
            <v>4177475</v>
          </cell>
          <cell r="AQ7">
            <v>4826675</v>
          </cell>
          <cell r="AR7">
            <v>4903655</v>
          </cell>
          <cell r="AS7">
            <v>4527680</v>
          </cell>
          <cell r="AT7">
            <v>5300195</v>
          </cell>
          <cell r="AU7">
            <v>5984570</v>
          </cell>
          <cell r="AV7">
            <v>7413080</v>
          </cell>
          <cell r="AW7">
            <v>15516522</v>
          </cell>
          <cell r="AX7">
            <v>28808113</v>
          </cell>
          <cell r="AY7">
            <v>63389444</v>
          </cell>
          <cell r="AZ7">
            <v>77972555</v>
          </cell>
          <cell r="BA7">
            <v>9980617</v>
          </cell>
          <cell r="BB7">
            <v>0</v>
          </cell>
        </row>
        <row r="8">
          <cell r="A8" t="str">
            <v>ptd</v>
          </cell>
          <cell r="B8">
            <v>3893663</v>
          </cell>
          <cell r="C8">
            <v>7787326</v>
          </cell>
          <cell r="D8">
            <v>11158198</v>
          </cell>
          <cell r="E8">
            <v>14462185</v>
          </cell>
          <cell r="F8">
            <v>3492782</v>
          </cell>
          <cell r="G8">
            <v>9673174</v>
          </cell>
          <cell r="H8">
            <v>13632359</v>
          </cell>
          <cell r="I8">
            <v>17151339</v>
          </cell>
          <cell r="J8">
            <v>3665355</v>
          </cell>
          <cell r="K8">
            <v>7323427</v>
          </cell>
          <cell r="L8">
            <v>11383867</v>
          </cell>
          <cell r="M8">
            <v>15221737</v>
          </cell>
          <cell r="N8">
            <v>3688175</v>
          </cell>
          <cell r="O8">
            <v>9493825</v>
          </cell>
          <cell r="P8">
            <v>13278172</v>
          </cell>
          <cell r="Q8">
            <v>17280267</v>
          </cell>
          <cell r="R8">
            <v>4687077</v>
          </cell>
          <cell r="S8">
            <v>14454879</v>
          </cell>
          <cell r="T8">
            <v>21554856</v>
          </cell>
          <cell r="U8">
            <v>26372681</v>
          </cell>
          <cell r="V8">
            <v>5941103</v>
          </cell>
          <cell r="W8">
            <v>12121043</v>
          </cell>
          <cell r="X8">
            <v>18733591</v>
          </cell>
          <cell r="Y8">
            <v>30016150</v>
          </cell>
          <cell r="Z8">
            <v>7490093</v>
          </cell>
          <cell r="AA8">
            <v>12082796</v>
          </cell>
          <cell r="AB8">
            <v>16336791</v>
          </cell>
          <cell r="AC8">
            <v>20609191</v>
          </cell>
          <cell r="AD8">
            <v>4332913</v>
          </cell>
          <cell r="AE8">
            <v>8535048</v>
          </cell>
          <cell r="AF8">
            <v>13070881</v>
          </cell>
          <cell r="AG8">
            <v>17335904</v>
          </cell>
          <cell r="AH8">
            <v>4288858</v>
          </cell>
          <cell r="AI8">
            <v>8624163</v>
          </cell>
          <cell r="AJ8">
            <v>12742816</v>
          </cell>
          <cell r="AK8">
            <v>16822896</v>
          </cell>
          <cell r="AL8">
            <v>4072940</v>
          </cell>
          <cell r="AM8">
            <v>8079685</v>
          </cell>
          <cell r="AN8">
            <v>12104258</v>
          </cell>
          <cell r="AO8">
            <v>16266801</v>
          </cell>
          <cell r="AP8">
            <v>4177475</v>
          </cell>
          <cell r="AQ8">
            <v>9004150</v>
          </cell>
          <cell r="AR8">
            <v>13907805</v>
          </cell>
          <cell r="AS8">
            <v>18435485</v>
          </cell>
          <cell r="AT8">
            <v>5300195</v>
          </cell>
          <cell r="AU8">
            <v>11284765</v>
          </cell>
          <cell r="AV8">
            <v>18697845</v>
          </cell>
          <cell r="AW8">
            <v>34214367</v>
          </cell>
          <cell r="AX8">
            <v>28808113</v>
          </cell>
          <cell r="AY8">
            <v>92197557</v>
          </cell>
          <cell r="AZ8">
            <v>170170112</v>
          </cell>
          <cell r="BA8">
            <v>180150729</v>
          </cell>
          <cell r="BB8">
            <v>180150729</v>
          </cell>
        </row>
        <row r="9">
          <cell r="A9" t="str">
            <v>qtd</v>
          </cell>
          <cell r="B9">
            <v>3893663</v>
          </cell>
          <cell r="C9">
            <v>7787326</v>
          </cell>
          <cell r="D9">
            <v>11158198</v>
          </cell>
          <cell r="E9">
            <v>14462185</v>
          </cell>
          <cell r="F9">
            <v>17954967</v>
          </cell>
          <cell r="G9">
            <v>24135359</v>
          </cell>
          <cell r="H9">
            <v>28094544</v>
          </cell>
          <cell r="I9">
            <v>31613524</v>
          </cell>
          <cell r="J9">
            <v>35278879</v>
          </cell>
          <cell r="K9">
            <v>38936951</v>
          </cell>
          <cell r="L9">
            <v>42997391</v>
          </cell>
          <cell r="M9">
            <v>46835261</v>
          </cell>
          <cell r="N9">
            <v>3688175</v>
          </cell>
          <cell r="O9">
            <v>9493825</v>
          </cell>
          <cell r="P9">
            <v>13278172</v>
          </cell>
          <cell r="Q9">
            <v>17280267</v>
          </cell>
          <cell r="R9">
            <v>21967344</v>
          </cell>
          <cell r="S9">
            <v>31735146</v>
          </cell>
          <cell r="T9">
            <v>38835123</v>
          </cell>
          <cell r="U9">
            <v>43652948</v>
          </cell>
          <cell r="V9">
            <v>49594051</v>
          </cell>
          <cell r="W9">
            <v>55773991</v>
          </cell>
          <cell r="X9">
            <v>62386539</v>
          </cell>
          <cell r="Y9">
            <v>73669098</v>
          </cell>
          <cell r="Z9">
            <v>7490093</v>
          </cell>
          <cell r="AA9">
            <v>12082796</v>
          </cell>
          <cell r="AB9">
            <v>16336791</v>
          </cell>
          <cell r="AC9">
            <v>20609191</v>
          </cell>
          <cell r="AD9">
            <v>24942104</v>
          </cell>
          <cell r="AE9">
            <v>29144239</v>
          </cell>
          <cell r="AF9">
            <v>33680072</v>
          </cell>
          <cell r="AG9">
            <v>37945095</v>
          </cell>
          <cell r="AH9">
            <v>42233953</v>
          </cell>
          <cell r="AI9">
            <v>46569258</v>
          </cell>
          <cell r="AJ9">
            <v>50687911</v>
          </cell>
          <cell r="AK9">
            <v>54767991</v>
          </cell>
          <cell r="AL9">
            <v>4072940</v>
          </cell>
          <cell r="AM9">
            <v>8079685</v>
          </cell>
          <cell r="AN9">
            <v>12104258</v>
          </cell>
          <cell r="AO9">
            <v>16266801</v>
          </cell>
          <cell r="AP9">
            <v>20444276</v>
          </cell>
          <cell r="AQ9">
            <v>25270951</v>
          </cell>
          <cell r="AR9">
            <v>30174606</v>
          </cell>
          <cell r="AS9">
            <v>34702286</v>
          </cell>
          <cell r="AT9">
            <v>40002481</v>
          </cell>
          <cell r="AU9">
            <v>45987051</v>
          </cell>
          <cell r="AV9">
            <v>53400131</v>
          </cell>
          <cell r="AW9">
            <v>68916653</v>
          </cell>
          <cell r="AX9">
            <v>97724766</v>
          </cell>
          <cell r="AY9">
            <v>161114210</v>
          </cell>
          <cell r="AZ9">
            <v>239086765</v>
          </cell>
          <cell r="BA9">
            <v>249067382</v>
          </cell>
          <cell r="BB9">
            <v>249067382</v>
          </cell>
        </row>
        <row r="10">
          <cell r="A10" t="str">
            <v>ytd</v>
          </cell>
          <cell r="B10">
            <v>3893663</v>
          </cell>
          <cell r="C10">
            <v>7787326</v>
          </cell>
          <cell r="D10">
            <v>11158198</v>
          </cell>
          <cell r="E10">
            <v>14462185</v>
          </cell>
          <cell r="F10">
            <v>17954967</v>
          </cell>
          <cell r="G10">
            <v>24135359</v>
          </cell>
          <cell r="H10">
            <v>28094544</v>
          </cell>
          <cell r="I10">
            <v>31613524</v>
          </cell>
          <cell r="J10">
            <v>35278879</v>
          </cell>
          <cell r="K10">
            <v>38936951</v>
          </cell>
          <cell r="L10">
            <v>42997391</v>
          </cell>
          <cell r="M10">
            <v>46835261</v>
          </cell>
          <cell r="N10">
            <v>50523436</v>
          </cell>
          <cell r="O10">
            <v>56329086</v>
          </cell>
          <cell r="P10">
            <v>60113433</v>
          </cell>
          <cell r="Q10">
            <v>64115528</v>
          </cell>
          <cell r="R10">
            <v>68802605</v>
          </cell>
          <cell r="S10">
            <v>78570407</v>
          </cell>
          <cell r="T10">
            <v>85670384</v>
          </cell>
          <cell r="U10">
            <v>90488209</v>
          </cell>
          <cell r="V10">
            <v>96429312</v>
          </cell>
          <cell r="W10">
            <v>102609252</v>
          </cell>
          <cell r="X10">
            <v>109221800</v>
          </cell>
          <cell r="Y10">
            <v>120504359</v>
          </cell>
          <cell r="Z10">
            <v>127994452</v>
          </cell>
          <cell r="AA10">
            <v>132587155</v>
          </cell>
          <cell r="AB10">
            <v>136841150</v>
          </cell>
          <cell r="AC10">
            <v>141113550</v>
          </cell>
          <cell r="AD10">
            <v>145446463</v>
          </cell>
          <cell r="AE10">
            <v>149648598</v>
          </cell>
          <cell r="AF10">
            <v>154184431</v>
          </cell>
          <cell r="AG10">
            <v>158449454</v>
          </cell>
          <cell r="AH10">
            <v>162738312</v>
          </cell>
          <cell r="AI10">
            <v>167073617</v>
          </cell>
          <cell r="AJ10">
            <v>171192270</v>
          </cell>
          <cell r="AK10">
            <v>175272350</v>
          </cell>
          <cell r="AL10">
            <v>179345290</v>
          </cell>
          <cell r="AM10">
            <v>183352035</v>
          </cell>
          <cell r="AN10">
            <v>187376608</v>
          </cell>
          <cell r="AO10">
            <v>191539151</v>
          </cell>
          <cell r="AP10">
            <v>195716626</v>
          </cell>
          <cell r="AQ10">
            <v>200543301</v>
          </cell>
          <cell r="AR10">
            <v>205446956</v>
          </cell>
          <cell r="AS10">
            <v>209974636</v>
          </cell>
          <cell r="AT10">
            <v>215274831</v>
          </cell>
          <cell r="AU10">
            <v>221259401</v>
          </cell>
          <cell r="AV10">
            <v>228672481</v>
          </cell>
          <cell r="AW10">
            <v>244189003</v>
          </cell>
          <cell r="AX10">
            <v>272997116</v>
          </cell>
          <cell r="AY10">
            <v>336386560</v>
          </cell>
          <cell r="AZ10">
            <v>414359115</v>
          </cell>
          <cell r="BA10">
            <v>424339732</v>
          </cell>
          <cell r="BB10">
            <v>424339732</v>
          </cell>
        </row>
        <row r="11">
          <cell r="A11" t="str">
            <v>PRED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885844</v>
          </cell>
          <cell r="C15">
            <v>853703</v>
          </cell>
          <cell r="D15">
            <v>829199</v>
          </cell>
          <cell r="E15">
            <v>836002</v>
          </cell>
          <cell r="F15">
            <v>902504</v>
          </cell>
          <cell r="G15">
            <v>1080978</v>
          </cell>
          <cell r="H15">
            <v>840444</v>
          </cell>
          <cell r="I15">
            <v>886052</v>
          </cell>
          <cell r="J15">
            <v>896395</v>
          </cell>
          <cell r="K15">
            <v>932423</v>
          </cell>
          <cell r="L15">
            <v>916388</v>
          </cell>
          <cell r="M15">
            <v>880915</v>
          </cell>
          <cell r="N15">
            <v>950680</v>
          </cell>
          <cell r="O15">
            <v>1155741</v>
          </cell>
          <cell r="P15">
            <v>985181</v>
          </cell>
          <cell r="Q15">
            <v>1093057</v>
          </cell>
          <cell r="R15">
            <v>1093890</v>
          </cell>
          <cell r="S15">
            <v>1632018</v>
          </cell>
          <cell r="T15">
            <v>1366841</v>
          </cell>
          <cell r="U15">
            <v>1392804</v>
          </cell>
          <cell r="V15">
            <v>1365106</v>
          </cell>
          <cell r="W15">
            <v>1560379</v>
          </cell>
          <cell r="X15">
            <v>1917882</v>
          </cell>
          <cell r="Y15">
            <v>1567390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</row>
        <row r="16">
          <cell r="A16" t="str">
            <v>ptd</v>
          </cell>
          <cell r="B16">
            <v>885844</v>
          </cell>
          <cell r="C16">
            <v>1739547</v>
          </cell>
          <cell r="D16">
            <v>2568746</v>
          </cell>
          <cell r="E16">
            <v>3404748</v>
          </cell>
          <cell r="F16">
            <v>902504</v>
          </cell>
          <cell r="G16">
            <v>1983482</v>
          </cell>
          <cell r="H16">
            <v>2823926</v>
          </cell>
          <cell r="I16">
            <v>3709978</v>
          </cell>
          <cell r="J16">
            <v>896395</v>
          </cell>
          <cell r="K16">
            <v>1828818</v>
          </cell>
          <cell r="L16">
            <v>2745206</v>
          </cell>
          <cell r="M16">
            <v>3626121</v>
          </cell>
          <cell r="N16">
            <v>950680</v>
          </cell>
          <cell r="O16">
            <v>2106421</v>
          </cell>
          <cell r="P16">
            <v>3091602</v>
          </cell>
          <cell r="Q16">
            <v>4184659</v>
          </cell>
          <cell r="R16">
            <v>1093890</v>
          </cell>
          <cell r="S16">
            <v>2725908</v>
          </cell>
          <cell r="T16">
            <v>4092749</v>
          </cell>
          <cell r="U16">
            <v>5485553</v>
          </cell>
          <cell r="V16">
            <v>1365106</v>
          </cell>
          <cell r="W16">
            <v>2925485</v>
          </cell>
          <cell r="X16">
            <v>4843367</v>
          </cell>
          <cell r="Y16">
            <v>6410757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885844</v>
          </cell>
          <cell r="C17">
            <v>1739547</v>
          </cell>
          <cell r="D17">
            <v>2568746</v>
          </cell>
          <cell r="E17">
            <v>3404748</v>
          </cell>
          <cell r="F17">
            <v>4307252</v>
          </cell>
          <cell r="G17">
            <v>5388230</v>
          </cell>
          <cell r="H17">
            <v>6228674</v>
          </cell>
          <cell r="I17">
            <v>7114726</v>
          </cell>
          <cell r="J17">
            <v>8011121</v>
          </cell>
          <cell r="K17">
            <v>8943544</v>
          </cell>
          <cell r="L17">
            <v>9859932</v>
          </cell>
          <cell r="M17">
            <v>10740847</v>
          </cell>
          <cell r="N17">
            <v>950680</v>
          </cell>
          <cell r="O17">
            <v>2106421</v>
          </cell>
          <cell r="P17">
            <v>3091602</v>
          </cell>
          <cell r="Q17">
            <v>4184659</v>
          </cell>
          <cell r="R17">
            <v>5278549</v>
          </cell>
          <cell r="S17">
            <v>6910567</v>
          </cell>
          <cell r="T17">
            <v>8277408</v>
          </cell>
          <cell r="U17">
            <v>9670212</v>
          </cell>
          <cell r="V17">
            <v>11035318</v>
          </cell>
          <cell r="W17">
            <v>12595697</v>
          </cell>
          <cell r="X17">
            <v>14513579</v>
          </cell>
          <cell r="Y17">
            <v>16080969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885844</v>
          </cell>
          <cell r="C18">
            <v>1739547</v>
          </cell>
          <cell r="D18">
            <v>2568746</v>
          </cell>
          <cell r="E18">
            <v>3404748</v>
          </cell>
          <cell r="F18">
            <v>4307252</v>
          </cell>
          <cell r="G18">
            <v>5388230</v>
          </cell>
          <cell r="H18">
            <v>6228674</v>
          </cell>
          <cell r="I18">
            <v>7114726</v>
          </cell>
          <cell r="J18">
            <v>8011121</v>
          </cell>
          <cell r="K18">
            <v>8943544</v>
          </cell>
          <cell r="L18">
            <v>9859932</v>
          </cell>
          <cell r="M18">
            <v>10740847</v>
          </cell>
          <cell r="N18">
            <v>11691527</v>
          </cell>
          <cell r="O18">
            <v>12847268</v>
          </cell>
          <cell r="P18">
            <v>13832449</v>
          </cell>
          <cell r="Q18">
            <v>14925506</v>
          </cell>
          <cell r="R18">
            <v>16019396</v>
          </cell>
          <cell r="S18">
            <v>17651414</v>
          </cell>
          <cell r="T18">
            <v>19018255</v>
          </cell>
          <cell r="U18">
            <v>20411059</v>
          </cell>
          <cell r="V18">
            <v>21776165</v>
          </cell>
          <cell r="W18">
            <v>23336544</v>
          </cell>
          <cell r="X18">
            <v>25254426</v>
          </cell>
          <cell r="Y18">
            <v>26821816</v>
          </cell>
          <cell r="Z18">
            <v>26821816</v>
          </cell>
          <cell r="AA18">
            <v>26821816</v>
          </cell>
          <cell r="AB18">
            <v>26821816</v>
          </cell>
          <cell r="AC18">
            <v>26821816</v>
          </cell>
          <cell r="AD18">
            <v>26821816</v>
          </cell>
          <cell r="AE18">
            <v>26821816</v>
          </cell>
          <cell r="AF18">
            <v>26821816</v>
          </cell>
          <cell r="AG18">
            <v>26821816</v>
          </cell>
          <cell r="AH18">
            <v>26821816</v>
          </cell>
          <cell r="AI18">
            <v>26821816</v>
          </cell>
          <cell r="AJ18">
            <v>26821816</v>
          </cell>
          <cell r="AK18">
            <v>26821816</v>
          </cell>
          <cell r="AL18">
            <v>26821816</v>
          </cell>
          <cell r="AM18">
            <v>26821816</v>
          </cell>
          <cell r="AN18">
            <v>26821816</v>
          </cell>
          <cell r="AO18">
            <v>26821816</v>
          </cell>
          <cell r="AP18">
            <v>26821816</v>
          </cell>
          <cell r="AQ18">
            <v>26821816</v>
          </cell>
          <cell r="AR18">
            <v>26821816</v>
          </cell>
          <cell r="AS18">
            <v>26821816</v>
          </cell>
          <cell r="AT18">
            <v>26821816</v>
          </cell>
          <cell r="AU18">
            <v>26821816</v>
          </cell>
          <cell r="AV18">
            <v>26821816</v>
          </cell>
          <cell r="AW18">
            <v>26821816</v>
          </cell>
          <cell r="AX18">
            <v>26821816</v>
          </cell>
          <cell r="AY18">
            <v>26821816</v>
          </cell>
          <cell r="AZ18">
            <v>26821816</v>
          </cell>
          <cell r="BA18">
            <v>26821816</v>
          </cell>
          <cell r="BB18">
            <v>26821816</v>
          </cell>
        </row>
        <row r="19">
          <cell r="A19" t="str">
            <v>SPRT</v>
          </cell>
          <cell r="B19">
            <v>21336</v>
          </cell>
          <cell r="C19">
            <v>21336</v>
          </cell>
          <cell r="D19">
            <v>20623</v>
          </cell>
          <cell r="E19">
            <v>17423</v>
          </cell>
          <cell r="F19">
            <v>16649</v>
          </cell>
          <cell r="G19">
            <v>34749</v>
          </cell>
          <cell r="H19">
            <v>18299</v>
          </cell>
          <cell r="I19">
            <v>16824</v>
          </cell>
          <cell r="J19">
            <v>16108</v>
          </cell>
          <cell r="K19">
            <v>17208</v>
          </cell>
          <cell r="L19">
            <v>18408</v>
          </cell>
          <cell r="M19">
            <v>16683</v>
          </cell>
          <cell r="N19">
            <v>15491</v>
          </cell>
          <cell r="O19">
            <v>30316</v>
          </cell>
          <cell r="P19">
            <v>17591</v>
          </cell>
          <cell r="Q19">
            <v>17716</v>
          </cell>
          <cell r="R19">
            <v>18255</v>
          </cell>
          <cell r="S19">
            <v>29280</v>
          </cell>
          <cell r="T19">
            <v>26830</v>
          </cell>
          <cell r="U19">
            <v>19255</v>
          </cell>
          <cell r="V19">
            <v>32650</v>
          </cell>
          <cell r="W19">
            <v>28250</v>
          </cell>
          <cell r="X19">
            <v>31450</v>
          </cell>
          <cell r="Y19">
            <v>70275</v>
          </cell>
          <cell r="Z19">
            <v>44045</v>
          </cell>
          <cell r="AA19">
            <v>16495</v>
          </cell>
          <cell r="AB19">
            <v>15370</v>
          </cell>
          <cell r="AC19">
            <v>17320</v>
          </cell>
          <cell r="AD19">
            <v>19689</v>
          </cell>
          <cell r="AE19">
            <v>17164</v>
          </cell>
          <cell r="AF19">
            <v>20514</v>
          </cell>
          <cell r="AG19">
            <v>21414</v>
          </cell>
          <cell r="AH19">
            <v>20303</v>
          </cell>
          <cell r="AI19">
            <v>19053</v>
          </cell>
          <cell r="AJ19">
            <v>19228</v>
          </cell>
          <cell r="AK19">
            <v>19153</v>
          </cell>
          <cell r="AL19">
            <v>21267</v>
          </cell>
          <cell r="AM19">
            <v>20892</v>
          </cell>
          <cell r="AN19">
            <v>19617</v>
          </cell>
          <cell r="AO19">
            <v>17792</v>
          </cell>
          <cell r="AP19">
            <v>17967</v>
          </cell>
          <cell r="AQ19">
            <v>22092</v>
          </cell>
          <cell r="AR19">
            <v>18867</v>
          </cell>
          <cell r="AS19">
            <v>17367</v>
          </cell>
          <cell r="AT19">
            <v>21642</v>
          </cell>
          <cell r="AU19">
            <v>23767</v>
          </cell>
          <cell r="AV19">
            <v>24667</v>
          </cell>
          <cell r="AW19">
            <v>53242</v>
          </cell>
          <cell r="AX19">
            <v>101784</v>
          </cell>
          <cell r="AY19">
            <v>240459</v>
          </cell>
          <cell r="AZ19">
            <v>366042</v>
          </cell>
          <cell r="BA19">
            <v>33475</v>
          </cell>
          <cell r="BB19">
            <v>0</v>
          </cell>
        </row>
        <row r="20">
          <cell r="A20" t="str">
            <v>ptd</v>
          </cell>
          <cell r="B20">
            <v>21336</v>
          </cell>
          <cell r="C20">
            <v>42672</v>
          </cell>
          <cell r="D20">
            <v>63295</v>
          </cell>
          <cell r="E20">
            <v>80718</v>
          </cell>
          <cell r="F20">
            <v>16649</v>
          </cell>
          <cell r="G20">
            <v>51398</v>
          </cell>
          <cell r="H20">
            <v>69697</v>
          </cell>
          <cell r="I20">
            <v>86521</v>
          </cell>
          <cell r="J20">
            <v>16108</v>
          </cell>
          <cell r="K20">
            <v>33316</v>
          </cell>
          <cell r="L20">
            <v>51724</v>
          </cell>
          <cell r="M20">
            <v>68407</v>
          </cell>
          <cell r="N20">
            <v>15491</v>
          </cell>
          <cell r="O20">
            <v>45807</v>
          </cell>
          <cell r="P20">
            <v>63398</v>
          </cell>
          <cell r="Q20">
            <v>81114</v>
          </cell>
          <cell r="R20">
            <v>18255</v>
          </cell>
          <cell r="S20">
            <v>47535</v>
          </cell>
          <cell r="T20">
            <v>74365</v>
          </cell>
          <cell r="U20">
            <v>93620</v>
          </cell>
          <cell r="V20">
            <v>32650</v>
          </cell>
          <cell r="W20">
            <v>60900</v>
          </cell>
          <cell r="X20">
            <v>92350</v>
          </cell>
          <cell r="Y20">
            <v>162625</v>
          </cell>
          <cell r="Z20">
            <v>44045</v>
          </cell>
          <cell r="AA20">
            <v>60540</v>
          </cell>
          <cell r="AB20">
            <v>75910</v>
          </cell>
          <cell r="AC20">
            <v>93230</v>
          </cell>
          <cell r="AD20">
            <v>19689</v>
          </cell>
          <cell r="AE20">
            <v>36853</v>
          </cell>
          <cell r="AF20">
            <v>57367</v>
          </cell>
          <cell r="AG20">
            <v>78781</v>
          </cell>
          <cell r="AH20">
            <v>20303</v>
          </cell>
          <cell r="AI20">
            <v>39356</v>
          </cell>
          <cell r="AJ20">
            <v>58584</v>
          </cell>
          <cell r="AK20">
            <v>77737</v>
          </cell>
          <cell r="AL20">
            <v>21267</v>
          </cell>
          <cell r="AM20">
            <v>42159</v>
          </cell>
          <cell r="AN20">
            <v>61776</v>
          </cell>
          <cell r="AO20">
            <v>79568</v>
          </cell>
          <cell r="AP20">
            <v>17967</v>
          </cell>
          <cell r="AQ20">
            <v>40059</v>
          </cell>
          <cell r="AR20">
            <v>58926</v>
          </cell>
          <cell r="AS20">
            <v>76293</v>
          </cell>
          <cell r="AT20">
            <v>21642</v>
          </cell>
          <cell r="AU20">
            <v>45409</v>
          </cell>
          <cell r="AV20">
            <v>70076</v>
          </cell>
          <cell r="AW20">
            <v>123318</v>
          </cell>
          <cell r="AX20">
            <v>101784</v>
          </cell>
          <cell r="AY20">
            <v>342243</v>
          </cell>
          <cell r="AZ20">
            <v>708285</v>
          </cell>
          <cell r="BA20">
            <v>741760</v>
          </cell>
          <cell r="BB20">
            <v>741760</v>
          </cell>
        </row>
        <row r="21">
          <cell r="A21" t="str">
            <v>qtd</v>
          </cell>
          <cell r="B21">
            <v>21336</v>
          </cell>
          <cell r="C21">
            <v>42672</v>
          </cell>
          <cell r="D21">
            <v>63295</v>
          </cell>
          <cell r="E21">
            <v>80718</v>
          </cell>
          <cell r="F21">
            <v>97367</v>
          </cell>
          <cell r="G21">
            <v>132116</v>
          </cell>
          <cell r="H21">
            <v>150415</v>
          </cell>
          <cell r="I21">
            <v>167239</v>
          </cell>
          <cell r="J21">
            <v>183347</v>
          </cell>
          <cell r="K21">
            <v>200555</v>
          </cell>
          <cell r="L21">
            <v>218963</v>
          </cell>
          <cell r="M21">
            <v>235646</v>
          </cell>
          <cell r="N21">
            <v>15491</v>
          </cell>
          <cell r="O21">
            <v>45807</v>
          </cell>
          <cell r="P21">
            <v>63398</v>
          </cell>
          <cell r="Q21">
            <v>81114</v>
          </cell>
          <cell r="R21">
            <v>99369</v>
          </cell>
          <cell r="S21">
            <v>128649</v>
          </cell>
          <cell r="T21">
            <v>155479</v>
          </cell>
          <cell r="U21">
            <v>174734</v>
          </cell>
          <cell r="V21">
            <v>207384</v>
          </cell>
          <cell r="W21">
            <v>235634</v>
          </cell>
          <cell r="X21">
            <v>267084</v>
          </cell>
          <cell r="Y21">
            <v>337359</v>
          </cell>
          <cell r="Z21">
            <v>44045</v>
          </cell>
          <cell r="AA21">
            <v>60540</v>
          </cell>
          <cell r="AB21">
            <v>75910</v>
          </cell>
          <cell r="AC21">
            <v>93230</v>
          </cell>
          <cell r="AD21">
            <v>112919</v>
          </cell>
          <cell r="AE21">
            <v>130083</v>
          </cell>
          <cell r="AF21">
            <v>150597</v>
          </cell>
          <cell r="AG21">
            <v>172011</v>
          </cell>
          <cell r="AH21">
            <v>192314</v>
          </cell>
          <cell r="AI21">
            <v>211367</v>
          </cell>
          <cell r="AJ21">
            <v>230595</v>
          </cell>
          <cell r="AK21">
            <v>249748</v>
          </cell>
          <cell r="AL21">
            <v>21267</v>
          </cell>
          <cell r="AM21">
            <v>42159</v>
          </cell>
          <cell r="AN21">
            <v>61776</v>
          </cell>
          <cell r="AO21">
            <v>79568</v>
          </cell>
          <cell r="AP21">
            <v>97535</v>
          </cell>
          <cell r="AQ21">
            <v>119627</v>
          </cell>
          <cell r="AR21">
            <v>138494</v>
          </cell>
          <cell r="AS21">
            <v>155861</v>
          </cell>
          <cell r="AT21">
            <v>177503</v>
          </cell>
          <cell r="AU21">
            <v>201270</v>
          </cell>
          <cell r="AV21">
            <v>225937</v>
          </cell>
          <cell r="AW21">
            <v>279179</v>
          </cell>
          <cell r="AX21">
            <v>380963</v>
          </cell>
          <cell r="AY21">
            <v>621422</v>
          </cell>
          <cell r="AZ21">
            <v>987464</v>
          </cell>
          <cell r="BA21">
            <v>1020939</v>
          </cell>
          <cell r="BB21">
            <v>1020939</v>
          </cell>
        </row>
        <row r="22">
          <cell r="A22" t="str">
            <v>ytd</v>
          </cell>
          <cell r="B22">
            <v>21336</v>
          </cell>
          <cell r="C22">
            <v>42672</v>
          </cell>
          <cell r="D22">
            <v>63295</v>
          </cell>
          <cell r="E22">
            <v>80718</v>
          </cell>
          <cell r="F22">
            <v>97367</v>
          </cell>
          <cell r="G22">
            <v>132116</v>
          </cell>
          <cell r="H22">
            <v>150415</v>
          </cell>
          <cell r="I22">
            <v>167239</v>
          </cell>
          <cell r="J22">
            <v>183347</v>
          </cell>
          <cell r="K22">
            <v>200555</v>
          </cell>
          <cell r="L22">
            <v>218963</v>
          </cell>
          <cell r="M22">
            <v>235646</v>
          </cell>
          <cell r="N22">
            <v>251137</v>
          </cell>
          <cell r="O22">
            <v>281453</v>
          </cell>
          <cell r="P22">
            <v>299044</v>
          </cell>
          <cell r="Q22">
            <v>316760</v>
          </cell>
          <cell r="R22">
            <v>335015</v>
          </cell>
          <cell r="S22">
            <v>364295</v>
          </cell>
          <cell r="T22">
            <v>391125</v>
          </cell>
          <cell r="U22">
            <v>410380</v>
          </cell>
          <cell r="V22">
            <v>443030</v>
          </cell>
          <cell r="W22">
            <v>471280</v>
          </cell>
          <cell r="X22">
            <v>502730</v>
          </cell>
          <cell r="Y22">
            <v>573005</v>
          </cell>
          <cell r="Z22">
            <v>617050</v>
          </cell>
          <cell r="AA22">
            <v>633545</v>
          </cell>
          <cell r="AB22">
            <v>648915</v>
          </cell>
          <cell r="AC22">
            <v>666235</v>
          </cell>
          <cell r="AD22">
            <v>685924</v>
          </cell>
          <cell r="AE22">
            <v>703088</v>
          </cell>
          <cell r="AF22">
            <v>723602</v>
          </cell>
          <cell r="AG22">
            <v>745016</v>
          </cell>
          <cell r="AH22">
            <v>765319</v>
          </cell>
          <cell r="AI22">
            <v>784372</v>
          </cell>
          <cell r="AJ22">
            <v>803600</v>
          </cell>
          <cell r="AK22">
            <v>822753</v>
          </cell>
          <cell r="AL22">
            <v>844020</v>
          </cell>
          <cell r="AM22">
            <v>864912</v>
          </cell>
          <cell r="AN22">
            <v>884529</v>
          </cell>
          <cell r="AO22">
            <v>902321</v>
          </cell>
          <cell r="AP22">
            <v>920288</v>
          </cell>
          <cell r="AQ22">
            <v>942380</v>
          </cell>
          <cell r="AR22">
            <v>961247</v>
          </cell>
          <cell r="AS22">
            <v>978614</v>
          </cell>
          <cell r="AT22">
            <v>1000256</v>
          </cell>
          <cell r="AU22">
            <v>1024023</v>
          </cell>
          <cell r="AV22">
            <v>1048690</v>
          </cell>
          <cell r="AW22">
            <v>1101932</v>
          </cell>
          <cell r="AX22">
            <v>1203716</v>
          </cell>
          <cell r="AY22">
            <v>1444175</v>
          </cell>
          <cell r="AZ22">
            <v>1810217</v>
          </cell>
          <cell r="BA22">
            <v>1843692</v>
          </cell>
          <cell r="BB22">
            <v>1843692</v>
          </cell>
        </row>
        <row r="23">
          <cell r="A23" t="str">
            <v>TELE</v>
          </cell>
          <cell r="B23">
            <v>1223874</v>
          </cell>
          <cell r="C23">
            <v>1140976</v>
          </cell>
          <cell r="D23">
            <v>1140295</v>
          </cell>
          <cell r="E23">
            <v>1102272</v>
          </cell>
          <cell r="F23">
            <v>1218695</v>
          </cell>
          <cell r="G23">
            <v>1184218</v>
          </cell>
          <cell r="H23">
            <v>1204456</v>
          </cell>
          <cell r="I23">
            <v>1133122</v>
          </cell>
          <cell r="J23">
            <v>1176820</v>
          </cell>
          <cell r="K23">
            <v>1189306</v>
          </cell>
          <cell r="L23">
            <v>1119121</v>
          </cell>
          <cell r="M23">
            <v>1272152</v>
          </cell>
          <cell r="N23">
            <v>1142463</v>
          </cell>
          <cell r="O23">
            <v>1167978</v>
          </cell>
          <cell r="P23">
            <v>1155619</v>
          </cell>
          <cell r="Q23">
            <v>1150245</v>
          </cell>
          <cell r="R23">
            <v>1120541</v>
          </cell>
          <cell r="S23">
            <v>1240034</v>
          </cell>
          <cell r="T23">
            <v>1249526</v>
          </cell>
          <cell r="U23">
            <v>1198457</v>
          </cell>
          <cell r="V23">
            <v>1176476</v>
          </cell>
          <cell r="W23">
            <v>1166895</v>
          </cell>
          <cell r="X23">
            <v>1288509</v>
          </cell>
          <cell r="Y23">
            <v>1213557</v>
          </cell>
          <cell r="Z23">
            <v>1207690</v>
          </cell>
          <cell r="AA23">
            <v>1141233</v>
          </cell>
          <cell r="AB23">
            <v>1282363</v>
          </cell>
          <cell r="AC23">
            <v>1189701</v>
          </cell>
          <cell r="AD23">
            <v>1165201</v>
          </cell>
          <cell r="AE23">
            <v>1141802</v>
          </cell>
          <cell r="AF23">
            <v>1207963</v>
          </cell>
          <cell r="AG23">
            <v>1187701</v>
          </cell>
          <cell r="AH23">
            <v>1120210</v>
          </cell>
          <cell r="AI23">
            <v>1104702</v>
          </cell>
          <cell r="AJ23">
            <v>1123638</v>
          </cell>
          <cell r="AK23">
            <v>1138872</v>
          </cell>
          <cell r="AL23">
            <v>1043671</v>
          </cell>
          <cell r="AM23">
            <v>1054142</v>
          </cell>
          <cell r="AN23">
            <v>970970</v>
          </cell>
          <cell r="AO23">
            <v>1090138</v>
          </cell>
          <cell r="AP23">
            <v>1010426</v>
          </cell>
          <cell r="AQ23">
            <v>966247</v>
          </cell>
          <cell r="AR23">
            <v>954745</v>
          </cell>
          <cell r="AS23">
            <v>971791</v>
          </cell>
          <cell r="AT23">
            <v>1095806</v>
          </cell>
          <cell r="AU23">
            <v>1021380</v>
          </cell>
          <cell r="AV23">
            <v>1040368</v>
          </cell>
          <cell r="AW23">
            <v>1180916</v>
          </cell>
          <cell r="AX23">
            <v>1099284</v>
          </cell>
          <cell r="AY23">
            <v>1238682</v>
          </cell>
          <cell r="AZ23">
            <v>1286737</v>
          </cell>
          <cell r="BA23">
            <v>1176440</v>
          </cell>
          <cell r="BB23">
            <v>0</v>
          </cell>
        </row>
        <row r="24">
          <cell r="A24" t="str">
            <v>ptd</v>
          </cell>
          <cell r="B24">
            <v>1223874</v>
          </cell>
          <cell r="C24">
            <v>2364850</v>
          </cell>
          <cell r="D24">
            <v>3505145</v>
          </cell>
          <cell r="E24">
            <v>4607417</v>
          </cell>
          <cell r="F24">
            <v>1218695</v>
          </cell>
          <cell r="G24">
            <v>2402913</v>
          </cell>
          <cell r="H24">
            <v>3607369</v>
          </cell>
          <cell r="I24">
            <v>4740491</v>
          </cell>
          <cell r="J24">
            <v>1176820</v>
          </cell>
          <cell r="K24">
            <v>2366126</v>
          </cell>
          <cell r="L24">
            <v>3485247</v>
          </cell>
          <cell r="M24">
            <v>4757399</v>
          </cell>
          <cell r="N24">
            <v>1142463</v>
          </cell>
          <cell r="O24">
            <v>2310441</v>
          </cell>
          <cell r="P24">
            <v>3466060</v>
          </cell>
          <cell r="Q24">
            <v>4616305</v>
          </cell>
          <cell r="R24">
            <v>1120541</v>
          </cell>
          <cell r="S24">
            <v>2360575</v>
          </cell>
          <cell r="T24">
            <v>3610101</v>
          </cell>
          <cell r="U24">
            <v>4808558</v>
          </cell>
          <cell r="V24">
            <v>1176476</v>
          </cell>
          <cell r="W24">
            <v>2343371</v>
          </cell>
          <cell r="X24">
            <v>3631880</v>
          </cell>
          <cell r="Y24">
            <v>4845437</v>
          </cell>
          <cell r="Z24">
            <v>1207690</v>
          </cell>
          <cell r="AA24">
            <v>2348923</v>
          </cell>
          <cell r="AB24">
            <v>3631286</v>
          </cell>
          <cell r="AC24">
            <v>4820987</v>
          </cell>
          <cell r="AD24">
            <v>1165201</v>
          </cell>
          <cell r="AE24">
            <v>2307003</v>
          </cell>
          <cell r="AF24">
            <v>3514966</v>
          </cell>
          <cell r="AG24">
            <v>4702667</v>
          </cell>
          <cell r="AH24">
            <v>1120210</v>
          </cell>
          <cell r="AI24">
            <v>2224912</v>
          </cell>
          <cell r="AJ24">
            <v>3348550</v>
          </cell>
          <cell r="AK24">
            <v>4487422</v>
          </cell>
          <cell r="AL24">
            <v>1043671</v>
          </cell>
          <cell r="AM24">
            <v>2097813</v>
          </cell>
          <cell r="AN24">
            <v>3068783</v>
          </cell>
          <cell r="AO24">
            <v>4158921</v>
          </cell>
          <cell r="AP24">
            <v>1010426</v>
          </cell>
          <cell r="AQ24">
            <v>1976673</v>
          </cell>
          <cell r="AR24">
            <v>2931418</v>
          </cell>
          <cell r="AS24">
            <v>3903209</v>
          </cell>
          <cell r="AT24">
            <v>1095806</v>
          </cell>
          <cell r="AU24">
            <v>2117186</v>
          </cell>
          <cell r="AV24">
            <v>3157554</v>
          </cell>
          <cell r="AW24">
            <v>4338470</v>
          </cell>
          <cell r="AX24">
            <v>1099284</v>
          </cell>
          <cell r="AY24">
            <v>2337966</v>
          </cell>
          <cell r="AZ24">
            <v>3624703</v>
          </cell>
          <cell r="BA24">
            <v>4801143</v>
          </cell>
          <cell r="BB24">
            <v>4801143</v>
          </cell>
        </row>
        <row r="25">
          <cell r="A25" t="str">
            <v>qtd</v>
          </cell>
          <cell r="B25">
            <v>1223874</v>
          </cell>
          <cell r="C25">
            <v>2364850</v>
          </cell>
          <cell r="D25">
            <v>3505145</v>
          </cell>
          <cell r="E25">
            <v>4607417</v>
          </cell>
          <cell r="F25">
            <v>5826112</v>
          </cell>
          <cell r="G25">
            <v>7010330</v>
          </cell>
          <cell r="H25">
            <v>8214786</v>
          </cell>
          <cell r="I25">
            <v>9347908</v>
          </cell>
          <cell r="J25">
            <v>10524728</v>
          </cell>
          <cell r="K25">
            <v>11714034</v>
          </cell>
          <cell r="L25">
            <v>12833155</v>
          </cell>
          <cell r="M25">
            <v>14105307</v>
          </cell>
          <cell r="N25">
            <v>1142463</v>
          </cell>
          <cell r="O25">
            <v>2310441</v>
          </cell>
          <cell r="P25">
            <v>3466060</v>
          </cell>
          <cell r="Q25">
            <v>4616305</v>
          </cell>
          <cell r="R25">
            <v>5736846</v>
          </cell>
          <cell r="S25">
            <v>6976880</v>
          </cell>
          <cell r="T25">
            <v>8226406</v>
          </cell>
          <cell r="U25">
            <v>9424863</v>
          </cell>
          <cell r="V25">
            <v>10601339</v>
          </cell>
          <cell r="W25">
            <v>11768234</v>
          </cell>
          <cell r="X25">
            <v>13056743</v>
          </cell>
          <cell r="Y25">
            <v>14270300</v>
          </cell>
          <cell r="Z25">
            <v>1207690</v>
          </cell>
          <cell r="AA25">
            <v>2348923</v>
          </cell>
          <cell r="AB25">
            <v>3631286</v>
          </cell>
          <cell r="AC25">
            <v>4820987</v>
          </cell>
          <cell r="AD25">
            <v>5986188</v>
          </cell>
          <cell r="AE25">
            <v>7127990</v>
          </cell>
          <cell r="AF25">
            <v>8335953</v>
          </cell>
          <cell r="AG25">
            <v>9523654</v>
          </cell>
          <cell r="AH25">
            <v>10643864</v>
          </cell>
          <cell r="AI25">
            <v>11748566</v>
          </cell>
          <cell r="AJ25">
            <v>12872204</v>
          </cell>
          <cell r="AK25">
            <v>14011076</v>
          </cell>
          <cell r="AL25">
            <v>1043671</v>
          </cell>
          <cell r="AM25">
            <v>2097813</v>
          </cell>
          <cell r="AN25">
            <v>3068783</v>
          </cell>
          <cell r="AO25">
            <v>4158921</v>
          </cell>
          <cell r="AP25">
            <v>5169347</v>
          </cell>
          <cell r="AQ25">
            <v>6135594</v>
          </cell>
          <cell r="AR25">
            <v>7090339</v>
          </cell>
          <cell r="AS25">
            <v>8062130</v>
          </cell>
          <cell r="AT25">
            <v>9157936</v>
          </cell>
          <cell r="AU25">
            <v>10179316</v>
          </cell>
          <cell r="AV25">
            <v>11219684</v>
          </cell>
          <cell r="AW25">
            <v>12400600</v>
          </cell>
          <cell r="AX25">
            <v>13499884</v>
          </cell>
          <cell r="AY25">
            <v>14738566</v>
          </cell>
          <cell r="AZ25">
            <v>16025303</v>
          </cell>
          <cell r="BA25">
            <v>17201743</v>
          </cell>
          <cell r="BB25">
            <v>17201743</v>
          </cell>
        </row>
        <row r="26">
          <cell r="A26" t="str">
            <v>ytd</v>
          </cell>
          <cell r="B26">
            <v>1223874</v>
          </cell>
          <cell r="C26">
            <v>2364850</v>
          </cell>
          <cell r="D26">
            <v>3505145</v>
          </cell>
          <cell r="E26">
            <v>4607417</v>
          </cell>
          <cell r="F26">
            <v>5826112</v>
          </cell>
          <cell r="G26">
            <v>7010330</v>
          </cell>
          <cell r="H26">
            <v>8214786</v>
          </cell>
          <cell r="I26">
            <v>9347908</v>
          </cell>
          <cell r="J26">
            <v>10524728</v>
          </cell>
          <cell r="K26">
            <v>11714034</v>
          </cell>
          <cell r="L26">
            <v>12833155</v>
          </cell>
          <cell r="M26">
            <v>14105307</v>
          </cell>
          <cell r="N26">
            <v>15247770</v>
          </cell>
          <cell r="O26">
            <v>16415748</v>
          </cell>
          <cell r="P26">
            <v>17571367</v>
          </cell>
          <cell r="Q26">
            <v>18721612</v>
          </cell>
          <cell r="R26">
            <v>19842153</v>
          </cell>
          <cell r="S26">
            <v>21082187</v>
          </cell>
          <cell r="T26">
            <v>22331713</v>
          </cell>
          <cell r="U26">
            <v>23530170</v>
          </cell>
          <cell r="V26">
            <v>24706646</v>
          </cell>
          <cell r="W26">
            <v>25873541</v>
          </cell>
          <cell r="X26">
            <v>27162050</v>
          </cell>
          <cell r="Y26">
            <v>28375607</v>
          </cell>
          <cell r="Z26">
            <v>29583297</v>
          </cell>
          <cell r="AA26">
            <v>30724530</v>
          </cell>
          <cell r="AB26">
            <v>32006893</v>
          </cell>
          <cell r="AC26">
            <v>33196594</v>
          </cell>
          <cell r="AD26">
            <v>34361795</v>
          </cell>
          <cell r="AE26">
            <v>35503597</v>
          </cell>
          <cell r="AF26">
            <v>36711560</v>
          </cell>
          <cell r="AG26">
            <v>37899261</v>
          </cell>
          <cell r="AH26">
            <v>39019471</v>
          </cell>
          <cell r="AI26">
            <v>40124173</v>
          </cell>
          <cell r="AJ26">
            <v>41247811</v>
          </cell>
          <cell r="AK26">
            <v>42386683</v>
          </cell>
          <cell r="AL26">
            <v>43430354</v>
          </cell>
          <cell r="AM26">
            <v>44484496</v>
          </cell>
          <cell r="AN26">
            <v>45455466</v>
          </cell>
          <cell r="AO26">
            <v>46545604</v>
          </cell>
          <cell r="AP26">
            <v>47556030</v>
          </cell>
          <cell r="AQ26">
            <v>48522277</v>
          </cell>
          <cell r="AR26">
            <v>49477022</v>
          </cell>
          <cell r="AS26">
            <v>50448813</v>
          </cell>
          <cell r="AT26">
            <v>51544619</v>
          </cell>
          <cell r="AU26">
            <v>52565999</v>
          </cell>
          <cell r="AV26">
            <v>53606367</v>
          </cell>
          <cell r="AW26">
            <v>54787283</v>
          </cell>
          <cell r="AX26">
            <v>55886567</v>
          </cell>
          <cell r="AY26">
            <v>57125249</v>
          </cell>
          <cell r="AZ26">
            <v>58411986</v>
          </cell>
          <cell r="BA26">
            <v>59588426</v>
          </cell>
          <cell r="BB26">
            <v>59588426</v>
          </cell>
        </row>
        <row r="27">
          <cell r="A27" t="str">
            <v>TICK</v>
          </cell>
          <cell r="B27">
            <v>35025</v>
          </cell>
          <cell r="C27">
            <v>35025</v>
          </cell>
          <cell r="D27">
            <v>29032</v>
          </cell>
          <cell r="E27">
            <v>30357</v>
          </cell>
          <cell r="F27">
            <v>22058</v>
          </cell>
          <cell r="G27">
            <v>34876</v>
          </cell>
          <cell r="H27">
            <v>27796</v>
          </cell>
          <cell r="I27">
            <v>27092</v>
          </cell>
          <cell r="J27">
            <v>22137</v>
          </cell>
          <cell r="K27">
            <v>26473</v>
          </cell>
          <cell r="L27">
            <v>28759</v>
          </cell>
          <cell r="M27">
            <v>47384</v>
          </cell>
          <cell r="N27">
            <v>50347</v>
          </cell>
          <cell r="O27">
            <v>28287</v>
          </cell>
          <cell r="P27">
            <v>20432</v>
          </cell>
          <cell r="Q27">
            <v>103429</v>
          </cell>
          <cell r="R27">
            <v>180763</v>
          </cell>
          <cell r="S27">
            <v>418032</v>
          </cell>
          <cell r="T27">
            <v>349881</v>
          </cell>
          <cell r="U27">
            <v>212987</v>
          </cell>
          <cell r="V27">
            <v>1119554</v>
          </cell>
          <cell r="W27">
            <v>675651</v>
          </cell>
          <cell r="X27">
            <v>958588</v>
          </cell>
          <cell r="Y27">
            <v>1421954</v>
          </cell>
          <cell r="Z27">
            <v>1044328</v>
          </cell>
          <cell r="AA27">
            <v>1045411</v>
          </cell>
          <cell r="AB27">
            <v>1344166</v>
          </cell>
          <cell r="AC27">
            <v>1355361</v>
          </cell>
          <cell r="AD27">
            <v>1436765</v>
          </cell>
          <cell r="AE27">
            <v>1338934</v>
          </cell>
          <cell r="AF27">
            <v>1372389</v>
          </cell>
          <cell r="AG27">
            <v>1280771</v>
          </cell>
          <cell r="AH27">
            <v>988493</v>
          </cell>
          <cell r="AI27">
            <v>698903</v>
          </cell>
          <cell r="AJ27">
            <v>416810</v>
          </cell>
          <cell r="AK27">
            <v>142862</v>
          </cell>
          <cell r="AL27">
            <v>28883</v>
          </cell>
          <cell r="AM27">
            <v>78431</v>
          </cell>
          <cell r="AN27">
            <v>95801</v>
          </cell>
          <cell r="AO27">
            <v>367497</v>
          </cell>
          <cell r="AP27">
            <v>686152</v>
          </cell>
          <cell r="AQ27">
            <v>1139908</v>
          </cell>
          <cell r="AR27">
            <v>566008</v>
          </cell>
          <cell r="AS27">
            <v>1392943</v>
          </cell>
          <cell r="AT27">
            <v>27841</v>
          </cell>
          <cell r="AU27">
            <v>25125</v>
          </cell>
          <cell r="AV27">
            <v>32813</v>
          </cell>
          <cell r="AW27">
            <v>64662</v>
          </cell>
          <cell r="AX27">
            <v>105959</v>
          </cell>
          <cell r="AY27">
            <v>192928</v>
          </cell>
          <cell r="AZ27">
            <v>271534</v>
          </cell>
          <cell r="BA27">
            <v>58942</v>
          </cell>
          <cell r="BB27">
            <v>0</v>
          </cell>
        </row>
        <row r="28">
          <cell r="A28" t="str">
            <v>ptd</v>
          </cell>
          <cell r="B28">
            <v>35025</v>
          </cell>
          <cell r="C28">
            <v>70050</v>
          </cell>
          <cell r="D28">
            <v>99082</v>
          </cell>
          <cell r="E28">
            <v>129439</v>
          </cell>
          <cell r="F28">
            <v>22058</v>
          </cell>
          <cell r="G28">
            <v>56934</v>
          </cell>
          <cell r="H28">
            <v>84730</v>
          </cell>
          <cell r="I28">
            <v>111822</v>
          </cell>
          <cell r="J28">
            <v>22137</v>
          </cell>
          <cell r="K28">
            <v>48610</v>
          </cell>
          <cell r="L28">
            <v>77369</v>
          </cell>
          <cell r="M28">
            <v>124753</v>
          </cell>
          <cell r="N28">
            <v>50347</v>
          </cell>
          <cell r="O28">
            <v>78634</v>
          </cell>
          <cell r="P28">
            <v>99066</v>
          </cell>
          <cell r="Q28">
            <v>202495</v>
          </cell>
          <cell r="R28">
            <v>180763</v>
          </cell>
          <cell r="S28">
            <v>598795</v>
          </cell>
          <cell r="T28">
            <v>948676</v>
          </cell>
          <cell r="U28">
            <v>1161663</v>
          </cell>
          <cell r="V28">
            <v>1119554</v>
          </cell>
          <cell r="W28">
            <v>1795205</v>
          </cell>
          <cell r="X28">
            <v>2753793</v>
          </cell>
          <cell r="Y28">
            <v>4175747</v>
          </cell>
          <cell r="Z28">
            <v>1044328</v>
          </cell>
          <cell r="AA28">
            <v>2089739</v>
          </cell>
          <cell r="AB28">
            <v>3433905</v>
          </cell>
          <cell r="AC28">
            <v>4789266</v>
          </cell>
          <cell r="AD28">
            <v>1436765</v>
          </cell>
          <cell r="AE28">
            <v>2775699</v>
          </cell>
          <cell r="AF28">
            <v>4148088</v>
          </cell>
          <cell r="AG28">
            <v>5428859</v>
          </cell>
          <cell r="AH28">
            <v>988493</v>
          </cell>
          <cell r="AI28">
            <v>1687396</v>
          </cell>
          <cell r="AJ28">
            <v>2104206</v>
          </cell>
          <cell r="AK28">
            <v>2247068</v>
          </cell>
          <cell r="AL28">
            <v>28883</v>
          </cell>
          <cell r="AM28">
            <v>107314</v>
          </cell>
          <cell r="AN28">
            <v>203115</v>
          </cell>
          <cell r="AO28">
            <v>570612</v>
          </cell>
          <cell r="AP28">
            <v>686152</v>
          </cell>
          <cell r="AQ28">
            <v>1826060</v>
          </cell>
          <cell r="AR28">
            <v>2392068</v>
          </cell>
          <cell r="AS28">
            <v>3785011</v>
          </cell>
          <cell r="AT28">
            <v>27841</v>
          </cell>
          <cell r="AU28">
            <v>52966</v>
          </cell>
          <cell r="AV28">
            <v>85779</v>
          </cell>
          <cell r="AW28">
            <v>150441</v>
          </cell>
          <cell r="AX28">
            <v>105959</v>
          </cell>
          <cell r="AY28">
            <v>298887</v>
          </cell>
          <cell r="AZ28">
            <v>570421</v>
          </cell>
          <cell r="BA28">
            <v>629363</v>
          </cell>
          <cell r="BB28">
            <v>629363</v>
          </cell>
        </row>
        <row r="29">
          <cell r="A29" t="str">
            <v>qtd</v>
          </cell>
          <cell r="B29">
            <v>35025</v>
          </cell>
          <cell r="C29">
            <v>70050</v>
          </cell>
          <cell r="D29">
            <v>99082</v>
          </cell>
          <cell r="E29">
            <v>129439</v>
          </cell>
          <cell r="F29">
            <v>151497</v>
          </cell>
          <cell r="G29">
            <v>186373</v>
          </cell>
          <cell r="H29">
            <v>214169</v>
          </cell>
          <cell r="I29">
            <v>241261</v>
          </cell>
          <cell r="J29">
            <v>263398</v>
          </cell>
          <cell r="K29">
            <v>289871</v>
          </cell>
          <cell r="L29">
            <v>318630</v>
          </cell>
          <cell r="M29">
            <v>366014</v>
          </cell>
          <cell r="N29">
            <v>50347</v>
          </cell>
          <cell r="O29">
            <v>78634</v>
          </cell>
          <cell r="P29">
            <v>99066</v>
          </cell>
          <cell r="Q29">
            <v>202495</v>
          </cell>
          <cell r="R29">
            <v>383258</v>
          </cell>
          <cell r="S29">
            <v>801290</v>
          </cell>
          <cell r="T29">
            <v>1151171</v>
          </cell>
          <cell r="U29">
            <v>1364158</v>
          </cell>
          <cell r="V29">
            <v>2483712</v>
          </cell>
          <cell r="W29">
            <v>3159363</v>
          </cell>
          <cell r="X29">
            <v>4117951</v>
          </cell>
          <cell r="Y29">
            <v>5539905</v>
          </cell>
          <cell r="Z29">
            <v>1044328</v>
          </cell>
          <cell r="AA29">
            <v>2089739</v>
          </cell>
          <cell r="AB29">
            <v>3433905</v>
          </cell>
          <cell r="AC29">
            <v>4789266</v>
          </cell>
          <cell r="AD29">
            <v>6226031</v>
          </cell>
          <cell r="AE29">
            <v>7564965</v>
          </cell>
          <cell r="AF29">
            <v>8937354</v>
          </cell>
          <cell r="AG29">
            <v>10218125</v>
          </cell>
          <cell r="AH29">
            <v>11206618</v>
          </cell>
          <cell r="AI29">
            <v>11905521</v>
          </cell>
          <cell r="AJ29">
            <v>12322331</v>
          </cell>
          <cell r="AK29">
            <v>12465193</v>
          </cell>
          <cell r="AL29">
            <v>28883</v>
          </cell>
          <cell r="AM29">
            <v>107314</v>
          </cell>
          <cell r="AN29">
            <v>203115</v>
          </cell>
          <cell r="AO29">
            <v>570612</v>
          </cell>
          <cell r="AP29">
            <v>1256764</v>
          </cell>
          <cell r="AQ29">
            <v>2396672</v>
          </cell>
          <cell r="AR29">
            <v>2962680</v>
          </cell>
          <cell r="AS29">
            <v>4355623</v>
          </cell>
          <cell r="AT29">
            <v>4383464</v>
          </cell>
          <cell r="AU29">
            <v>4408589</v>
          </cell>
          <cell r="AV29">
            <v>4441402</v>
          </cell>
          <cell r="AW29">
            <v>4506064</v>
          </cell>
          <cell r="AX29">
            <v>4612023</v>
          </cell>
          <cell r="AY29">
            <v>4804951</v>
          </cell>
          <cell r="AZ29">
            <v>5076485</v>
          </cell>
          <cell r="BA29">
            <v>5135427</v>
          </cell>
          <cell r="BB29">
            <v>5135427</v>
          </cell>
        </row>
        <row r="30">
          <cell r="A30" t="str">
            <v>ytd</v>
          </cell>
          <cell r="B30">
            <v>35025</v>
          </cell>
          <cell r="C30">
            <v>70050</v>
          </cell>
          <cell r="D30">
            <v>99082</v>
          </cell>
          <cell r="E30">
            <v>129439</v>
          </cell>
          <cell r="F30">
            <v>151497</v>
          </cell>
          <cell r="G30">
            <v>186373</v>
          </cell>
          <cell r="H30">
            <v>214169</v>
          </cell>
          <cell r="I30">
            <v>241261</v>
          </cell>
          <cell r="J30">
            <v>263398</v>
          </cell>
          <cell r="K30">
            <v>289871</v>
          </cell>
          <cell r="L30">
            <v>318630</v>
          </cell>
          <cell r="M30">
            <v>366014</v>
          </cell>
          <cell r="N30">
            <v>416361</v>
          </cell>
          <cell r="O30">
            <v>444648</v>
          </cell>
          <cell r="P30">
            <v>465080</v>
          </cell>
          <cell r="Q30">
            <v>568509</v>
          </cell>
          <cell r="R30">
            <v>749272</v>
          </cell>
          <cell r="S30">
            <v>1167304</v>
          </cell>
          <cell r="T30">
            <v>1517185</v>
          </cell>
          <cell r="U30">
            <v>1730172</v>
          </cell>
          <cell r="V30">
            <v>2849726</v>
          </cell>
          <cell r="W30">
            <v>3525377</v>
          </cell>
          <cell r="X30">
            <v>4483965</v>
          </cell>
          <cell r="Y30">
            <v>5905919</v>
          </cell>
          <cell r="Z30">
            <v>6950247</v>
          </cell>
          <cell r="AA30">
            <v>7995658</v>
          </cell>
          <cell r="AB30">
            <v>9339824</v>
          </cell>
          <cell r="AC30">
            <v>10695185</v>
          </cell>
          <cell r="AD30">
            <v>12131950</v>
          </cell>
          <cell r="AE30">
            <v>13470884</v>
          </cell>
          <cell r="AF30">
            <v>14843273</v>
          </cell>
          <cell r="AG30">
            <v>16124044</v>
          </cell>
          <cell r="AH30">
            <v>17112537</v>
          </cell>
          <cell r="AI30">
            <v>17811440</v>
          </cell>
          <cell r="AJ30">
            <v>18228250</v>
          </cell>
          <cell r="AK30">
            <v>18371112</v>
          </cell>
          <cell r="AL30">
            <v>18399995</v>
          </cell>
          <cell r="AM30">
            <v>18478426</v>
          </cell>
          <cell r="AN30">
            <v>18574227</v>
          </cell>
          <cell r="AO30">
            <v>18941724</v>
          </cell>
          <cell r="AP30">
            <v>19627876</v>
          </cell>
          <cell r="AQ30">
            <v>20767784</v>
          </cell>
          <cell r="AR30">
            <v>21333792</v>
          </cell>
          <cell r="AS30">
            <v>22726735</v>
          </cell>
          <cell r="AT30">
            <v>22754576</v>
          </cell>
          <cell r="AU30">
            <v>22779701</v>
          </cell>
          <cell r="AV30">
            <v>22812514</v>
          </cell>
          <cell r="AW30">
            <v>22877176</v>
          </cell>
          <cell r="AX30">
            <v>22983135</v>
          </cell>
          <cell r="AY30">
            <v>23176063</v>
          </cell>
          <cell r="AZ30">
            <v>23447597</v>
          </cell>
          <cell r="BA30">
            <v>23506539</v>
          </cell>
          <cell r="BB30">
            <v>23506539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6209298</v>
          </cell>
          <cell r="C35">
            <v>6094259</v>
          </cell>
          <cell r="D35">
            <v>5525995</v>
          </cell>
          <cell r="E35">
            <v>5414138</v>
          </cell>
          <cell r="F35">
            <v>5791562</v>
          </cell>
          <cell r="G35">
            <v>8774767</v>
          </cell>
          <cell r="H35">
            <v>6214382</v>
          </cell>
          <cell r="I35">
            <v>5714227</v>
          </cell>
          <cell r="J35">
            <v>5914236</v>
          </cell>
          <cell r="K35">
            <v>5952146</v>
          </cell>
          <cell r="L35">
            <v>6293261</v>
          </cell>
          <cell r="M35">
            <v>6198993</v>
          </cell>
          <cell r="N35">
            <v>5981973</v>
          </cell>
          <cell r="O35">
            <v>8412431</v>
          </cell>
          <cell r="P35">
            <v>6102945</v>
          </cell>
          <cell r="Q35">
            <v>6517756</v>
          </cell>
          <cell r="R35">
            <v>7305918</v>
          </cell>
          <cell r="S35">
            <v>13400156</v>
          </cell>
          <cell r="T35">
            <v>10343949</v>
          </cell>
          <cell r="U35">
            <v>7832600</v>
          </cell>
          <cell r="V35">
            <v>9881236</v>
          </cell>
          <cell r="W35">
            <v>9830126</v>
          </cell>
          <cell r="X35">
            <v>11088423</v>
          </cell>
          <cell r="Y35">
            <v>16075113</v>
          </cell>
          <cell r="Z35">
            <v>10121169</v>
          </cell>
          <cell r="AA35">
            <v>6994835</v>
          </cell>
          <cell r="AB35">
            <v>7112722</v>
          </cell>
          <cell r="AC35">
            <v>7035119</v>
          </cell>
          <cell r="AD35">
            <v>7216169</v>
          </cell>
          <cell r="AE35">
            <v>6951457</v>
          </cell>
          <cell r="AF35">
            <v>7423729</v>
          </cell>
          <cell r="AG35">
            <v>6989024</v>
          </cell>
          <cell r="AH35">
            <v>6640605</v>
          </cell>
          <cell r="AI35">
            <v>6366582</v>
          </cell>
          <cell r="AJ35">
            <v>5864236</v>
          </cell>
          <cell r="AK35">
            <v>5558930</v>
          </cell>
          <cell r="AL35">
            <v>5348581</v>
          </cell>
          <cell r="AM35">
            <v>5332419</v>
          </cell>
          <cell r="AN35">
            <v>5287744</v>
          </cell>
          <cell r="AO35">
            <v>5822339</v>
          </cell>
          <cell r="AP35">
            <v>6071320</v>
          </cell>
          <cell r="AQ35">
            <v>7183627</v>
          </cell>
          <cell r="AR35">
            <v>6689474</v>
          </cell>
          <cell r="AS35">
            <v>7135591</v>
          </cell>
          <cell r="AT35">
            <v>6722151</v>
          </cell>
          <cell r="AU35">
            <v>7362731</v>
          </cell>
          <cell r="AV35">
            <v>8864638</v>
          </cell>
          <cell r="AW35">
            <v>17518743</v>
          </cell>
          <cell r="AX35">
            <v>31428357</v>
          </cell>
          <cell r="AY35">
            <v>68101461</v>
          </cell>
          <cell r="AZ35">
            <v>83697777</v>
          </cell>
          <cell r="BA35">
            <v>11682120</v>
          </cell>
          <cell r="BB35">
            <v>0</v>
          </cell>
        </row>
        <row r="36">
          <cell r="A36" t="str">
            <v>ptd</v>
          </cell>
          <cell r="B36">
            <v>6209298</v>
          </cell>
          <cell r="C36">
            <v>12303557</v>
          </cell>
          <cell r="D36">
            <v>17829552</v>
          </cell>
          <cell r="E36">
            <v>23243690</v>
          </cell>
          <cell r="F36">
            <v>5791562</v>
          </cell>
          <cell r="G36">
            <v>14566329</v>
          </cell>
          <cell r="H36">
            <v>20780711</v>
          </cell>
          <cell r="I36">
            <v>26494938</v>
          </cell>
          <cell r="J36">
            <v>5914236</v>
          </cell>
          <cell r="K36">
            <v>11866382</v>
          </cell>
          <cell r="L36">
            <v>18159643</v>
          </cell>
          <cell r="M36">
            <v>24358636</v>
          </cell>
          <cell r="N36">
            <v>5981973</v>
          </cell>
          <cell r="O36">
            <v>14394404</v>
          </cell>
          <cell r="P36">
            <v>20497349</v>
          </cell>
          <cell r="Q36">
            <v>27015105</v>
          </cell>
          <cell r="R36">
            <v>7305918</v>
          </cell>
          <cell r="S36">
            <v>20706074</v>
          </cell>
          <cell r="T36">
            <v>31050023</v>
          </cell>
          <cell r="U36">
            <v>38882623</v>
          </cell>
          <cell r="V36">
            <v>9881236</v>
          </cell>
          <cell r="W36">
            <v>19711362</v>
          </cell>
          <cell r="X36">
            <v>30799785</v>
          </cell>
          <cell r="Y36">
            <v>46874898</v>
          </cell>
          <cell r="Z36">
            <v>10121169</v>
          </cell>
          <cell r="AA36">
            <v>17116004</v>
          </cell>
          <cell r="AB36">
            <v>24228726</v>
          </cell>
          <cell r="AC36">
            <v>31263845</v>
          </cell>
          <cell r="AD36">
            <v>7216169</v>
          </cell>
          <cell r="AE36">
            <v>14167626</v>
          </cell>
          <cell r="AF36">
            <v>21591355</v>
          </cell>
          <cell r="AG36">
            <v>28580379</v>
          </cell>
          <cell r="AH36">
            <v>6640605</v>
          </cell>
          <cell r="AI36">
            <v>13007187</v>
          </cell>
          <cell r="AJ36">
            <v>18871423</v>
          </cell>
          <cell r="AK36">
            <v>24430353</v>
          </cell>
          <cell r="AL36">
            <v>5348581</v>
          </cell>
          <cell r="AM36">
            <v>10681000</v>
          </cell>
          <cell r="AN36">
            <v>15968744</v>
          </cell>
          <cell r="AO36">
            <v>21791083</v>
          </cell>
          <cell r="AP36">
            <v>6071320</v>
          </cell>
          <cell r="AQ36">
            <v>13254947</v>
          </cell>
          <cell r="AR36">
            <v>19944421</v>
          </cell>
          <cell r="AS36">
            <v>27080012</v>
          </cell>
          <cell r="AT36">
            <v>6722151</v>
          </cell>
          <cell r="AU36">
            <v>14084882</v>
          </cell>
          <cell r="AV36">
            <v>22949520</v>
          </cell>
          <cell r="AW36">
            <v>40468263</v>
          </cell>
          <cell r="AX36">
            <v>31428357</v>
          </cell>
          <cell r="AY36">
            <v>99529818</v>
          </cell>
          <cell r="AZ36">
            <v>183227595</v>
          </cell>
          <cell r="BA36">
            <v>194909715</v>
          </cell>
          <cell r="BB36">
            <v>194909715</v>
          </cell>
        </row>
        <row r="37">
          <cell r="A37" t="str">
            <v>qtd</v>
          </cell>
          <cell r="B37">
            <v>6209298</v>
          </cell>
          <cell r="C37">
            <v>12303557</v>
          </cell>
          <cell r="D37">
            <v>17829552</v>
          </cell>
          <cell r="E37">
            <v>23243690</v>
          </cell>
          <cell r="F37">
            <v>29035252</v>
          </cell>
          <cell r="G37">
            <v>37810019</v>
          </cell>
          <cell r="H37">
            <v>44024401</v>
          </cell>
          <cell r="I37">
            <v>49738628</v>
          </cell>
          <cell r="J37">
            <v>55652864</v>
          </cell>
          <cell r="K37">
            <v>61605010</v>
          </cell>
          <cell r="L37">
            <v>67898271</v>
          </cell>
          <cell r="M37">
            <v>74097264</v>
          </cell>
          <cell r="N37">
            <v>5981973</v>
          </cell>
          <cell r="O37">
            <v>14394404</v>
          </cell>
          <cell r="P37">
            <v>20497349</v>
          </cell>
          <cell r="Q37">
            <v>27015105</v>
          </cell>
          <cell r="R37">
            <v>34321023</v>
          </cell>
          <cell r="S37">
            <v>47721179</v>
          </cell>
          <cell r="T37">
            <v>58065128</v>
          </cell>
          <cell r="U37">
            <v>65897728</v>
          </cell>
          <cell r="V37">
            <v>75778964</v>
          </cell>
          <cell r="W37">
            <v>85609090</v>
          </cell>
          <cell r="X37">
            <v>96697513</v>
          </cell>
          <cell r="Y37">
            <v>112772626</v>
          </cell>
          <cell r="Z37">
            <v>10121169</v>
          </cell>
          <cell r="AA37">
            <v>17116004</v>
          </cell>
          <cell r="AB37">
            <v>24228726</v>
          </cell>
          <cell r="AC37">
            <v>31263845</v>
          </cell>
          <cell r="AD37">
            <v>38480014</v>
          </cell>
          <cell r="AE37">
            <v>45431471</v>
          </cell>
          <cell r="AF37">
            <v>52855200</v>
          </cell>
          <cell r="AG37">
            <v>59844224</v>
          </cell>
          <cell r="AH37">
            <v>66484829</v>
          </cell>
          <cell r="AI37">
            <v>72851411</v>
          </cell>
          <cell r="AJ37">
            <v>78715647</v>
          </cell>
          <cell r="AK37">
            <v>84274577</v>
          </cell>
          <cell r="AL37">
            <v>5348581</v>
          </cell>
          <cell r="AM37">
            <v>10681000</v>
          </cell>
          <cell r="AN37">
            <v>15968744</v>
          </cell>
          <cell r="AO37">
            <v>21791083</v>
          </cell>
          <cell r="AP37">
            <v>27862403</v>
          </cell>
          <cell r="AQ37">
            <v>35046030</v>
          </cell>
          <cell r="AR37">
            <v>41735504</v>
          </cell>
          <cell r="AS37">
            <v>48871095</v>
          </cell>
          <cell r="AT37">
            <v>55593246</v>
          </cell>
          <cell r="AU37">
            <v>62955977</v>
          </cell>
          <cell r="AV37">
            <v>71820615</v>
          </cell>
          <cell r="AW37">
            <v>89339358</v>
          </cell>
          <cell r="AX37">
            <v>120767715</v>
          </cell>
          <cell r="AY37">
            <v>188869176</v>
          </cell>
          <cell r="AZ37">
            <v>272566953</v>
          </cell>
          <cell r="BA37">
            <v>284249073</v>
          </cell>
          <cell r="BB37">
            <v>284249073</v>
          </cell>
        </row>
        <row r="38">
          <cell r="A38" t="str">
            <v>ytd</v>
          </cell>
          <cell r="B38">
            <v>6209298</v>
          </cell>
          <cell r="C38">
            <v>12303557</v>
          </cell>
          <cell r="D38">
            <v>17829552</v>
          </cell>
          <cell r="E38">
            <v>23243690</v>
          </cell>
          <cell r="F38">
            <v>29035252</v>
          </cell>
          <cell r="G38">
            <v>37810019</v>
          </cell>
          <cell r="H38">
            <v>44024401</v>
          </cell>
          <cell r="I38">
            <v>49738628</v>
          </cell>
          <cell r="J38">
            <v>55652864</v>
          </cell>
          <cell r="K38">
            <v>61605010</v>
          </cell>
          <cell r="L38">
            <v>67898271</v>
          </cell>
          <cell r="M38">
            <v>74097264</v>
          </cell>
          <cell r="N38">
            <v>80079237</v>
          </cell>
          <cell r="O38">
            <v>88491668</v>
          </cell>
          <cell r="P38">
            <v>94594613</v>
          </cell>
          <cell r="Q38">
            <v>101112369</v>
          </cell>
          <cell r="R38">
            <v>108418287</v>
          </cell>
          <cell r="S38">
            <v>121818443</v>
          </cell>
          <cell r="T38">
            <v>132162392</v>
          </cell>
          <cell r="U38">
            <v>139994992</v>
          </cell>
          <cell r="V38">
            <v>149876228</v>
          </cell>
          <cell r="W38">
            <v>159706354</v>
          </cell>
          <cell r="X38">
            <v>170794777</v>
          </cell>
          <cell r="Y38">
            <v>186869890</v>
          </cell>
          <cell r="Z38">
            <v>196991059</v>
          </cell>
          <cell r="AA38">
            <v>203985894</v>
          </cell>
          <cell r="AB38">
            <v>211098616</v>
          </cell>
          <cell r="AC38">
            <v>218133735</v>
          </cell>
          <cell r="AD38">
            <v>225349904</v>
          </cell>
          <cell r="AE38">
            <v>232301361</v>
          </cell>
          <cell r="AF38">
            <v>239725090</v>
          </cell>
          <cell r="AG38">
            <v>246714114</v>
          </cell>
          <cell r="AH38">
            <v>253354719</v>
          </cell>
          <cell r="AI38">
            <v>259721301</v>
          </cell>
          <cell r="AJ38">
            <v>265585537</v>
          </cell>
          <cell r="AK38">
            <v>271144467</v>
          </cell>
          <cell r="AL38">
            <v>276493048</v>
          </cell>
          <cell r="AM38">
            <v>281825467</v>
          </cell>
          <cell r="AN38">
            <v>287113211</v>
          </cell>
          <cell r="AO38">
            <v>292935550</v>
          </cell>
          <cell r="AP38">
            <v>299006870</v>
          </cell>
          <cell r="AQ38">
            <v>306190497</v>
          </cell>
          <cell r="AR38">
            <v>312879971</v>
          </cell>
          <cell r="AS38">
            <v>320015562</v>
          </cell>
          <cell r="AT38">
            <v>326737713</v>
          </cell>
          <cell r="AU38">
            <v>334100444</v>
          </cell>
          <cell r="AV38">
            <v>342965082</v>
          </cell>
          <cell r="AW38">
            <v>360483825</v>
          </cell>
          <cell r="AX38">
            <v>391912182</v>
          </cell>
          <cell r="AY38">
            <v>460013643</v>
          </cell>
          <cell r="AZ38">
            <v>543711420</v>
          </cell>
          <cell r="BA38">
            <v>555393540</v>
          </cell>
          <cell r="BB38">
            <v>555393540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255130.1126562501</v>
          </cell>
          <cell r="C41">
            <v>255130.1126562501</v>
          </cell>
          <cell r="D41">
            <v>346215.86265625025</v>
          </cell>
          <cell r="E41">
            <v>424197.36265625025</v>
          </cell>
          <cell r="F41">
            <v>477434</v>
          </cell>
          <cell r="G41">
            <v>378488</v>
          </cell>
          <cell r="H41">
            <v>485006.75</v>
          </cell>
          <cell r="I41">
            <v>309407.5</v>
          </cell>
          <cell r="J41">
            <v>335426.25</v>
          </cell>
          <cell r="K41">
            <v>307797.5</v>
          </cell>
          <cell r="L41">
            <v>401114.25</v>
          </cell>
          <cell r="M41">
            <v>371271.75</v>
          </cell>
          <cell r="N41">
            <v>387331.5</v>
          </cell>
          <cell r="O41">
            <v>530581.25</v>
          </cell>
          <cell r="P41">
            <v>332459.25</v>
          </cell>
          <cell r="Q41">
            <v>410130.25</v>
          </cell>
          <cell r="R41">
            <v>475116.75</v>
          </cell>
          <cell r="S41">
            <v>801544.25</v>
          </cell>
          <cell r="T41">
            <v>640360.25</v>
          </cell>
          <cell r="U41">
            <v>519570</v>
          </cell>
          <cell r="V41">
            <v>600938.25</v>
          </cell>
          <cell r="W41">
            <v>589875.25</v>
          </cell>
          <cell r="X41">
            <v>703092.75</v>
          </cell>
          <cell r="Y41">
            <v>940855.25</v>
          </cell>
          <cell r="Z41">
            <v>686032.5</v>
          </cell>
          <cell r="AA41">
            <v>588564.25</v>
          </cell>
          <cell r="AB41">
            <v>556646</v>
          </cell>
          <cell r="AC41">
            <v>570365.5</v>
          </cell>
          <cell r="AD41">
            <v>575009.82746875018</v>
          </cell>
          <cell r="AE41">
            <v>563256.8274687503</v>
          </cell>
          <cell r="AF41">
            <v>537485.32746875018</v>
          </cell>
          <cell r="AG41">
            <v>692430.57746875042</v>
          </cell>
          <cell r="AH41">
            <v>695253.8274687503</v>
          </cell>
          <cell r="AI41">
            <v>624436.82746875018</v>
          </cell>
          <cell r="AJ41">
            <v>689785.57746875042</v>
          </cell>
          <cell r="AK41">
            <v>404988.07746875018</v>
          </cell>
          <cell r="AL41">
            <v>414015.57746875018</v>
          </cell>
          <cell r="AM41">
            <v>388686.82746875018</v>
          </cell>
          <cell r="AN41">
            <v>402601.82746875018</v>
          </cell>
          <cell r="AO41">
            <v>407201.82746875013</v>
          </cell>
          <cell r="AP41">
            <v>385754.32746875018</v>
          </cell>
          <cell r="AQ41">
            <v>487874.32746875018</v>
          </cell>
          <cell r="AR41">
            <v>534276.8274687503</v>
          </cell>
          <cell r="AS41">
            <v>496269.32746875024</v>
          </cell>
          <cell r="AT41">
            <v>607445.5774687503</v>
          </cell>
          <cell r="AU41">
            <v>724573.07746875042</v>
          </cell>
          <cell r="AV41">
            <v>858691.82746875042</v>
          </cell>
          <cell r="AW41">
            <v>1236035.5774687505</v>
          </cell>
          <cell r="AX41">
            <v>2165018.75</v>
          </cell>
          <cell r="AY41">
            <v>3028007.5</v>
          </cell>
          <cell r="AZ41">
            <v>3275056.25</v>
          </cell>
          <cell r="BA41">
            <v>961141.25</v>
          </cell>
          <cell r="BB41">
            <v>0</v>
          </cell>
        </row>
        <row r="42">
          <cell r="A42" t="str">
            <v>ptd</v>
          </cell>
          <cell r="B42">
            <v>255130.1126562501</v>
          </cell>
          <cell r="C42">
            <v>510260.2253125002</v>
          </cell>
          <cell r="D42">
            <v>856476.08796875039</v>
          </cell>
          <cell r="E42">
            <v>1280673.4506250005</v>
          </cell>
          <cell r="F42">
            <v>477434</v>
          </cell>
          <cell r="G42">
            <v>855922</v>
          </cell>
          <cell r="H42">
            <v>1340928.75</v>
          </cell>
          <cell r="I42">
            <v>1650336.25</v>
          </cell>
          <cell r="J42">
            <v>335426.25</v>
          </cell>
          <cell r="K42">
            <v>643223.75</v>
          </cell>
          <cell r="L42">
            <v>1044338</v>
          </cell>
          <cell r="M42">
            <v>1415609.75</v>
          </cell>
          <cell r="N42">
            <v>387331.5</v>
          </cell>
          <cell r="O42">
            <v>917912.75</v>
          </cell>
          <cell r="P42">
            <v>1250372</v>
          </cell>
          <cell r="Q42">
            <v>1660502.25</v>
          </cell>
          <cell r="R42">
            <v>475116.75</v>
          </cell>
          <cell r="S42">
            <v>1276661</v>
          </cell>
          <cell r="T42">
            <v>1917021.25</v>
          </cell>
          <cell r="U42">
            <v>2436591.25</v>
          </cell>
          <cell r="V42">
            <v>600938.25</v>
          </cell>
          <cell r="W42">
            <v>1190813.5</v>
          </cell>
          <cell r="X42">
            <v>1893906.25</v>
          </cell>
          <cell r="Y42">
            <v>2834761.5</v>
          </cell>
          <cell r="Z42">
            <v>686032.5</v>
          </cell>
          <cell r="AA42">
            <v>1274596.75</v>
          </cell>
          <cell r="AB42">
            <v>1831242.75</v>
          </cell>
          <cell r="AC42">
            <v>2401608.25</v>
          </cell>
          <cell r="AD42">
            <v>575009.82746875018</v>
          </cell>
          <cell r="AE42">
            <v>1138266.6549375006</v>
          </cell>
          <cell r="AF42">
            <v>1675751.9824062507</v>
          </cell>
          <cell r="AG42">
            <v>2368182.5598750012</v>
          </cell>
          <cell r="AH42">
            <v>695253.8274687503</v>
          </cell>
          <cell r="AI42">
            <v>1319690.6549375006</v>
          </cell>
          <cell r="AJ42">
            <v>2009476.2324062511</v>
          </cell>
          <cell r="AK42">
            <v>2414464.3098750012</v>
          </cell>
          <cell r="AL42">
            <v>414015.57746875018</v>
          </cell>
          <cell r="AM42">
            <v>802702.40493750037</v>
          </cell>
          <cell r="AN42">
            <v>1205304.2324062507</v>
          </cell>
          <cell r="AO42">
            <v>1612506.0598750007</v>
          </cell>
          <cell r="AP42">
            <v>385754.32746875018</v>
          </cell>
          <cell r="AQ42">
            <v>873628.65493750037</v>
          </cell>
          <cell r="AR42">
            <v>1407905.4824062507</v>
          </cell>
          <cell r="AS42">
            <v>1904174.809875001</v>
          </cell>
          <cell r="AT42">
            <v>607445.5774687503</v>
          </cell>
          <cell r="AU42">
            <v>1332018.6549375006</v>
          </cell>
          <cell r="AV42">
            <v>2190710.4824062511</v>
          </cell>
          <cell r="AW42">
            <v>3426746.0598750017</v>
          </cell>
          <cell r="AX42">
            <v>2165018.75</v>
          </cell>
          <cell r="AY42">
            <v>5193026.25</v>
          </cell>
          <cell r="AZ42">
            <v>8468082.5</v>
          </cell>
          <cell r="BA42">
            <v>9429223.75</v>
          </cell>
          <cell r="BB42">
            <v>9429223.75</v>
          </cell>
        </row>
        <row r="43">
          <cell r="A43" t="str">
            <v>qtd</v>
          </cell>
          <cell r="B43">
            <v>255130.1126562501</v>
          </cell>
          <cell r="C43">
            <v>510260.2253125002</v>
          </cell>
          <cell r="D43">
            <v>856476.08796875039</v>
          </cell>
          <cell r="E43">
            <v>1280673.4506250005</v>
          </cell>
          <cell r="F43">
            <v>1758107.4506250005</v>
          </cell>
          <cell r="G43">
            <v>2136595.4506250005</v>
          </cell>
          <cell r="H43">
            <v>2621602.2006250005</v>
          </cell>
          <cell r="I43">
            <v>2931009.7006250005</v>
          </cell>
          <cell r="J43">
            <v>3266435.9506250005</v>
          </cell>
          <cell r="K43">
            <v>3574233.4506250005</v>
          </cell>
          <cell r="L43">
            <v>3975347.7006250005</v>
          </cell>
          <cell r="M43">
            <v>4346619.4506250005</v>
          </cell>
          <cell r="N43">
            <v>387331.5</v>
          </cell>
          <cell r="O43">
            <v>917912.75</v>
          </cell>
          <cell r="P43">
            <v>1250372</v>
          </cell>
          <cell r="Q43">
            <v>1660502.25</v>
          </cell>
          <cell r="R43">
            <v>2135619</v>
          </cell>
          <cell r="S43">
            <v>2937163.25</v>
          </cell>
          <cell r="T43">
            <v>3577523.5</v>
          </cell>
          <cell r="U43">
            <v>4097093.5</v>
          </cell>
          <cell r="V43">
            <v>4698031.75</v>
          </cell>
          <cell r="W43">
            <v>5287907</v>
          </cell>
          <cell r="X43">
            <v>5990999.75</v>
          </cell>
          <cell r="Y43">
            <v>6931855</v>
          </cell>
          <cell r="Z43">
            <v>686032.5</v>
          </cell>
          <cell r="AA43">
            <v>1274596.75</v>
          </cell>
          <cell r="AB43">
            <v>1831242.75</v>
          </cell>
          <cell r="AC43">
            <v>2401608.25</v>
          </cell>
          <cell r="AD43">
            <v>2976618.0774687501</v>
          </cell>
          <cell r="AE43">
            <v>3539874.9049375001</v>
          </cell>
          <cell r="AF43">
            <v>4077360.2324062502</v>
          </cell>
          <cell r="AG43">
            <v>4769790.8098750003</v>
          </cell>
          <cell r="AH43">
            <v>5465044.6373437503</v>
          </cell>
          <cell r="AI43">
            <v>6089481.4648125004</v>
          </cell>
          <cell r="AJ43">
            <v>6779267.0422812505</v>
          </cell>
          <cell r="AK43">
            <v>7184255.1197500005</v>
          </cell>
          <cell r="AL43">
            <v>414015.57746875018</v>
          </cell>
          <cell r="AM43">
            <v>802702.40493750037</v>
          </cell>
          <cell r="AN43">
            <v>1205304.2324062507</v>
          </cell>
          <cell r="AO43">
            <v>1612506.0598750007</v>
          </cell>
          <cell r="AP43">
            <v>1998260.3873437508</v>
          </cell>
          <cell r="AQ43">
            <v>2486134.7148125009</v>
          </cell>
          <cell r="AR43">
            <v>3020411.5422812514</v>
          </cell>
          <cell r="AS43">
            <v>3516680.8697500015</v>
          </cell>
          <cell r="AT43">
            <v>4124126.4472187515</v>
          </cell>
          <cell r="AU43">
            <v>4848699.5246875016</v>
          </cell>
          <cell r="AV43">
            <v>5707391.3521562517</v>
          </cell>
          <cell r="AW43">
            <v>6943426.9296250027</v>
          </cell>
          <cell r="AX43">
            <v>9108445.6796250027</v>
          </cell>
          <cell r="AY43">
            <v>12136453.179625003</v>
          </cell>
          <cell r="AZ43">
            <v>15411509.429625003</v>
          </cell>
          <cell r="BA43">
            <v>16372650.679625003</v>
          </cell>
          <cell r="BB43">
            <v>16372650.679625003</v>
          </cell>
        </row>
        <row r="44">
          <cell r="A44" t="str">
            <v>ytd</v>
          </cell>
          <cell r="B44">
            <v>255130.1126562501</v>
          </cell>
          <cell r="C44">
            <v>510260.2253125002</v>
          </cell>
          <cell r="D44">
            <v>856476.08796875039</v>
          </cell>
          <cell r="E44">
            <v>1280673.4506250005</v>
          </cell>
          <cell r="F44">
            <v>1758107.4506250005</v>
          </cell>
          <cell r="G44">
            <v>2136595.4506250005</v>
          </cell>
          <cell r="H44">
            <v>2621602.2006250005</v>
          </cell>
          <cell r="I44">
            <v>2931009.7006250005</v>
          </cell>
          <cell r="J44">
            <v>3266435.9506250005</v>
          </cell>
          <cell r="K44">
            <v>3574233.4506250005</v>
          </cell>
          <cell r="L44">
            <v>3975347.7006250005</v>
          </cell>
          <cell r="M44">
            <v>4346619.4506250005</v>
          </cell>
          <cell r="N44">
            <v>4733950.9506250005</v>
          </cell>
          <cell r="O44">
            <v>5264532.2006250005</v>
          </cell>
          <cell r="P44">
            <v>5596991.4506250005</v>
          </cell>
          <cell r="Q44">
            <v>6007121.7006250005</v>
          </cell>
          <cell r="R44">
            <v>6482238.4506250005</v>
          </cell>
          <cell r="S44">
            <v>7283782.7006250005</v>
          </cell>
          <cell r="T44">
            <v>7924142.9506250005</v>
          </cell>
          <cell r="U44">
            <v>8443712.9506250005</v>
          </cell>
          <cell r="V44">
            <v>9044651.2006250005</v>
          </cell>
          <cell r="W44">
            <v>9634526.4506250005</v>
          </cell>
          <cell r="X44">
            <v>10337619.200625001</v>
          </cell>
          <cell r="Y44">
            <v>11278474.450625001</v>
          </cell>
          <cell r="Z44">
            <v>11964506.950625001</v>
          </cell>
          <cell r="AA44">
            <v>12553071.200625001</v>
          </cell>
          <cell r="AB44">
            <v>13109717.200625001</v>
          </cell>
          <cell r="AC44">
            <v>13680082.700625001</v>
          </cell>
          <cell r="AD44">
            <v>14255092.528093752</v>
          </cell>
          <cell r="AE44">
            <v>14818349.355562503</v>
          </cell>
          <cell r="AF44">
            <v>15355834.683031254</v>
          </cell>
          <cell r="AG44">
            <v>16048265.260500005</v>
          </cell>
          <cell r="AH44">
            <v>16743519.087968756</v>
          </cell>
          <cell r="AI44">
            <v>17367955.915437505</v>
          </cell>
          <cell r="AJ44">
            <v>18057741.492906254</v>
          </cell>
          <cell r="AK44">
            <v>18462729.570375003</v>
          </cell>
          <cell r="AL44">
            <v>18876745.147843752</v>
          </cell>
          <cell r="AM44">
            <v>19265431.975312501</v>
          </cell>
          <cell r="AN44">
            <v>19668033.80278125</v>
          </cell>
          <cell r="AO44">
            <v>20075235.630249999</v>
          </cell>
          <cell r="AP44">
            <v>20460989.957718749</v>
          </cell>
          <cell r="AQ44">
            <v>20948864.285187498</v>
          </cell>
          <cell r="AR44">
            <v>21483141.112656247</v>
          </cell>
          <cell r="AS44">
            <v>21979410.440124996</v>
          </cell>
          <cell r="AT44">
            <v>22586856.017593745</v>
          </cell>
          <cell r="AU44">
            <v>23311429.095062494</v>
          </cell>
          <cell r="AV44">
            <v>24170120.922531243</v>
          </cell>
          <cell r="AW44">
            <v>25406156.499999993</v>
          </cell>
          <cell r="AX44">
            <v>27571175.249999993</v>
          </cell>
          <cell r="AY44">
            <v>30599182.749999993</v>
          </cell>
          <cell r="AZ44">
            <v>33874238.999999993</v>
          </cell>
          <cell r="BA44">
            <v>34835380.249999993</v>
          </cell>
          <cell r="BB44">
            <v>34835380.249999993</v>
          </cell>
        </row>
        <row r="45">
          <cell r="A45" t="str">
            <v>PART</v>
          </cell>
          <cell r="B45">
            <v>5821323.6884000003</v>
          </cell>
          <cell r="C45">
            <v>5821323.6884000003</v>
          </cell>
          <cell r="D45">
            <v>6531977.3651999999</v>
          </cell>
          <cell r="E45">
            <v>6734159.5536000002</v>
          </cell>
          <cell r="F45">
            <v>6729293.3768000007</v>
          </cell>
          <cell r="G45">
            <v>7158470.0492000002</v>
          </cell>
          <cell r="H45">
            <v>6951787.0607999992</v>
          </cell>
          <cell r="I45">
            <v>6650349.5767999999</v>
          </cell>
          <cell r="J45">
            <v>6261790.1535999998</v>
          </cell>
          <cell r="K45">
            <v>6053686.1883999994</v>
          </cell>
          <cell r="L45">
            <v>7862340.7884</v>
          </cell>
          <cell r="M45">
            <v>8715665.7999999989</v>
          </cell>
          <cell r="N45">
            <v>9051323.3999999985</v>
          </cell>
          <cell r="O45">
            <v>9320617.3883999996</v>
          </cell>
          <cell r="P45">
            <v>7130218.3999999994</v>
          </cell>
          <cell r="Q45">
            <v>9871495.5883999988</v>
          </cell>
          <cell r="R45">
            <v>11476170</v>
          </cell>
          <cell r="S45">
            <v>14677195.7884</v>
          </cell>
          <cell r="T45">
            <v>12811376.4</v>
          </cell>
          <cell r="U45">
            <v>11522645.399999999</v>
          </cell>
          <cell r="V45">
            <v>13211657.599999998</v>
          </cell>
          <cell r="W45">
            <v>13512747.1884</v>
          </cell>
          <cell r="X45">
            <v>14082336.199999999</v>
          </cell>
          <cell r="Y45">
            <v>16600313.4</v>
          </cell>
          <cell r="Z45">
            <v>13410325</v>
          </cell>
          <cell r="AA45">
            <v>13261676.800000001</v>
          </cell>
          <cell r="AB45">
            <v>12367647.399999999</v>
          </cell>
          <cell r="AC45">
            <v>13064296.999999998</v>
          </cell>
          <cell r="AD45">
            <v>12580884.399999999</v>
          </cell>
          <cell r="AE45">
            <v>12106386.4</v>
          </cell>
          <cell r="AF45">
            <v>11890371.199999999</v>
          </cell>
          <cell r="AG45">
            <v>14157196.799999999</v>
          </cell>
          <cell r="AH45">
            <v>15652970.991599998</v>
          </cell>
          <cell r="AI45">
            <v>16539053.799999997</v>
          </cell>
          <cell r="AJ45">
            <v>17272939.399999999</v>
          </cell>
          <cell r="AK45">
            <v>10841800.800000001</v>
          </cell>
          <cell r="AL45">
            <v>10565268.399999999</v>
          </cell>
          <cell r="AM45">
            <v>10422275.199999999</v>
          </cell>
          <cell r="AN45">
            <v>10684064</v>
          </cell>
          <cell r="AO45">
            <v>10824499.399999999</v>
          </cell>
          <cell r="AP45">
            <v>10243136.376799999</v>
          </cell>
          <cell r="AQ45">
            <v>11802831.800000001</v>
          </cell>
          <cell r="AR45">
            <v>12522919.199999999</v>
          </cell>
          <cell r="AS45">
            <v>12189268.4</v>
          </cell>
          <cell r="AT45">
            <v>12514851.353600001</v>
          </cell>
          <cell r="AU45">
            <v>14871507.284</v>
          </cell>
          <cell r="AV45">
            <v>16641910.814399999</v>
          </cell>
          <cell r="AW45">
            <v>22060421.625999998</v>
          </cell>
          <cell r="AX45">
            <v>34605206.744800001</v>
          </cell>
          <cell r="AY45">
            <v>43565487.405599989</v>
          </cell>
          <cell r="AZ45">
            <v>40756820.052000001</v>
          </cell>
          <cell r="BA45">
            <v>21054800.202799998</v>
          </cell>
          <cell r="BB45">
            <v>0</v>
          </cell>
        </row>
        <row r="46">
          <cell r="A46" t="str">
            <v>ptd</v>
          </cell>
          <cell r="B46">
            <v>5821323.6884000003</v>
          </cell>
          <cell r="C46">
            <v>11642647.376800001</v>
          </cell>
          <cell r="D46">
            <v>18174624.741999999</v>
          </cell>
          <cell r="E46">
            <v>24908784.295599997</v>
          </cell>
          <cell r="F46">
            <v>6729293.3768000007</v>
          </cell>
          <cell r="G46">
            <v>13887763.426000001</v>
          </cell>
          <cell r="H46">
            <v>20839550.4868</v>
          </cell>
          <cell r="I46">
            <v>27489900.0636</v>
          </cell>
          <cell r="J46">
            <v>6261790.1535999998</v>
          </cell>
          <cell r="K46">
            <v>12315476.342</v>
          </cell>
          <cell r="L46">
            <v>20177817.130400002</v>
          </cell>
          <cell r="M46">
            <v>28893482.930399999</v>
          </cell>
          <cell r="N46">
            <v>9051323.3999999985</v>
          </cell>
          <cell r="O46">
            <v>18371940.788399998</v>
          </cell>
          <cell r="P46">
            <v>25502159.188399997</v>
          </cell>
          <cell r="Q46">
            <v>35373654.776799992</v>
          </cell>
          <cell r="R46">
            <v>11476170</v>
          </cell>
          <cell r="S46">
            <v>26153365.788400002</v>
          </cell>
          <cell r="T46">
            <v>38964742.1884</v>
          </cell>
          <cell r="U46">
            <v>50487387.588399999</v>
          </cell>
          <cell r="V46">
            <v>13211657.599999998</v>
          </cell>
          <cell r="W46">
            <v>26724404.788399998</v>
          </cell>
          <cell r="X46">
            <v>40806740.988399997</v>
          </cell>
          <cell r="Y46">
            <v>57407054.388399996</v>
          </cell>
          <cell r="Z46">
            <v>13410325</v>
          </cell>
          <cell r="AA46">
            <v>26672001.800000001</v>
          </cell>
          <cell r="AB46">
            <v>39039649.200000003</v>
          </cell>
          <cell r="AC46">
            <v>52103946.200000003</v>
          </cell>
          <cell r="AD46">
            <v>12580884.399999999</v>
          </cell>
          <cell r="AE46">
            <v>24687270.799999997</v>
          </cell>
          <cell r="AF46">
            <v>36577642</v>
          </cell>
          <cell r="AG46">
            <v>50734838.799999997</v>
          </cell>
          <cell r="AH46">
            <v>15652970.991599998</v>
          </cell>
          <cell r="AI46">
            <v>32192024.791599996</v>
          </cell>
          <cell r="AJ46">
            <v>49464964.191599995</v>
          </cell>
          <cell r="AK46">
            <v>60306764.991599992</v>
          </cell>
          <cell r="AL46">
            <v>10565268.399999999</v>
          </cell>
          <cell r="AM46">
            <v>20987543.599999998</v>
          </cell>
          <cell r="AN46">
            <v>31671607.599999998</v>
          </cell>
          <cell r="AO46">
            <v>42496107</v>
          </cell>
          <cell r="AP46">
            <v>10243136.376799999</v>
          </cell>
          <cell r="AQ46">
            <v>22045968.176799998</v>
          </cell>
          <cell r="AR46">
            <v>34568887.376800001</v>
          </cell>
          <cell r="AS46">
            <v>46758155.776799999</v>
          </cell>
          <cell r="AT46">
            <v>12514851.353600001</v>
          </cell>
          <cell r="AU46">
            <v>27386358.637600001</v>
          </cell>
          <cell r="AV46">
            <v>44028269.452</v>
          </cell>
          <cell r="AW46">
            <v>66088691.077999994</v>
          </cell>
          <cell r="AX46">
            <v>34605206.744800001</v>
          </cell>
          <cell r="AY46">
            <v>78170694.150399983</v>
          </cell>
          <cell r="AZ46">
            <v>118927514.20239998</v>
          </cell>
          <cell r="BA46">
            <v>139982314.40519997</v>
          </cell>
          <cell r="BB46">
            <v>139982314.40519997</v>
          </cell>
        </row>
        <row r="47">
          <cell r="A47" t="str">
            <v>qtd</v>
          </cell>
          <cell r="B47">
            <v>5821323.6884000003</v>
          </cell>
          <cell r="C47">
            <v>11642647.376800001</v>
          </cell>
          <cell r="D47">
            <v>18174624.741999999</v>
          </cell>
          <cell r="E47">
            <v>24908784.295599997</v>
          </cell>
          <cell r="F47">
            <v>31638077.672399998</v>
          </cell>
          <cell r="G47">
            <v>38796547.721599996</v>
          </cell>
          <cell r="H47">
            <v>45748334.782399997</v>
          </cell>
          <cell r="I47">
            <v>52398684.359200001</v>
          </cell>
          <cell r="J47">
            <v>58660474.512800001</v>
          </cell>
          <cell r="K47">
            <v>64714160.701200001</v>
          </cell>
          <cell r="L47">
            <v>72576501.489600003</v>
          </cell>
          <cell r="M47">
            <v>81292167.2896</v>
          </cell>
          <cell r="N47">
            <v>9051323.3999999985</v>
          </cell>
          <cell r="O47">
            <v>18371940.788399998</v>
          </cell>
          <cell r="P47">
            <v>25502159.188399997</v>
          </cell>
          <cell r="Q47">
            <v>35373654.776799992</v>
          </cell>
          <cell r="R47">
            <v>46849824.776799992</v>
          </cell>
          <cell r="S47">
            <v>61527020.565199994</v>
          </cell>
          <cell r="T47">
            <v>74338396.965199992</v>
          </cell>
          <cell r="U47">
            <v>85861042.365199983</v>
          </cell>
          <cell r="V47">
            <v>99072699.965199977</v>
          </cell>
          <cell r="W47">
            <v>112585447.15359998</v>
          </cell>
          <cell r="X47">
            <v>126667783.35359998</v>
          </cell>
          <cell r="Y47">
            <v>143268096.75359997</v>
          </cell>
          <cell r="Z47">
            <v>13410325</v>
          </cell>
          <cell r="AA47">
            <v>26672001.800000001</v>
          </cell>
          <cell r="AB47">
            <v>39039649.200000003</v>
          </cell>
          <cell r="AC47">
            <v>52103946.200000003</v>
          </cell>
          <cell r="AD47">
            <v>64684830.600000001</v>
          </cell>
          <cell r="AE47">
            <v>76791217</v>
          </cell>
          <cell r="AF47">
            <v>88681588.200000003</v>
          </cell>
          <cell r="AG47">
            <v>102838785</v>
          </cell>
          <cell r="AH47">
            <v>118491755.99159999</v>
          </cell>
          <cell r="AI47">
            <v>135030809.79159999</v>
          </cell>
          <cell r="AJ47">
            <v>152303749.19159999</v>
          </cell>
          <cell r="AK47">
            <v>163145549.99160001</v>
          </cell>
          <cell r="AL47">
            <v>10565268.399999999</v>
          </cell>
          <cell r="AM47">
            <v>20987543.599999998</v>
          </cell>
          <cell r="AN47">
            <v>31671607.599999998</v>
          </cell>
          <cell r="AO47">
            <v>42496107</v>
          </cell>
          <cell r="AP47">
            <v>52739243.376800001</v>
          </cell>
          <cell r="AQ47">
            <v>64542075.176799998</v>
          </cell>
          <cell r="AR47">
            <v>77064994.376800001</v>
          </cell>
          <cell r="AS47">
            <v>89254262.776800007</v>
          </cell>
          <cell r="AT47">
            <v>101769114.1304</v>
          </cell>
          <cell r="AU47">
            <v>116640621.4144</v>
          </cell>
          <cell r="AV47">
            <v>133282532.2288</v>
          </cell>
          <cell r="AW47">
            <v>155342953.85479999</v>
          </cell>
          <cell r="AX47">
            <v>189948160.59959999</v>
          </cell>
          <cell r="AY47">
            <v>233513648.00519997</v>
          </cell>
          <cell r="AZ47">
            <v>274270468.05719995</v>
          </cell>
          <cell r="BA47">
            <v>295325268.25999993</v>
          </cell>
          <cell r="BB47">
            <v>295325268.25999993</v>
          </cell>
        </row>
        <row r="48">
          <cell r="A48" t="str">
            <v>ytd</v>
          </cell>
          <cell r="B48">
            <v>5821323.6884000003</v>
          </cell>
          <cell r="C48">
            <v>11642647.376800001</v>
          </cell>
          <cell r="D48">
            <v>18174624.741999999</v>
          </cell>
          <cell r="E48">
            <v>24908784.295599997</v>
          </cell>
          <cell r="F48">
            <v>31638077.672399998</v>
          </cell>
          <cell r="G48">
            <v>38796547.721599996</v>
          </cell>
          <cell r="H48">
            <v>45748334.782399997</v>
          </cell>
          <cell r="I48">
            <v>52398684.359200001</v>
          </cell>
          <cell r="J48">
            <v>58660474.512800001</v>
          </cell>
          <cell r="K48">
            <v>64714160.701200001</v>
          </cell>
          <cell r="L48">
            <v>72576501.489600003</v>
          </cell>
          <cell r="M48">
            <v>81292167.2896</v>
          </cell>
          <cell r="N48">
            <v>90343490.689599991</v>
          </cell>
          <cell r="O48">
            <v>99664108.077999994</v>
          </cell>
          <cell r="P48">
            <v>106794326.478</v>
          </cell>
          <cell r="Q48">
            <v>116665822.06639999</v>
          </cell>
          <cell r="R48">
            <v>128141992.06639999</v>
          </cell>
          <cell r="S48">
            <v>142819187.85479999</v>
          </cell>
          <cell r="T48">
            <v>155630564.25479999</v>
          </cell>
          <cell r="U48">
            <v>167153209.6548</v>
          </cell>
          <cell r="V48">
            <v>180364867.25479999</v>
          </cell>
          <cell r="W48">
            <v>193877614.44319999</v>
          </cell>
          <cell r="X48">
            <v>207959950.64319998</v>
          </cell>
          <cell r="Y48">
            <v>224560264.04319999</v>
          </cell>
          <cell r="Z48">
            <v>237970589.04319999</v>
          </cell>
          <cell r="AA48">
            <v>251232265.8432</v>
          </cell>
          <cell r="AB48">
            <v>263599913.2432</v>
          </cell>
          <cell r="AC48">
            <v>276664210.2432</v>
          </cell>
          <cell r="AD48">
            <v>289245094.64319998</v>
          </cell>
          <cell r="AE48">
            <v>301351481.04319996</v>
          </cell>
          <cell r="AF48">
            <v>313241852.24319994</v>
          </cell>
          <cell r="AG48">
            <v>327399049.04319996</v>
          </cell>
          <cell r="AH48">
            <v>343052020.03479993</v>
          </cell>
          <cell r="AI48">
            <v>359591073.83479995</v>
          </cell>
          <cell r="AJ48">
            <v>376864013.23479992</v>
          </cell>
          <cell r="AK48">
            <v>387705814.03479993</v>
          </cell>
          <cell r="AL48">
            <v>398271082.43479991</v>
          </cell>
          <cell r="AM48">
            <v>408693357.6347999</v>
          </cell>
          <cell r="AN48">
            <v>419377421.6347999</v>
          </cell>
          <cell r="AO48">
            <v>430201921.03479987</v>
          </cell>
          <cell r="AP48">
            <v>440445057.41159987</v>
          </cell>
          <cell r="AQ48">
            <v>452247889.21159989</v>
          </cell>
          <cell r="AR48">
            <v>464770808.41159987</v>
          </cell>
          <cell r="AS48">
            <v>476960076.81159985</v>
          </cell>
          <cell r="AT48">
            <v>489474928.16519988</v>
          </cell>
          <cell r="AU48">
            <v>504346435.44919986</v>
          </cell>
          <cell r="AV48">
            <v>520988346.26359987</v>
          </cell>
          <cell r="AW48">
            <v>543048767.88959992</v>
          </cell>
          <cell r="AX48">
            <v>577653974.63439989</v>
          </cell>
          <cell r="AY48">
            <v>621219462.03999984</v>
          </cell>
          <cell r="AZ48">
            <v>661976282.09199989</v>
          </cell>
          <cell r="BA48">
            <v>683031082.29479992</v>
          </cell>
          <cell r="BB48">
            <v>683031082.29479992</v>
          </cell>
        </row>
        <row r="49">
          <cell r="A49" t="str">
            <v>PRED</v>
          </cell>
          <cell r="B49">
            <v>583671</v>
          </cell>
          <cell r="C49">
            <v>605279</v>
          </cell>
          <cell r="D49">
            <v>610893</v>
          </cell>
          <cell r="E49">
            <v>649197</v>
          </cell>
          <cell r="F49">
            <v>873720</v>
          </cell>
          <cell r="G49">
            <v>852932</v>
          </cell>
          <cell r="H49">
            <v>848649</v>
          </cell>
          <cell r="I49">
            <v>832066</v>
          </cell>
          <cell r="J49">
            <v>147870</v>
          </cell>
          <cell r="K49">
            <v>143130</v>
          </cell>
          <cell r="L49">
            <v>140584</v>
          </cell>
          <cell r="M49">
            <v>145523</v>
          </cell>
          <cell r="N49">
            <v>163262</v>
          </cell>
          <cell r="O49">
            <v>162634</v>
          </cell>
          <cell r="P49">
            <v>156160</v>
          </cell>
          <cell r="Q49">
            <v>153026</v>
          </cell>
          <cell r="R49">
            <v>184866</v>
          </cell>
          <cell r="S49">
            <v>176330</v>
          </cell>
          <cell r="T49">
            <v>177337</v>
          </cell>
          <cell r="U49">
            <v>176733</v>
          </cell>
          <cell r="V49">
            <v>197838</v>
          </cell>
          <cell r="W49">
            <v>203967</v>
          </cell>
          <cell r="X49">
            <v>203066</v>
          </cell>
          <cell r="Y49">
            <v>205033</v>
          </cell>
          <cell r="Z49">
            <v>225998</v>
          </cell>
          <cell r="AA49">
            <v>224807</v>
          </cell>
          <cell r="AB49">
            <v>221631</v>
          </cell>
          <cell r="AC49">
            <v>225608</v>
          </cell>
          <cell r="AD49">
            <v>238993</v>
          </cell>
          <cell r="AE49">
            <v>244803</v>
          </cell>
          <cell r="AF49">
            <v>241929</v>
          </cell>
          <cell r="AG49">
            <v>238892</v>
          </cell>
          <cell r="AH49">
            <v>259086</v>
          </cell>
          <cell r="AI49">
            <v>261582</v>
          </cell>
          <cell r="AJ49">
            <v>260039</v>
          </cell>
          <cell r="AK49">
            <v>260401</v>
          </cell>
          <cell r="AL49">
            <v>277169</v>
          </cell>
          <cell r="AM49">
            <v>274173</v>
          </cell>
          <cell r="AN49">
            <v>284019</v>
          </cell>
          <cell r="AO49">
            <v>275712</v>
          </cell>
          <cell r="AP49">
            <v>300517</v>
          </cell>
          <cell r="AQ49">
            <v>294894</v>
          </cell>
          <cell r="AR49">
            <v>300395</v>
          </cell>
          <cell r="AS49">
            <v>298975</v>
          </cell>
          <cell r="AT49">
            <v>318171</v>
          </cell>
          <cell r="AU49">
            <v>311896</v>
          </cell>
          <cell r="AV49">
            <v>326424</v>
          </cell>
          <cell r="AW49">
            <v>328883</v>
          </cell>
          <cell r="AX49">
            <v>367096</v>
          </cell>
          <cell r="AY49">
            <v>362882</v>
          </cell>
          <cell r="AZ49">
            <v>377705</v>
          </cell>
          <cell r="BA49">
            <v>345376</v>
          </cell>
          <cell r="BB49">
            <v>0</v>
          </cell>
        </row>
        <row r="50">
          <cell r="A50" t="str">
            <v>ptd</v>
          </cell>
          <cell r="B50">
            <v>583671</v>
          </cell>
          <cell r="C50">
            <v>1188950</v>
          </cell>
          <cell r="D50">
            <v>1799843</v>
          </cell>
          <cell r="E50">
            <v>2449040</v>
          </cell>
          <cell r="F50">
            <v>873720</v>
          </cell>
          <cell r="G50">
            <v>1726652</v>
          </cell>
          <cell r="H50">
            <v>2575301</v>
          </cell>
          <cell r="I50">
            <v>3407367</v>
          </cell>
          <cell r="J50">
            <v>147870</v>
          </cell>
          <cell r="K50">
            <v>291000</v>
          </cell>
          <cell r="L50">
            <v>431584</v>
          </cell>
          <cell r="M50">
            <v>577107</v>
          </cell>
          <cell r="N50">
            <v>163262</v>
          </cell>
          <cell r="O50">
            <v>325896</v>
          </cell>
          <cell r="P50">
            <v>482056</v>
          </cell>
          <cell r="Q50">
            <v>635082</v>
          </cell>
          <cell r="R50">
            <v>184866</v>
          </cell>
          <cell r="S50">
            <v>361196</v>
          </cell>
          <cell r="T50">
            <v>538533</v>
          </cell>
          <cell r="U50">
            <v>715266</v>
          </cell>
          <cell r="V50">
            <v>197838</v>
          </cell>
          <cell r="W50">
            <v>401805</v>
          </cell>
          <cell r="X50">
            <v>604871</v>
          </cell>
          <cell r="Y50">
            <v>809904</v>
          </cell>
          <cell r="Z50">
            <v>225998</v>
          </cell>
          <cell r="AA50">
            <v>450805</v>
          </cell>
          <cell r="AB50">
            <v>672436</v>
          </cell>
          <cell r="AC50">
            <v>898044</v>
          </cell>
          <cell r="AD50">
            <v>238993</v>
          </cell>
          <cell r="AE50">
            <v>483796</v>
          </cell>
          <cell r="AF50">
            <v>725725</v>
          </cell>
          <cell r="AG50">
            <v>964617</v>
          </cell>
          <cell r="AH50">
            <v>259086</v>
          </cell>
          <cell r="AI50">
            <v>520668</v>
          </cell>
          <cell r="AJ50">
            <v>780707</v>
          </cell>
          <cell r="AK50">
            <v>1041108</v>
          </cell>
          <cell r="AL50">
            <v>277169</v>
          </cell>
          <cell r="AM50">
            <v>551342</v>
          </cell>
          <cell r="AN50">
            <v>835361</v>
          </cell>
          <cell r="AO50">
            <v>1111073</v>
          </cell>
          <cell r="AP50">
            <v>300517</v>
          </cell>
          <cell r="AQ50">
            <v>595411</v>
          </cell>
          <cell r="AR50">
            <v>895806</v>
          </cell>
          <cell r="AS50">
            <v>1194781</v>
          </cell>
          <cell r="AT50">
            <v>318171</v>
          </cell>
          <cell r="AU50">
            <v>630067</v>
          </cell>
          <cell r="AV50">
            <v>956491</v>
          </cell>
          <cell r="AW50">
            <v>1285374</v>
          </cell>
          <cell r="AX50">
            <v>367096</v>
          </cell>
          <cell r="AY50">
            <v>729978</v>
          </cell>
          <cell r="AZ50">
            <v>1107683</v>
          </cell>
          <cell r="BA50">
            <v>1453059</v>
          </cell>
          <cell r="BB50">
            <v>1453059</v>
          </cell>
        </row>
        <row r="51">
          <cell r="A51" t="str">
            <v>qtd</v>
          </cell>
          <cell r="B51">
            <v>583671</v>
          </cell>
          <cell r="C51">
            <v>1188950</v>
          </cell>
          <cell r="D51">
            <v>1799843</v>
          </cell>
          <cell r="E51">
            <v>2449040</v>
          </cell>
          <cell r="F51">
            <v>3322760</v>
          </cell>
          <cell r="G51">
            <v>4175692</v>
          </cell>
          <cell r="H51">
            <v>5024341</v>
          </cell>
          <cell r="I51">
            <v>5856407</v>
          </cell>
          <cell r="J51">
            <v>6004277</v>
          </cell>
          <cell r="K51">
            <v>6147407</v>
          </cell>
          <cell r="L51">
            <v>6287991</v>
          </cell>
          <cell r="M51">
            <v>6433514</v>
          </cell>
          <cell r="N51">
            <v>163262</v>
          </cell>
          <cell r="O51">
            <v>325896</v>
          </cell>
          <cell r="P51">
            <v>482056</v>
          </cell>
          <cell r="Q51">
            <v>635082</v>
          </cell>
          <cell r="R51">
            <v>819948</v>
          </cell>
          <cell r="S51">
            <v>996278</v>
          </cell>
          <cell r="T51">
            <v>1173615</v>
          </cell>
          <cell r="U51">
            <v>1350348</v>
          </cell>
          <cell r="V51">
            <v>1548186</v>
          </cell>
          <cell r="W51">
            <v>1752153</v>
          </cell>
          <cell r="X51">
            <v>1955219</v>
          </cell>
          <cell r="Y51">
            <v>2160252</v>
          </cell>
          <cell r="Z51">
            <v>225998</v>
          </cell>
          <cell r="AA51">
            <v>450805</v>
          </cell>
          <cell r="AB51">
            <v>672436</v>
          </cell>
          <cell r="AC51">
            <v>898044</v>
          </cell>
          <cell r="AD51">
            <v>1137037</v>
          </cell>
          <cell r="AE51">
            <v>1381840</v>
          </cell>
          <cell r="AF51">
            <v>1623769</v>
          </cell>
          <cell r="AG51">
            <v>1862661</v>
          </cell>
          <cell r="AH51">
            <v>2121747</v>
          </cell>
          <cell r="AI51">
            <v>2383329</v>
          </cell>
          <cell r="AJ51">
            <v>2643368</v>
          </cell>
          <cell r="AK51">
            <v>2903769</v>
          </cell>
          <cell r="AL51">
            <v>277169</v>
          </cell>
          <cell r="AM51">
            <v>551342</v>
          </cell>
          <cell r="AN51">
            <v>835361</v>
          </cell>
          <cell r="AO51">
            <v>1111073</v>
          </cell>
          <cell r="AP51">
            <v>1411590</v>
          </cell>
          <cell r="AQ51">
            <v>1706484</v>
          </cell>
          <cell r="AR51">
            <v>2006879</v>
          </cell>
          <cell r="AS51">
            <v>2305854</v>
          </cell>
          <cell r="AT51">
            <v>2624025</v>
          </cell>
          <cell r="AU51">
            <v>2935921</v>
          </cell>
          <cell r="AV51">
            <v>3262345</v>
          </cell>
          <cell r="AW51">
            <v>3591228</v>
          </cell>
          <cell r="AX51">
            <v>3958324</v>
          </cell>
          <cell r="AY51">
            <v>4321206</v>
          </cell>
          <cell r="AZ51">
            <v>4698911</v>
          </cell>
          <cell r="BA51">
            <v>5044287</v>
          </cell>
          <cell r="BB51">
            <v>5044287</v>
          </cell>
        </row>
        <row r="52">
          <cell r="A52" t="str">
            <v>ytd</v>
          </cell>
          <cell r="B52">
            <v>583671</v>
          </cell>
          <cell r="C52">
            <v>1188950</v>
          </cell>
          <cell r="D52">
            <v>1799843</v>
          </cell>
          <cell r="E52">
            <v>2449040</v>
          </cell>
          <cell r="F52">
            <v>3322760</v>
          </cell>
          <cell r="G52">
            <v>4175692</v>
          </cell>
          <cell r="H52">
            <v>5024341</v>
          </cell>
          <cell r="I52">
            <v>5856407</v>
          </cell>
          <cell r="J52">
            <v>6004277</v>
          </cell>
          <cell r="K52">
            <v>6147407</v>
          </cell>
          <cell r="L52">
            <v>6287991</v>
          </cell>
          <cell r="M52">
            <v>6433514</v>
          </cell>
          <cell r="N52">
            <v>6596776</v>
          </cell>
          <cell r="O52">
            <v>6759410</v>
          </cell>
          <cell r="P52">
            <v>6915570</v>
          </cell>
          <cell r="Q52">
            <v>7068596</v>
          </cell>
          <cell r="R52">
            <v>7253462</v>
          </cell>
          <cell r="S52">
            <v>7429792</v>
          </cell>
          <cell r="T52">
            <v>7607129</v>
          </cell>
          <cell r="U52">
            <v>7783862</v>
          </cell>
          <cell r="V52">
            <v>7981700</v>
          </cell>
          <cell r="W52">
            <v>8185667</v>
          </cell>
          <cell r="X52">
            <v>8388733</v>
          </cell>
          <cell r="Y52">
            <v>8593766</v>
          </cell>
          <cell r="Z52">
            <v>8819764</v>
          </cell>
          <cell r="AA52">
            <v>9044571</v>
          </cell>
          <cell r="AB52">
            <v>9266202</v>
          </cell>
          <cell r="AC52">
            <v>9491810</v>
          </cell>
          <cell r="AD52">
            <v>9730803</v>
          </cell>
          <cell r="AE52">
            <v>9975606</v>
          </cell>
          <cell r="AF52">
            <v>10217535</v>
          </cell>
          <cell r="AG52">
            <v>10456427</v>
          </cell>
          <cell r="AH52">
            <v>10715513</v>
          </cell>
          <cell r="AI52">
            <v>10977095</v>
          </cell>
          <cell r="AJ52">
            <v>11237134</v>
          </cell>
          <cell r="AK52">
            <v>11497535</v>
          </cell>
          <cell r="AL52">
            <v>11774704</v>
          </cell>
          <cell r="AM52">
            <v>12048877</v>
          </cell>
          <cell r="AN52">
            <v>12332896</v>
          </cell>
          <cell r="AO52">
            <v>12608608</v>
          </cell>
          <cell r="AP52">
            <v>12909125</v>
          </cell>
          <cell r="AQ52">
            <v>13204019</v>
          </cell>
          <cell r="AR52">
            <v>13504414</v>
          </cell>
          <cell r="AS52">
            <v>13803389</v>
          </cell>
          <cell r="AT52">
            <v>14121560</v>
          </cell>
          <cell r="AU52">
            <v>14433456</v>
          </cell>
          <cell r="AV52">
            <v>14759880</v>
          </cell>
          <cell r="AW52">
            <v>15088763</v>
          </cell>
          <cell r="AX52">
            <v>15455859</v>
          </cell>
          <cell r="AY52">
            <v>15818741</v>
          </cell>
          <cell r="AZ52">
            <v>16196446</v>
          </cell>
          <cell r="BA52">
            <v>16541822</v>
          </cell>
          <cell r="BB52">
            <v>16541822</v>
          </cell>
        </row>
        <row r="53">
          <cell r="A53" t="str">
            <v>PREG</v>
          </cell>
          <cell r="B53">
            <v>408373</v>
          </cell>
          <cell r="C53">
            <v>434010</v>
          </cell>
          <cell r="D53">
            <v>380728</v>
          </cell>
          <cell r="E53">
            <v>414607</v>
          </cell>
          <cell r="F53">
            <v>399825</v>
          </cell>
          <cell r="G53">
            <v>456062</v>
          </cell>
          <cell r="H53">
            <v>388050</v>
          </cell>
          <cell r="I53">
            <v>424272</v>
          </cell>
          <cell r="J53">
            <v>387466</v>
          </cell>
          <cell r="K53">
            <v>476329</v>
          </cell>
          <cell r="L53">
            <v>427390</v>
          </cell>
          <cell r="M53">
            <v>372901</v>
          </cell>
          <cell r="N53">
            <v>442647</v>
          </cell>
          <cell r="O53">
            <v>614583</v>
          </cell>
          <cell r="P53">
            <v>451342</v>
          </cell>
          <cell r="Q53">
            <v>534203</v>
          </cell>
          <cell r="R53">
            <v>534048</v>
          </cell>
          <cell r="S53">
            <v>724454</v>
          </cell>
          <cell r="T53">
            <v>649716</v>
          </cell>
          <cell r="U53">
            <v>611610</v>
          </cell>
          <cell r="V53">
            <v>651739</v>
          </cell>
          <cell r="W53">
            <v>769453</v>
          </cell>
          <cell r="X53">
            <v>800248</v>
          </cell>
          <cell r="Y53">
            <v>626843</v>
          </cell>
          <cell r="Z53">
            <v>527649</v>
          </cell>
          <cell r="AA53">
            <v>509883</v>
          </cell>
          <cell r="AB53">
            <v>508748</v>
          </cell>
          <cell r="AC53">
            <v>500367</v>
          </cell>
          <cell r="AD53">
            <v>492161</v>
          </cell>
          <cell r="AE53">
            <v>499451</v>
          </cell>
          <cell r="AF53">
            <v>502288</v>
          </cell>
          <cell r="AG53">
            <v>502113</v>
          </cell>
          <cell r="AH53">
            <v>541224</v>
          </cell>
          <cell r="AI53">
            <v>514466</v>
          </cell>
          <cell r="AJ53">
            <v>440348</v>
          </cell>
          <cell r="AK53">
            <v>495042</v>
          </cell>
          <cell r="AL53">
            <v>441744</v>
          </cell>
          <cell r="AM53">
            <v>449252</v>
          </cell>
          <cell r="AN53">
            <v>431748</v>
          </cell>
          <cell r="AO53">
            <v>451129</v>
          </cell>
          <cell r="AP53">
            <v>456367</v>
          </cell>
          <cell r="AQ53">
            <v>469768</v>
          </cell>
          <cell r="AR53">
            <v>430177</v>
          </cell>
          <cell r="AS53">
            <v>423848</v>
          </cell>
          <cell r="AT53">
            <v>456324</v>
          </cell>
          <cell r="AU53">
            <v>580379</v>
          </cell>
          <cell r="AV53">
            <v>668815</v>
          </cell>
          <cell r="AW53">
            <v>1037925</v>
          </cell>
          <cell r="AX53">
            <v>1780728</v>
          </cell>
          <cell r="AY53">
            <v>3447091</v>
          </cell>
          <cell r="AZ53">
            <v>3423232</v>
          </cell>
          <cell r="BA53">
            <v>573857</v>
          </cell>
          <cell r="BB53">
            <v>0</v>
          </cell>
        </row>
        <row r="54">
          <cell r="A54" t="str">
            <v>ptd</v>
          </cell>
          <cell r="B54">
            <v>408373</v>
          </cell>
          <cell r="C54">
            <v>842383</v>
          </cell>
          <cell r="D54">
            <v>1223111</v>
          </cell>
          <cell r="E54">
            <v>1637718</v>
          </cell>
          <cell r="F54">
            <v>399825</v>
          </cell>
          <cell r="G54">
            <v>855887</v>
          </cell>
          <cell r="H54">
            <v>1243937</v>
          </cell>
          <cell r="I54">
            <v>1668209</v>
          </cell>
          <cell r="J54">
            <v>387466</v>
          </cell>
          <cell r="K54">
            <v>863795</v>
          </cell>
          <cell r="L54">
            <v>1291185</v>
          </cell>
          <cell r="M54">
            <v>1664086</v>
          </cell>
          <cell r="N54">
            <v>442647</v>
          </cell>
          <cell r="O54">
            <v>1057230</v>
          </cell>
          <cell r="P54">
            <v>1508572</v>
          </cell>
          <cell r="Q54">
            <v>2042775</v>
          </cell>
          <cell r="R54">
            <v>534048</v>
          </cell>
          <cell r="S54">
            <v>1258502</v>
          </cell>
          <cell r="T54">
            <v>1908218</v>
          </cell>
          <cell r="U54">
            <v>2519828</v>
          </cell>
          <cell r="V54">
            <v>651739</v>
          </cell>
          <cell r="W54">
            <v>1421192</v>
          </cell>
          <cell r="X54">
            <v>2221440</v>
          </cell>
          <cell r="Y54">
            <v>2848283</v>
          </cell>
          <cell r="Z54">
            <v>527649</v>
          </cell>
          <cell r="AA54">
            <v>1037532</v>
          </cell>
          <cell r="AB54">
            <v>1546280</v>
          </cell>
          <cell r="AC54">
            <v>2046647</v>
          </cell>
          <cell r="AD54">
            <v>492161</v>
          </cell>
          <cell r="AE54">
            <v>991612</v>
          </cell>
          <cell r="AF54">
            <v>1493900</v>
          </cell>
          <cell r="AG54">
            <v>1996013</v>
          </cell>
          <cell r="AH54">
            <v>541224</v>
          </cell>
          <cell r="AI54">
            <v>1055690</v>
          </cell>
          <cell r="AJ54">
            <v>1496038</v>
          </cell>
          <cell r="AK54">
            <v>1991080</v>
          </cell>
          <cell r="AL54">
            <v>441744</v>
          </cell>
          <cell r="AM54">
            <v>890996</v>
          </cell>
          <cell r="AN54">
            <v>1322744</v>
          </cell>
          <cell r="AO54">
            <v>1773873</v>
          </cell>
          <cell r="AP54">
            <v>456367</v>
          </cell>
          <cell r="AQ54">
            <v>926135</v>
          </cell>
          <cell r="AR54">
            <v>1356312</v>
          </cell>
          <cell r="AS54">
            <v>1780160</v>
          </cell>
          <cell r="AT54">
            <v>456324</v>
          </cell>
          <cell r="AU54">
            <v>1036703</v>
          </cell>
          <cell r="AV54">
            <v>1705518</v>
          </cell>
          <cell r="AW54">
            <v>2743443</v>
          </cell>
          <cell r="AX54">
            <v>1780728</v>
          </cell>
          <cell r="AY54">
            <v>5227819</v>
          </cell>
          <cell r="AZ54">
            <v>8651051</v>
          </cell>
          <cell r="BA54">
            <v>9224908</v>
          </cell>
          <cell r="BB54">
            <v>9224908</v>
          </cell>
        </row>
        <row r="55">
          <cell r="A55" t="str">
            <v>qtd</v>
          </cell>
          <cell r="B55">
            <v>408373</v>
          </cell>
          <cell r="C55">
            <v>842383</v>
          </cell>
          <cell r="D55">
            <v>1223111</v>
          </cell>
          <cell r="E55">
            <v>1637718</v>
          </cell>
          <cell r="F55">
            <v>2037543</v>
          </cell>
          <cell r="G55">
            <v>2493605</v>
          </cell>
          <cell r="H55">
            <v>2881655</v>
          </cell>
          <cell r="I55">
            <v>3305927</v>
          </cell>
          <cell r="J55">
            <v>3693393</v>
          </cell>
          <cell r="K55">
            <v>4169722</v>
          </cell>
          <cell r="L55">
            <v>4597112</v>
          </cell>
          <cell r="M55">
            <v>4970013</v>
          </cell>
          <cell r="N55">
            <v>442647</v>
          </cell>
          <cell r="O55">
            <v>1057230</v>
          </cell>
          <cell r="P55">
            <v>1508572</v>
          </cell>
          <cell r="Q55">
            <v>2042775</v>
          </cell>
          <cell r="R55">
            <v>2576823</v>
          </cell>
          <cell r="S55">
            <v>3301277</v>
          </cell>
          <cell r="T55">
            <v>3950993</v>
          </cell>
          <cell r="U55">
            <v>4562603</v>
          </cell>
          <cell r="V55">
            <v>5214342</v>
          </cell>
          <cell r="W55">
            <v>5983795</v>
          </cell>
          <cell r="X55">
            <v>6784043</v>
          </cell>
          <cell r="Y55">
            <v>7410886</v>
          </cell>
          <cell r="Z55">
            <v>527649</v>
          </cell>
          <cell r="AA55">
            <v>1037532</v>
          </cell>
          <cell r="AB55">
            <v>1546280</v>
          </cell>
          <cell r="AC55">
            <v>2046647</v>
          </cell>
          <cell r="AD55">
            <v>2538808</v>
          </cell>
          <cell r="AE55">
            <v>3038259</v>
          </cell>
          <cell r="AF55">
            <v>3540547</v>
          </cell>
          <cell r="AG55">
            <v>4042660</v>
          </cell>
          <cell r="AH55">
            <v>4583884</v>
          </cell>
          <cell r="AI55">
            <v>5098350</v>
          </cell>
          <cell r="AJ55">
            <v>5538698</v>
          </cell>
          <cell r="AK55">
            <v>6033740</v>
          </cell>
          <cell r="AL55">
            <v>441744</v>
          </cell>
          <cell r="AM55">
            <v>890996</v>
          </cell>
          <cell r="AN55">
            <v>1322744</v>
          </cell>
          <cell r="AO55">
            <v>1773873</v>
          </cell>
          <cell r="AP55">
            <v>2230240</v>
          </cell>
          <cell r="AQ55">
            <v>2700008</v>
          </cell>
          <cell r="AR55">
            <v>3130185</v>
          </cell>
          <cell r="AS55">
            <v>3554033</v>
          </cell>
          <cell r="AT55">
            <v>4010357</v>
          </cell>
          <cell r="AU55">
            <v>4590736</v>
          </cell>
          <cell r="AV55">
            <v>5259551</v>
          </cell>
          <cell r="AW55">
            <v>6297476</v>
          </cell>
          <cell r="AX55">
            <v>8078204</v>
          </cell>
          <cell r="AY55">
            <v>11525295</v>
          </cell>
          <cell r="AZ55">
            <v>14948527</v>
          </cell>
          <cell r="BA55">
            <v>15522384</v>
          </cell>
          <cell r="BB55">
            <v>15522384</v>
          </cell>
        </row>
        <row r="56">
          <cell r="A56" t="str">
            <v>ytd</v>
          </cell>
          <cell r="B56">
            <v>408373</v>
          </cell>
          <cell r="C56">
            <v>842383</v>
          </cell>
          <cell r="D56">
            <v>1223111</v>
          </cell>
          <cell r="E56">
            <v>1637718</v>
          </cell>
          <cell r="F56">
            <v>2037543</v>
          </cell>
          <cell r="G56">
            <v>2493605</v>
          </cell>
          <cell r="H56">
            <v>2881655</v>
          </cell>
          <cell r="I56">
            <v>3305927</v>
          </cell>
          <cell r="J56">
            <v>3693393</v>
          </cell>
          <cell r="K56">
            <v>4169722</v>
          </cell>
          <cell r="L56">
            <v>4597112</v>
          </cell>
          <cell r="M56">
            <v>4970013</v>
          </cell>
          <cell r="N56">
            <v>5412660</v>
          </cell>
          <cell r="O56">
            <v>6027243</v>
          </cell>
          <cell r="P56">
            <v>6478585</v>
          </cell>
          <cell r="Q56">
            <v>7012788</v>
          </cell>
          <cell r="R56">
            <v>7546836</v>
          </cell>
          <cell r="S56">
            <v>8271290</v>
          </cell>
          <cell r="T56">
            <v>8921006</v>
          </cell>
          <cell r="U56">
            <v>9532616</v>
          </cell>
          <cell r="V56">
            <v>10184355</v>
          </cell>
          <cell r="W56">
            <v>10953808</v>
          </cell>
          <cell r="X56">
            <v>11754056</v>
          </cell>
          <cell r="Y56">
            <v>12380899</v>
          </cell>
          <cell r="Z56">
            <v>12908548</v>
          </cell>
          <cell r="AA56">
            <v>13418431</v>
          </cell>
          <cell r="AB56">
            <v>13927179</v>
          </cell>
          <cell r="AC56">
            <v>14427546</v>
          </cell>
          <cell r="AD56">
            <v>14919707</v>
          </cell>
          <cell r="AE56">
            <v>15419158</v>
          </cell>
          <cell r="AF56">
            <v>15921446</v>
          </cell>
          <cell r="AG56">
            <v>16423559</v>
          </cell>
          <cell r="AH56">
            <v>16964783</v>
          </cell>
          <cell r="AI56">
            <v>17479249</v>
          </cell>
          <cell r="AJ56">
            <v>17919597</v>
          </cell>
          <cell r="AK56">
            <v>18414639</v>
          </cell>
          <cell r="AL56">
            <v>18856383</v>
          </cell>
          <cell r="AM56">
            <v>19305635</v>
          </cell>
          <cell r="AN56">
            <v>19737383</v>
          </cell>
          <cell r="AO56">
            <v>20188512</v>
          </cell>
          <cell r="AP56">
            <v>20644879</v>
          </cell>
          <cell r="AQ56">
            <v>21114647</v>
          </cell>
          <cell r="AR56">
            <v>21544824</v>
          </cell>
          <cell r="AS56">
            <v>21968672</v>
          </cell>
          <cell r="AT56">
            <v>22424996</v>
          </cell>
          <cell r="AU56">
            <v>23005375</v>
          </cell>
          <cell r="AV56">
            <v>23674190</v>
          </cell>
          <cell r="AW56">
            <v>24712115</v>
          </cell>
          <cell r="AX56">
            <v>26492843</v>
          </cell>
          <cell r="AY56">
            <v>29939934</v>
          </cell>
          <cell r="AZ56">
            <v>33363166</v>
          </cell>
          <cell r="BA56">
            <v>33937023</v>
          </cell>
          <cell r="BB56">
            <v>33937023</v>
          </cell>
        </row>
        <row r="57">
          <cell r="A57" t="str">
            <v>SPRT</v>
          </cell>
          <cell r="B57">
            <v>43110</v>
          </cell>
          <cell r="C57">
            <v>43110</v>
          </cell>
          <cell r="D57">
            <v>34772</v>
          </cell>
          <cell r="E57">
            <v>40120</v>
          </cell>
          <cell r="F57">
            <v>43023</v>
          </cell>
          <cell r="G57">
            <v>55328</v>
          </cell>
          <cell r="H57">
            <v>60589</v>
          </cell>
          <cell r="I57">
            <v>47134</v>
          </cell>
          <cell r="J57">
            <v>46970</v>
          </cell>
          <cell r="K57">
            <v>46395</v>
          </cell>
          <cell r="L57">
            <v>56773</v>
          </cell>
          <cell r="M57">
            <v>70947</v>
          </cell>
          <cell r="N57">
            <v>56925</v>
          </cell>
          <cell r="O57">
            <v>69173</v>
          </cell>
          <cell r="P57">
            <v>55804</v>
          </cell>
          <cell r="Q57">
            <v>56781</v>
          </cell>
          <cell r="R57">
            <v>64137</v>
          </cell>
          <cell r="S57">
            <v>99471</v>
          </cell>
          <cell r="T57">
            <v>76183</v>
          </cell>
          <cell r="U57">
            <v>69053</v>
          </cell>
          <cell r="V57">
            <v>72618</v>
          </cell>
          <cell r="W57">
            <v>77017</v>
          </cell>
          <cell r="X57">
            <v>100304</v>
          </cell>
          <cell r="Y57">
            <v>125748</v>
          </cell>
          <cell r="Z57">
            <v>82508</v>
          </cell>
          <cell r="AA57">
            <v>64194</v>
          </cell>
          <cell r="AB57">
            <v>69772</v>
          </cell>
          <cell r="AC57">
            <v>60773</v>
          </cell>
          <cell r="AD57">
            <v>56029</v>
          </cell>
          <cell r="AE57">
            <v>70922</v>
          </cell>
          <cell r="AF57">
            <v>65373</v>
          </cell>
          <cell r="AG57">
            <v>84089</v>
          </cell>
          <cell r="AH57">
            <v>84521</v>
          </cell>
          <cell r="AI57">
            <v>72647</v>
          </cell>
          <cell r="AJ57">
            <v>82652</v>
          </cell>
          <cell r="AK57">
            <v>46628</v>
          </cell>
          <cell r="AL57">
            <v>66835</v>
          </cell>
          <cell r="AM57">
            <v>58440</v>
          </cell>
          <cell r="AN57">
            <v>40615</v>
          </cell>
          <cell r="AO57">
            <v>42311</v>
          </cell>
          <cell r="AP57">
            <v>43749</v>
          </cell>
          <cell r="AQ57">
            <v>46768</v>
          </cell>
          <cell r="AR57">
            <v>46221</v>
          </cell>
          <cell r="AS57">
            <v>45100</v>
          </cell>
          <cell r="AT57">
            <v>44123</v>
          </cell>
          <cell r="AU57">
            <v>69308</v>
          </cell>
          <cell r="AV57">
            <v>81124</v>
          </cell>
          <cell r="AW57">
            <v>170421</v>
          </cell>
          <cell r="AX57">
            <v>240954</v>
          </cell>
          <cell r="AY57">
            <v>391460</v>
          </cell>
          <cell r="AZ57">
            <v>431365</v>
          </cell>
          <cell r="BA57">
            <v>101746</v>
          </cell>
          <cell r="BB57">
            <v>0</v>
          </cell>
        </row>
        <row r="58">
          <cell r="A58" t="str">
            <v>ptd</v>
          </cell>
          <cell r="B58">
            <v>43110</v>
          </cell>
          <cell r="C58">
            <v>86220</v>
          </cell>
          <cell r="D58">
            <v>120992</v>
          </cell>
          <cell r="E58">
            <v>161112</v>
          </cell>
          <cell r="F58">
            <v>43023</v>
          </cell>
          <cell r="G58">
            <v>98351</v>
          </cell>
          <cell r="H58">
            <v>158940</v>
          </cell>
          <cell r="I58">
            <v>206074</v>
          </cell>
          <cell r="J58">
            <v>46970</v>
          </cell>
          <cell r="K58">
            <v>93365</v>
          </cell>
          <cell r="L58">
            <v>150138</v>
          </cell>
          <cell r="M58">
            <v>221085</v>
          </cell>
          <cell r="N58">
            <v>56925</v>
          </cell>
          <cell r="O58">
            <v>126098</v>
          </cell>
          <cell r="P58">
            <v>181902</v>
          </cell>
          <cell r="Q58">
            <v>238683</v>
          </cell>
          <cell r="R58">
            <v>64137</v>
          </cell>
          <cell r="S58">
            <v>163608</v>
          </cell>
          <cell r="T58">
            <v>239791</v>
          </cell>
          <cell r="U58">
            <v>308844</v>
          </cell>
          <cell r="V58">
            <v>72618</v>
          </cell>
          <cell r="W58">
            <v>149635</v>
          </cell>
          <cell r="X58">
            <v>249939</v>
          </cell>
          <cell r="Y58">
            <v>375687</v>
          </cell>
          <cell r="Z58">
            <v>82508</v>
          </cell>
          <cell r="AA58">
            <v>146702</v>
          </cell>
          <cell r="AB58">
            <v>216474</v>
          </cell>
          <cell r="AC58">
            <v>277247</v>
          </cell>
          <cell r="AD58">
            <v>56029</v>
          </cell>
          <cell r="AE58">
            <v>126951</v>
          </cell>
          <cell r="AF58">
            <v>192324</v>
          </cell>
          <cell r="AG58">
            <v>276413</v>
          </cell>
          <cell r="AH58">
            <v>84521</v>
          </cell>
          <cell r="AI58">
            <v>157168</v>
          </cell>
          <cell r="AJ58">
            <v>239820</v>
          </cell>
          <cell r="AK58">
            <v>286448</v>
          </cell>
          <cell r="AL58">
            <v>66835</v>
          </cell>
          <cell r="AM58">
            <v>125275</v>
          </cell>
          <cell r="AN58">
            <v>165890</v>
          </cell>
          <cell r="AO58">
            <v>208201</v>
          </cell>
          <cell r="AP58">
            <v>43749</v>
          </cell>
          <cell r="AQ58">
            <v>90517</v>
          </cell>
          <cell r="AR58">
            <v>136738</v>
          </cell>
          <cell r="AS58">
            <v>181838</v>
          </cell>
          <cell r="AT58">
            <v>44123</v>
          </cell>
          <cell r="AU58">
            <v>113431</v>
          </cell>
          <cell r="AV58">
            <v>194555</v>
          </cell>
          <cell r="AW58">
            <v>364976</v>
          </cell>
          <cell r="AX58">
            <v>240954</v>
          </cell>
          <cell r="AY58">
            <v>632414</v>
          </cell>
          <cell r="AZ58">
            <v>1063779</v>
          </cell>
          <cell r="BA58">
            <v>1165525</v>
          </cell>
          <cell r="BB58">
            <v>1165525</v>
          </cell>
        </row>
        <row r="59">
          <cell r="A59" t="str">
            <v>qtd</v>
          </cell>
          <cell r="B59">
            <v>43110</v>
          </cell>
          <cell r="C59">
            <v>86220</v>
          </cell>
          <cell r="D59">
            <v>120992</v>
          </cell>
          <cell r="E59">
            <v>161112</v>
          </cell>
          <cell r="F59">
            <v>204135</v>
          </cell>
          <cell r="G59">
            <v>259463</v>
          </cell>
          <cell r="H59">
            <v>320052</v>
          </cell>
          <cell r="I59">
            <v>367186</v>
          </cell>
          <cell r="J59">
            <v>414156</v>
          </cell>
          <cell r="K59">
            <v>460551</v>
          </cell>
          <cell r="L59">
            <v>517324</v>
          </cell>
          <cell r="M59">
            <v>588271</v>
          </cell>
          <cell r="N59">
            <v>56925</v>
          </cell>
          <cell r="O59">
            <v>126098</v>
          </cell>
          <cell r="P59">
            <v>181902</v>
          </cell>
          <cell r="Q59">
            <v>238683</v>
          </cell>
          <cell r="R59">
            <v>302820</v>
          </cell>
          <cell r="S59">
            <v>402291</v>
          </cell>
          <cell r="T59">
            <v>478474</v>
          </cell>
          <cell r="U59">
            <v>547527</v>
          </cell>
          <cell r="V59">
            <v>620145</v>
          </cell>
          <cell r="W59">
            <v>697162</v>
          </cell>
          <cell r="X59">
            <v>797466</v>
          </cell>
          <cell r="Y59">
            <v>923214</v>
          </cell>
          <cell r="Z59">
            <v>82508</v>
          </cell>
          <cell r="AA59">
            <v>146702</v>
          </cell>
          <cell r="AB59">
            <v>216474</v>
          </cell>
          <cell r="AC59">
            <v>277247</v>
          </cell>
          <cell r="AD59">
            <v>333276</v>
          </cell>
          <cell r="AE59">
            <v>404198</v>
          </cell>
          <cell r="AF59">
            <v>469571</v>
          </cell>
          <cell r="AG59">
            <v>553660</v>
          </cell>
          <cell r="AH59">
            <v>638181</v>
          </cell>
          <cell r="AI59">
            <v>710828</v>
          </cell>
          <cell r="AJ59">
            <v>793480</v>
          </cell>
          <cell r="AK59">
            <v>840108</v>
          </cell>
          <cell r="AL59">
            <v>66835</v>
          </cell>
          <cell r="AM59">
            <v>125275</v>
          </cell>
          <cell r="AN59">
            <v>165890</v>
          </cell>
          <cell r="AO59">
            <v>208201</v>
          </cell>
          <cell r="AP59">
            <v>251950</v>
          </cell>
          <cell r="AQ59">
            <v>298718</v>
          </cell>
          <cell r="AR59">
            <v>344939</v>
          </cell>
          <cell r="AS59">
            <v>390039</v>
          </cell>
          <cell r="AT59">
            <v>434162</v>
          </cell>
          <cell r="AU59">
            <v>503470</v>
          </cell>
          <cell r="AV59">
            <v>584594</v>
          </cell>
          <cell r="AW59">
            <v>755015</v>
          </cell>
          <cell r="AX59">
            <v>995969</v>
          </cell>
          <cell r="AY59">
            <v>1387429</v>
          </cell>
          <cell r="AZ59">
            <v>1818794</v>
          </cell>
          <cell r="BA59">
            <v>1920540</v>
          </cell>
          <cell r="BB59">
            <v>1920540</v>
          </cell>
        </row>
        <row r="60">
          <cell r="A60" t="str">
            <v>ytd</v>
          </cell>
          <cell r="B60">
            <v>43110</v>
          </cell>
          <cell r="C60">
            <v>86220</v>
          </cell>
          <cell r="D60">
            <v>120992</v>
          </cell>
          <cell r="E60">
            <v>161112</v>
          </cell>
          <cell r="F60">
            <v>204135</v>
          </cell>
          <cell r="G60">
            <v>259463</v>
          </cell>
          <cell r="H60">
            <v>320052</v>
          </cell>
          <cell r="I60">
            <v>367186</v>
          </cell>
          <cell r="J60">
            <v>414156</v>
          </cell>
          <cell r="K60">
            <v>460551</v>
          </cell>
          <cell r="L60">
            <v>517324</v>
          </cell>
          <cell r="M60">
            <v>588271</v>
          </cell>
          <cell r="N60">
            <v>645196</v>
          </cell>
          <cell r="O60">
            <v>714369</v>
          </cell>
          <cell r="P60">
            <v>770173</v>
          </cell>
          <cell r="Q60">
            <v>826954</v>
          </cell>
          <cell r="R60">
            <v>891091</v>
          </cell>
          <cell r="S60">
            <v>990562</v>
          </cell>
          <cell r="T60">
            <v>1066745</v>
          </cell>
          <cell r="U60">
            <v>1135798</v>
          </cell>
          <cell r="V60">
            <v>1208416</v>
          </cell>
          <cell r="W60">
            <v>1285433</v>
          </cell>
          <cell r="X60">
            <v>1385737</v>
          </cell>
          <cell r="Y60">
            <v>1511485</v>
          </cell>
          <cell r="Z60">
            <v>1593993</v>
          </cell>
          <cell r="AA60">
            <v>1658187</v>
          </cell>
          <cell r="AB60">
            <v>1727959</v>
          </cell>
          <cell r="AC60">
            <v>1788732</v>
          </cell>
          <cell r="AD60">
            <v>1844761</v>
          </cell>
          <cell r="AE60">
            <v>1915683</v>
          </cell>
          <cell r="AF60">
            <v>1981056</v>
          </cell>
          <cell r="AG60">
            <v>2065145</v>
          </cell>
          <cell r="AH60">
            <v>2149666</v>
          </cell>
          <cell r="AI60">
            <v>2222313</v>
          </cell>
          <cell r="AJ60">
            <v>2304965</v>
          </cell>
          <cell r="AK60">
            <v>2351593</v>
          </cell>
          <cell r="AL60">
            <v>2418428</v>
          </cell>
          <cell r="AM60">
            <v>2476868</v>
          </cell>
          <cell r="AN60">
            <v>2517483</v>
          </cell>
          <cell r="AO60">
            <v>2559794</v>
          </cell>
          <cell r="AP60">
            <v>2603543</v>
          </cell>
          <cell r="AQ60">
            <v>2650311</v>
          </cell>
          <cell r="AR60">
            <v>2696532</v>
          </cell>
          <cell r="AS60">
            <v>2741632</v>
          </cell>
          <cell r="AT60">
            <v>2785755</v>
          </cell>
          <cell r="AU60">
            <v>2855063</v>
          </cell>
          <cell r="AV60">
            <v>2936187</v>
          </cell>
          <cell r="AW60">
            <v>3106608</v>
          </cell>
          <cell r="AX60">
            <v>3347562</v>
          </cell>
          <cell r="AY60">
            <v>3739022</v>
          </cell>
          <cell r="AZ60">
            <v>4170387</v>
          </cell>
          <cell r="BA60">
            <v>4272133</v>
          </cell>
          <cell r="BB60">
            <v>4272133</v>
          </cell>
        </row>
        <row r="61">
          <cell r="A61" t="str">
            <v>TELE</v>
          </cell>
          <cell r="B61">
            <v>183224</v>
          </cell>
          <cell r="C61">
            <v>183224</v>
          </cell>
          <cell r="D61">
            <v>184031</v>
          </cell>
          <cell r="E61">
            <v>180965</v>
          </cell>
          <cell r="F61">
            <v>210406</v>
          </cell>
          <cell r="G61">
            <v>204850</v>
          </cell>
          <cell r="H61">
            <v>210454</v>
          </cell>
          <cell r="I61">
            <v>199637</v>
          </cell>
          <cell r="J61">
            <v>215821</v>
          </cell>
          <cell r="K61">
            <v>221743</v>
          </cell>
          <cell r="L61">
            <v>231053</v>
          </cell>
          <cell r="M61">
            <v>231413</v>
          </cell>
          <cell r="N61">
            <v>216570</v>
          </cell>
          <cell r="O61">
            <v>236291</v>
          </cell>
          <cell r="P61">
            <v>193878</v>
          </cell>
          <cell r="Q61">
            <v>215882</v>
          </cell>
          <cell r="R61">
            <v>220622</v>
          </cell>
          <cell r="S61">
            <v>248080</v>
          </cell>
          <cell r="T61">
            <v>250941</v>
          </cell>
          <cell r="U61">
            <v>246100</v>
          </cell>
          <cell r="V61">
            <v>246165</v>
          </cell>
          <cell r="W61">
            <v>244606</v>
          </cell>
          <cell r="X61">
            <v>256407</v>
          </cell>
          <cell r="Y61">
            <v>261805</v>
          </cell>
          <cell r="Z61">
            <v>244841</v>
          </cell>
          <cell r="AA61">
            <v>251773</v>
          </cell>
          <cell r="AB61">
            <v>253414</v>
          </cell>
          <cell r="AC61">
            <v>268698</v>
          </cell>
          <cell r="AD61">
            <v>241403</v>
          </cell>
          <cell r="AE61">
            <v>240034</v>
          </cell>
          <cell r="AF61">
            <v>258500</v>
          </cell>
          <cell r="AG61">
            <v>262790</v>
          </cell>
          <cell r="AH61">
            <v>251983</v>
          </cell>
          <cell r="AI61">
            <v>265254</v>
          </cell>
          <cell r="AJ61">
            <v>270958</v>
          </cell>
          <cell r="AK61">
            <v>243513</v>
          </cell>
          <cell r="AL61">
            <v>235144</v>
          </cell>
          <cell r="AM61">
            <v>259422</v>
          </cell>
          <cell r="AN61">
            <v>235966</v>
          </cell>
          <cell r="AO61">
            <v>263736</v>
          </cell>
          <cell r="AP61">
            <v>237977</v>
          </cell>
          <cell r="AQ61">
            <v>252625</v>
          </cell>
          <cell r="AR61">
            <v>240329</v>
          </cell>
          <cell r="AS61">
            <v>238258</v>
          </cell>
          <cell r="AT61">
            <v>253874</v>
          </cell>
          <cell r="AU61">
            <v>239727</v>
          </cell>
          <cell r="AV61">
            <v>246800</v>
          </cell>
          <cell r="AW61">
            <v>285988</v>
          </cell>
          <cell r="AX61">
            <v>295033</v>
          </cell>
          <cell r="AY61">
            <v>323347</v>
          </cell>
          <cell r="AZ61">
            <v>314582</v>
          </cell>
          <cell r="BA61">
            <v>256667</v>
          </cell>
          <cell r="BB61">
            <v>0</v>
          </cell>
        </row>
        <row r="62">
          <cell r="A62" t="str">
            <v>ptd</v>
          </cell>
          <cell r="B62">
            <v>183224</v>
          </cell>
          <cell r="C62">
            <v>366448</v>
          </cell>
          <cell r="D62">
            <v>550479</v>
          </cell>
          <cell r="E62">
            <v>731444</v>
          </cell>
          <cell r="F62">
            <v>210406</v>
          </cell>
          <cell r="G62">
            <v>415256</v>
          </cell>
          <cell r="H62">
            <v>625710</v>
          </cell>
          <cell r="I62">
            <v>825347</v>
          </cell>
          <cell r="J62">
            <v>215821</v>
          </cell>
          <cell r="K62">
            <v>437564</v>
          </cell>
          <cell r="L62">
            <v>668617</v>
          </cell>
          <cell r="M62">
            <v>900030</v>
          </cell>
          <cell r="N62">
            <v>216570</v>
          </cell>
          <cell r="O62">
            <v>452861</v>
          </cell>
          <cell r="P62">
            <v>646739</v>
          </cell>
          <cell r="Q62">
            <v>862621</v>
          </cell>
          <cell r="R62">
            <v>220622</v>
          </cell>
          <cell r="S62">
            <v>468702</v>
          </cell>
          <cell r="T62">
            <v>719643</v>
          </cell>
          <cell r="U62">
            <v>965743</v>
          </cell>
          <cell r="V62">
            <v>246165</v>
          </cell>
          <cell r="W62">
            <v>490771</v>
          </cell>
          <cell r="X62">
            <v>747178</v>
          </cell>
          <cell r="Y62">
            <v>1008983</v>
          </cell>
          <cell r="Z62">
            <v>244841</v>
          </cell>
          <cell r="AA62">
            <v>496614</v>
          </cell>
          <cell r="AB62">
            <v>750028</v>
          </cell>
          <cell r="AC62">
            <v>1018726</v>
          </cell>
          <cell r="AD62">
            <v>241403</v>
          </cell>
          <cell r="AE62">
            <v>481437</v>
          </cell>
          <cell r="AF62">
            <v>739937</v>
          </cell>
          <cell r="AG62">
            <v>1002727</v>
          </cell>
          <cell r="AH62">
            <v>251983</v>
          </cell>
          <cell r="AI62">
            <v>517237</v>
          </cell>
          <cell r="AJ62">
            <v>788195</v>
          </cell>
          <cell r="AK62">
            <v>1031708</v>
          </cell>
          <cell r="AL62">
            <v>235144</v>
          </cell>
          <cell r="AM62">
            <v>494566</v>
          </cell>
          <cell r="AN62">
            <v>730532</v>
          </cell>
          <cell r="AO62">
            <v>994268</v>
          </cell>
          <cell r="AP62">
            <v>237977</v>
          </cell>
          <cell r="AQ62">
            <v>490602</v>
          </cell>
          <cell r="AR62">
            <v>730931</v>
          </cell>
          <cell r="AS62">
            <v>969189</v>
          </cell>
          <cell r="AT62">
            <v>253874</v>
          </cell>
          <cell r="AU62">
            <v>493601</v>
          </cell>
          <cell r="AV62">
            <v>740401</v>
          </cell>
          <cell r="AW62">
            <v>1026389</v>
          </cell>
          <cell r="AX62">
            <v>295033</v>
          </cell>
          <cell r="AY62">
            <v>618380</v>
          </cell>
          <cell r="AZ62">
            <v>932962</v>
          </cell>
          <cell r="BA62">
            <v>1189629</v>
          </cell>
          <cell r="BB62">
            <v>1189629</v>
          </cell>
        </row>
        <row r="63">
          <cell r="A63" t="str">
            <v>qtd</v>
          </cell>
          <cell r="B63">
            <v>183224</v>
          </cell>
          <cell r="C63">
            <v>366448</v>
          </cell>
          <cell r="D63">
            <v>550479</v>
          </cell>
          <cell r="E63">
            <v>731444</v>
          </cell>
          <cell r="F63">
            <v>941850</v>
          </cell>
          <cell r="G63">
            <v>1146700</v>
          </cell>
          <cell r="H63">
            <v>1357154</v>
          </cell>
          <cell r="I63">
            <v>1556791</v>
          </cell>
          <cell r="J63">
            <v>1772612</v>
          </cell>
          <cell r="K63">
            <v>1994355</v>
          </cell>
          <cell r="L63">
            <v>2225408</v>
          </cell>
          <cell r="M63">
            <v>2456821</v>
          </cell>
          <cell r="N63">
            <v>216570</v>
          </cell>
          <cell r="O63">
            <v>452861</v>
          </cell>
          <cell r="P63">
            <v>646739</v>
          </cell>
          <cell r="Q63">
            <v>862621</v>
          </cell>
          <cell r="R63">
            <v>1083243</v>
          </cell>
          <cell r="S63">
            <v>1331323</v>
          </cell>
          <cell r="T63">
            <v>1582264</v>
          </cell>
          <cell r="U63">
            <v>1828364</v>
          </cell>
          <cell r="V63">
            <v>2074529</v>
          </cell>
          <cell r="W63">
            <v>2319135</v>
          </cell>
          <cell r="X63">
            <v>2575542</v>
          </cell>
          <cell r="Y63">
            <v>2837347</v>
          </cell>
          <cell r="Z63">
            <v>244841</v>
          </cell>
          <cell r="AA63">
            <v>496614</v>
          </cell>
          <cell r="AB63">
            <v>750028</v>
          </cell>
          <cell r="AC63">
            <v>1018726</v>
          </cell>
          <cell r="AD63">
            <v>1260129</v>
          </cell>
          <cell r="AE63">
            <v>1500163</v>
          </cell>
          <cell r="AF63">
            <v>1758663</v>
          </cell>
          <cell r="AG63">
            <v>2021453</v>
          </cell>
          <cell r="AH63">
            <v>2273436</v>
          </cell>
          <cell r="AI63">
            <v>2538690</v>
          </cell>
          <cell r="AJ63">
            <v>2809648</v>
          </cell>
          <cell r="AK63">
            <v>3053161</v>
          </cell>
          <cell r="AL63">
            <v>235144</v>
          </cell>
          <cell r="AM63">
            <v>494566</v>
          </cell>
          <cell r="AN63">
            <v>730532</v>
          </cell>
          <cell r="AO63">
            <v>994268</v>
          </cell>
          <cell r="AP63">
            <v>1232245</v>
          </cell>
          <cell r="AQ63">
            <v>1484870</v>
          </cell>
          <cell r="AR63">
            <v>1725199</v>
          </cell>
          <cell r="AS63">
            <v>1963457</v>
          </cell>
          <cell r="AT63">
            <v>2217331</v>
          </cell>
          <cell r="AU63">
            <v>2457058</v>
          </cell>
          <cell r="AV63">
            <v>2703858</v>
          </cell>
          <cell r="AW63">
            <v>2989846</v>
          </cell>
          <cell r="AX63">
            <v>3284879</v>
          </cell>
          <cell r="AY63">
            <v>3608226</v>
          </cell>
          <cell r="AZ63">
            <v>3922808</v>
          </cell>
          <cell r="BA63">
            <v>4179475</v>
          </cell>
          <cell r="BB63">
            <v>4179475</v>
          </cell>
        </row>
        <row r="64">
          <cell r="A64" t="str">
            <v>ytd</v>
          </cell>
          <cell r="B64">
            <v>183224</v>
          </cell>
          <cell r="C64">
            <v>366448</v>
          </cell>
          <cell r="D64">
            <v>550479</v>
          </cell>
          <cell r="E64">
            <v>731444</v>
          </cell>
          <cell r="F64">
            <v>941850</v>
          </cell>
          <cell r="G64">
            <v>1146700</v>
          </cell>
          <cell r="H64">
            <v>1357154</v>
          </cell>
          <cell r="I64">
            <v>1556791</v>
          </cell>
          <cell r="J64">
            <v>1772612</v>
          </cell>
          <cell r="K64">
            <v>1994355</v>
          </cell>
          <cell r="L64">
            <v>2225408</v>
          </cell>
          <cell r="M64">
            <v>2456821</v>
          </cell>
          <cell r="N64">
            <v>2673391</v>
          </cell>
          <cell r="O64">
            <v>2909682</v>
          </cell>
          <cell r="P64">
            <v>3103560</v>
          </cell>
          <cell r="Q64">
            <v>3319442</v>
          </cell>
          <cell r="R64">
            <v>3540064</v>
          </cell>
          <cell r="S64">
            <v>3788144</v>
          </cell>
          <cell r="T64">
            <v>4039085</v>
          </cell>
          <cell r="U64">
            <v>4285185</v>
          </cell>
          <cell r="V64">
            <v>4531350</v>
          </cell>
          <cell r="W64">
            <v>4775956</v>
          </cell>
          <cell r="X64">
            <v>5032363</v>
          </cell>
          <cell r="Y64">
            <v>5294168</v>
          </cell>
          <cell r="Z64">
            <v>5539009</v>
          </cell>
          <cell r="AA64">
            <v>5790782</v>
          </cell>
          <cell r="AB64">
            <v>6044196</v>
          </cell>
          <cell r="AC64">
            <v>6312894</v>
          </cell>
          <cell r="AD64">
            <v>6554297</v>
          </cell>
          <cell r="AE64">
            <v>6794331</v>
          </cell>
          <cell r="AF64">
            <v>7052831</v>
          </cell>
          <cell r="AG64">
            <v>7315621</v>
          </cell>
          <cell r="AH64">
            <v>7567604</v>
          </cell>
          <cell r="AI64">
            <v>7832858</v>
          </cell>
          <cell r="AJ64">
            <v>8103816</v>
          </cell>
          <cell r="AK64">
            <v>8347329</v>
          </cell>
          <cell r="AL64">
            <v>8582473</v>
          </cell>
          <cell r="AM64">
            <v>8841895</v>
          </cell>
          <cell r="AN64">
            <v>9077861</v>
          </cell>
          <cell r="AO64">
            <v>9341597</v>
          </cell>
          <cell r="AP64">
            <v>9579574</v>
          </cell>
          <cell r="AQ64">
            <v>9832199</v>
          </cell>
          <cell r="AR64">
            <v>10072528</v>
          </cell>
          <cell r="AS64">
            <v>10310786</v>
          </cell>
          <cell r="AT64">
            <v>10564660</v>
          </cell>
          <cell r="AU64">
            <v>10804387</v>
          </cell>
          <cell r="AV64">
            <v>11051187</v>
          </cell>
          <cell r="AW64">
            <v>11337175</v>
          </cell>
          <cell r="AX64">
            <v>11632208</v>
          </cell>
          <cell r="AY64">
            <v>11955555</v>
          </cell>
          <cell r="AZ64">
            <v>12270137</v>
          </cell>
          <cell r="BA64">
            <v>12526804</v>
          </cell>
          <cell r="BB64">
            <v>12526804</v>
          </cell>
        </row>
        <row r="65">
          <cell r="A65" t="str">
            <v>TICK</v>
          </cell>
          <cell r="B65">
            <v>741</v>
          </cell>
          <cell r="C65">
            <v>741</v>
          </cell>
          <cell r="D65">
            <v>1607</v>
          </cell>
          <cell r="E65">
            <v>1313</v>
          </cell>
          <cell r="F65">
            <v>1664</v>
          </cell>
          <cell r="G65">
            <v>3511</v>
          </cell>
          <cell r="H65">
            <v>2101</v>
          </cell>
          <cell r="I65">
            <v>2414</v>
          </cell>
          <cell r="J65">
            <v>2458</v>
          </cell>
          <cell r="K65">
            <v>2852</v>
          </cell>
          <cell r="L65">
            <v>2898</v>
          </cell>
          <cell r="M65">
            <v>2742</v>
          </cell>
          <cell r="N65">
            <v>3040</v>
          </cell>
          <cell r="O65">
            <v>3748</v>
          </cell>
          <cell r="P65">
            <v>3912</v>
          </cell>
          <cell r="Q65">
            <v>2335</v>
          </cell>
          <cell r="R65">
            <v>2054</v>
          </cell>
          <cell r="S65">
            <v>1993</v>
          </cell>
          <cell r="T65">
            <v>2113</v>
          </cell>
          <cell r="U65">
            <v>1939</v>
          </cell>
          <cell r="V65">
            <v>2181</v>
          </cell>
          <cell r="W65">
            <v>1776</v>
          </cell>
          <cell r="X65">
            <v>1042</v>
          </cell>
          <cell r="Y65">
            <v>1365</v>
          </cell>
          <cell r="Z65">
            <v>1759</v>
          </cell>
          <cell r="AA65">
            <v>1986</v>
          </cell>
          <cell r="AB65">
            <v>2426</v>
          </cell>
          <cell r="AC65">
            <v>2538</v>
          </cell>
          <cell r="AD65">
            <v>2925</v>
          </cell>
          <cell r="AE65">
            <v>3182</v>
          </cell>
          <cell r="AF65">
            <v>2778</v>
          </cell>
          <cell r="AG65">
            <v>2799</v>
          </cell>
          <cell r="AH65">
            <v>2467</v>
          </cell>
          <cell r="AI65">
            <v>2139</v>
          </cell>
          <cell r="AJ65">
            <v>1339</v>
          </cell>
          <cell r="AK65">
            <v>521</v>
          </cell>
          <cell r="AL65">
            <v>409</v>
          </cell>
          <cell r="AM65">
            <v>364</v>
          </cell>
          <cell r="AN65">
            <v>380</v>
          </cell>
          <cell r="AO65">
            <v>516</v>
          </cell>
          <cell r="AP65">
            <v>648</v>
          </cell>
          <cell r="AQ65">
            <v>535</v>
          </cell>
          <cell r="AR65">
            <v>466</v>
          </cell>
          <cell r="AS65">
            <v>454</v>
          </cell>
          <cell r="AT65">
            <v>470</v>
          </cell>
          <cell r="AU65">
            <v>400</v>
          </cell>
          <cell r="AV65">
            <v>547</v>
          </cell>
          <cell r="AW65">
            <v>580</v>
          </cell>
          <cell r="AX65">
            <v>949</v>
          </cell>
          <cell r="AY65">
            <v>1482</v>
          </cell>
          <cell r="AZ65">
            <v>2261</v>
          </cell>
          <cell r="BA65">
            <v>592</v>
          </cell>
          <cell r="BB65">
            <v>0</v>
          </cell>
        </row>
        <row r="66">
          <cell r="A66" t="str">
            <v>ptd</v>
          </cell>
          <cell r="B66">
            <v>741</v>
          </cell>
          <cell r="C66">
            <v>1482</v>
          </cell>
          <cell r="D66">
            <v>3089</v>
          </cell>
          <cell r="E66">
            <v>4402</v>
          </cell>
          <cell r="F66">
            <v>1664</v>
          </cell>
          <cell r="G66">
            <v>5175</v>
          </cell>
          <cell r="H66">
            <v>7276</v>
          </cell>
          <cell r="I66">
            <v>9690</v>
          </cell>
          <cell r="J66">
            <v>2458</v>
          </cell>
          <cell r="K66">
            <v>5310</v>
          </cell>
          <cell r="L66">
            <v>8208</v>
          </cell>
          <cell r="M66">
            <v>10950</v>
          </cell>
          <cell r="N66">
            <v>3040</v>
          </cell>
          <cell r="O66">
            <v>6788</v>
          </cell>
          <cell r="P66">
            <v>10700</v>
          </cell>
          <cell r="Q66">
            <v>13035</v>
          </cell>
          <cell r="R66">
            <v>2054</v>
          </cell>
          <cell r="S66">
            <v>4047</v>
          </cell>
          <cell r="T66">
            <v>6160</v>
          </cell>
          <cell r="U66">
            <v>8099</v>
          </cell>
          <cell r="V66">
            <v>2181</v>
          </cell>
          <cell r="W66">
            <v>3957</v>
          </cell>
          <cell r="X66">
            <v>4999</v>
          </cell>
          <cell r="Y66">
            <v>6364</v>
          </cell>
          <cell r="Z66">
            <v>1759</v>
          </cell>
          <cell r="AA66">
            <v>3745</v>
          </cell>
          <cell r="AB66">
            <v>6171</v>
          </cell>
          <cell r="AC66">
            <v>8709</v>
          </cell>
          <cell r="AD66">
            <v>2925</v>
          </cell>
          <cell r="AE66">
            <v>6107</v>
          </cell>
          <cell r="AF66">
            <v>8885</v>
          </cell>
          <cell r="AG66">
            <v>11684</v>
          </cell>
          <cell r="AH66">
            <v>2467</v>
          </cell>
          <cell r="AI66">
            <v>4606</v>
          </cell>
          <cell r="AJ66">
            <v>5945</v>
          </cell>
          <cell r="AK66">
            <v>6466</v>
          </cell>
          <cell r="AL66">
            <v>409</v>
          </cell>
          <cell r="AM66">
            <v>773</v>
          </cell>
          <cell r="AN66">
            <v>1153</v>
          </cell>
          <cell r="AO66">
            <v>1669</v>
          </cell>
          <cell r="AP66">
            <v>648</v>
          </cell>
          <cell r="AQ66">
            <v>1183</v>
          </cell>
          <cell r="AR66">
            <v>1649</v>
          </cell>
          <cell r="AS66">
            <v>2103</v>
          </cell>
          <cell r="AT66">
            <v>470</v>
          </cell>
          <cell r="AU66">
            <v>870</v>
          </cell>
          <cell r="AV66">
            <v>1417</v>
          </cell>
          <cell r="AW66">
            <v>1997</v>
          </cell>
          <cell r="AX66">
            <v>949</v>
          </cell>
          <cell r="AY66">
            <v>2431</v>
          </cell>
          <cell r="AZ66">
            <v>4692</v>
          </cell>
          <cell r="BA66">
            <v>5284</v>
          </cell>
          <cell r="BB66">
            <v>5284</v>
          </cell>
        </row>
        <row r="67">
          <cell r="A67" t="str">
            <v>qtd</v>
          </cell>
          <cell r="B67">
            <v>741</v>
          </cell>
          <cell r="C67">
            <v>1482</v>
          </cell>
          <cell r="D67">
            <v>3089</v>
          </cell>
          <cell r="E67">
            <v>4402</v>
          </cell>
          <cell r="F67">
            <v>6066</v>
          </cell>
          <cell r="G67">
            <v>9577</v>
          </cell>
          <cell r="H67">
            <v>11678</v>
          </cell>
          <cell r="I67">
            <v>14092</v>
          </cell>
          <cell r="J67">
            <v>16550</v>
          </cell>
          <cell r="K67">
            <v>19402</v>
          </cell>
          <cell r="L67">
            <v>22300</v>
          </cell>
          <cell r="M67">
            <v>25042</v>
          </cell>
          <cell r="N67">
            <v>3040</v>
          </cell>
          <cell r="O67">
            <v>6788</v>
          </cell>
          <cell r="P67">
            <v>10700</v>
          </cell>
          <cell r="Q67">
            <v>13035</v>
          </cell>
          <cell r="R67">
            <v>15089</v>
          </cell>
          <cell r="S67">
            <v>17082</v>
          </cell>
          <cell r="T67">
            <v>19195</v>
          </cell>
          <cell r="U67">
            <v>21134</v>
          </cell>
          <cell r="V67">
            <v>23315</v>
          </cell>
          <cell r="W67">
            <v>25091</v>
          </cell>
          <cell r="X67">
            <v>26133</v>
          </cell>
          <cell r="Y67">
            <v>27498</v>
          </cell>
          <cell r="Z67">
            <v>1759</v>
          </cell>
          <cell r="AA67">
            <v>3745</v>
          </cell>
          <cell r="AB67">
            <v>6171</v>
          </cell>
          <cell r="AC67">
            <v>8709</v>
          </cell>
          <cell r="AD67">
            <v>11634</v>
          </cell>
          <cell r="AE67">
            <v>14816</v>
          </cell>
          <cell r="AF67">
            <v>17594</v>
          </cell>
          <cell r="AG67">
            <v>20393</v>
          </cell>
          <cell r="AH67">
            <v>22860</v>
          </cell>
          <cell r="AI67">
            <v>24999</v>
          </cell>
          <cell r="AJ67">
            <v>26338</v>
          </cell>
          <cell r="AK67">
            <v>26859</v>
          </cell>
          <cell r="AL67">
            <v>409</v>
          </cell>
          <cell r="AM67">
            <v>773</v>
          </cell>
          <cell r="AN67">
            <v>1153</v>
          </cell>
          <cell r="AO67">
            <v>1669</v>
          </cell>
          <cell r="AP67">
            <v>2317</v>
          </cell>
          <cell r="AQ67">
            <v>2852</v>
          </cell>
          <cell r="AR67">
            <v>3318</v>
          </cell>
          <cell r="AS67">
            <v>3772</v>
          </cell>
          <cell r="AT67">
            <v>4242</v>
          </cell>
          <cell r="AU67">
            <v>4642</v>
          </cell>
          <cell r="AV67">
            <v>5189</v>
          </cell>
          <cell r="AW67">
            <v>5769</v>
          </cell>
          <cell r="AX67">
            <v>6718</v>
          </cell>
          <cell r="AY67">
            <v>8200</v>
          </cell>
          <cell r="AZ67">
            <v>10461</v>
          </cell>
          <cell r="BA67">
            <v>11053</v>
          </cell>
          <cell r="BB67">
            <v>11053</v>
          </cell>
        </row>
        <row r="68">
          <cell r="A68" t="str">
            <v>ytd</v>
          </cell>
          <cell r="B68">
            <v>741</v>
          </cell>
          <cell r="C68">
            <v>1482</v>
          </cell>
          <cell r="D68">
            <v>3089</v>
          </cell>
          <cell r="E68">
            <v>4402</v>
          </cell>
          <cell r="F68">
            <v>6066</v>
          </cell>
          <cell r="G68">
            <v>9577</v>
          </cell>
          <cell r="H68">
            <v>11678</v>
          </cell>
          <cell r="I68">
            <v>14092</v>
          </cell>
          <cell r="J68">
            <v>16550</v>
          </cell>
          <cell r="K68">
            <v>19402</v>
          </cell>
          <cell r="L68">
            <v>22300</v>
          </cell>
          <cell r="M68">
            <v>25042</v>
          </cell>
          <cell r="N68">
            <v>28082</v>
          </cell>
          <cell r="O68">
            <v>31830</v>
          </cell>
          <cell r="P68">
            <v>35742</v>
          </cell>
          <cell r="Q68">
            <v>38077</v>
          </cell>
          <cell r="R68">
            <v>40131</v>
          </cell>
          <cell r="S68">
            <v>42124</v>
          </cell>
          <cell r="T68">
            <v>44237</v>
          </cell>
          <cell r="U68">
            <v>46176</v>
          </cell>
          <cell r="V68">
            <v>48357</v>
          </cell>
          <cell r="W68">
            <v>50133</v>
          </cell>
          <cell r="X68">
            <v>51175</v>
          </cell>
          <cell r="Y68">
            <v>52540</v>
          </cell>
          <cell r="Z68">
            <v>54299</v>
          </cell>
          <cell r="AA68">
            <v>56285</v>
          </cell>
          <cell r="AB68">
            <v>58711</v>
          </cell>
          <cell r="AC68">
            <v>61249</v>
          </cell>
          <cell r="AD68">
            <v>64174</v>
          </cell>
          <cell r="AE68">
            <v>67356</v>
          </cell>
          <cell r="AF68">
            <v>70134</v>
          </cell>
          <cell r="AG68">
            <v>72933</v>
          </cell>
          <cell r="AH68">
            <v>75400</v>
          </cell>
          <cell r="AI68">
            <v>77539</v>
          </cell>
          <cell r="AJ68">
            <v>78878</v>
          </cell>
          <cell r="AK68">
            <v>79399</v>
          </cell>
          <cell r="AL68">
            <v>79808</v>
          </cell>
          <cell r="AM68">
            <v>80172</v>
          </cell>
          <cell r="AN68">
            <v>80552</v>
          </cell>
          <cell r="AO68">
            <v>81068</v>
          </cell>
          <cell r="AP68">
            <v>81716</v>
          </cell>
          <cell r="AQ68">
            <v>82251</v>
          </cell>
          <cell r="AR68">
            <v>82717</v>
          </cell>
          <cell r="AS68">
            <v>83171</v>
          </cell>
          <cell r="AT68">
            <v>83641</v>
          </cell>
          <cell r="AU68">
            <v>84041</v>
          </cell>
          <cell r="AV68">
            <v>84588</v>
          </cell>
          <cell r="AW68">
            <v>85168</v>
          </cell>
          <cell r="AX68">
            <v>86117</v>
          </cell>
          <cell r="AY68">
            <v>87599</v>
          </cell>
          <cell r="AZ68">
            <v>89860</v>
          </cell>
          <cell r="BA68">
            <v>90452</v>
          </cell>
          <cell r="BB68">
            <v>90452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7295572.80105625</v>
          </cell>
          <cell r="C73">
            <v>7342817.80105625</v>
          </cell>
          <cell r="D73">
            <v>8090224.2278562505</v>
          </cell>
          <cell r="E73">
            <v>8444558.9162562508</v>
          </cell>
          <cell r="F73">
            <v>8735365.3768000007</v>
          </cell>
          <cell r="G73">
            <v>9109641.0492000002</v>
          </cell>
          <cell r="H73">
            <v>8946636.8107999992</v>
          </cell>
          <cell r="I73">
            <v>8465280.0767999999</v>
          </cell>
          <cell r="J73">
            <v>7397801.4035999998</v>
          </cell>
          <cell r="K73">
            <v>7251932.6883999994</v>
          </cell>
          <cell r="L73">
            <v>9122153.0384</v>
          </cell>
          <cell r="M73">
            <v>9910463.5499999989</v>
          </cell>
          <cell r="N73">
            <v>10321098.899999999</v>
          </cell>
          <cell r="O73">
            <v>10937627.6384</v>
          </cell>
          <cell r="P73">
            <v>8323773.6499999994</v>
          </cell>
          <cell r="Q73">
            <v>11243852.838399999</v>
          </cell>
          <cell r="R73">
            <v>12957013.75</v>
          </cell>
          <cell r="S73">
            <v>16729068.0384</v>
          </cell>
          <cell r="T73">
            <v>14608026.65</v>
          </cell>
          <cell r="U73">
            <v>13147650.399999999</v>
          </cell>
          <cell r="V73">
            <v>14983136.849999998</v>
          </cell>
          <cell r="W73">
            <v>15399441.4384</v>
          </cell>
          <cell r="X73">
            <v>16146495.949999999</v>
          </cell>
          <cell r="Y73">
            <v>18761962.649999999</v>
          </cell>
          <cell r="Z73">
            <v>15179112.5</v>
          </cell>
          <cell r="AA73">
            <v>14902884.050000001</v>
          </cell>
          <cell r="AB73">
            <v>13980284.399999999</v>
          </cell>
          <cell r="AC73">
            <v>14692646.499999998</v>
          </cell>
          <cell r="AD73">
            <v>14187405.22746875</v>
          </cell>
          <cell r="AE73">
            <v>13728035.227468751</v>
          </cell>
          <cell r="AF73">
            <v>13498724.52746875</v>
          </cell>
          <cell r="AG73">
            <v>15940310.37746875</v>
          </cell>
          <cell r="AH73">
            <v>17487505.819068749</v>
          </cell>
          <cell r="AI73">
            <v>18279578.627468746</v>
          </cell>
          <cell r="AJ73">
            <v>19018060.977468748</v>
          </cell>
          <cell r="AK73">
            <v>12292893.877468752</v>
          </cell>
          <cell r="AL73">
            <v>12000584.97746875</v>
          </cell>
          <cell r="AM73">
            <v>11852613.02746875</v>
          </cell>
          <cell r="AN73">
            <v>12079393.827468751</v>
          </cell>
          <cell r="AO73">
            <v>12265105.22746875</v>
          </cell>
          <cell r="AP73">
            <v>11668148.70426875</v>
          </cell>
          <cell r="AQ73">
            <v>13355296.127468752</v>
          </cell>
          <cell r="AR73">
            <v>14074784.02746875</v>
          </cell>
          <cell r="AS73">
            <v>13692172.727468751</v>
          </cell>
          <cell r="AT73">
            <v>14195258.931068752</v>
          </cell>
          <cell r="AU73">
            <v>16797790.361468751</v>
          </cell>
          <cell r="AV73">
            <v>18824312.641868748</v>
          </cell>
          <cell r="AW73">
            <v>25120254.203468747</v>
          </cell>
          <cell r="AX73">
            <v>39454985.494800001</v>
          </cell>
          <cell r="AY73">
            <v>51119756.905599989</v>
          </cell>
          <cell r="AZ73">
            <v>48581021.302000001</v>
          </cell>
          <cell r="BA73">
            <v>23294179.452799998</v>
          </cell>
          <cell r="BB73">
            <v>0</v>
          </cell>
        </row>
        <row r="74">
          <cell r="A74" t="str">
            <v>ptd</v>
          </cell>
          <cell r="B74">
            <v>7295572.80105625</v>
          </cell>
          <cell r="C74">
            <v>14638390.6021125</v>
          </cell>
          <cell r="D74">
            <v>22728614.82996875</v>
          </cell>
          <cell r="E74">
            <v>31173173.746224999</v>
          </cell>
          <cell r="F74">
            <v>8735365.3768000007</v>
          </cell>
          <cell r="G74">
            <v>17845006.425999999</v>
          </cell>
          <cell r="H74">
            <v>26791643.2368</v>
          </cell>
          <cell r="I74">
            <v>35256923.313600004</v>
          </cell>
          <cell r="J74">
            <v>7397801.4035999998</v>
          </cell>
          <cell r="K74">
            <v>14649734.092</v>
          </cell>
          <cell r="L74">
            <v>23771887.130400002</v>
          </cell>
          <cell r="M74">
            <v>33682350.680399999</v>
          </cell>
          <cell r="N74">
            <v>10321098.899999999</v>
          </cell>
          <cell r="O74">
            <v>21258726.538399998</v>
          </cell>
          <cell r="P74">
            <v>29582500.188399997</v>
          </cell>
          <cell r="Q74">
            <v>40826353.026799992</v>
          </cell>
          <cell r="R74">
            <v>12957013.75</v>
          </cell>
          <cell r="S74">
            <v>29686081.788400002</v>
          </cell>
          <cell r="T74">
            <v>44294108.4384</v>
          </cell>
          <cell r="U74">
            <v>57441758.838399999</v>
          </cell>
          <cell r="V74">
            <v>14983136.849999998</v>
          </cell>
          <cell r="W74">
            <v>30382578.288399998</v>
          </cell>
          <cell r="X74">
            <v>46529074.238399997</v>
          </cell>
          <cell r="Y74">
            <v>65291036.888399996</v>
          </cell>
          <cell r="Z74">
            <v>15179112.5</v>
          </cell>
          <cell r="AA74">
            <v>30081996.550000001</v>
          </cell>
          <cell r="AB74">
            <v>44062280.950000003</v>
          </cell>
          <cell r="AC74">
            <v>58754927.450000003</v>
          </cell>
          <cell r="AD74">
            <v>14187405.22746875</v>
          </cell>
          <cell r="AE74">
            <v>27915440.454937503</v>
          </cell>
          <cell r="AF74">
            <v>41414164.982406251</v>
          </cell>
          <cell r="AG74">
            <v>57354475.359875001</v>
          </cell>
          <cell r="AH74">
            <v>17487505.819068749</v>
          </cell>
          <cell r="AI74">
            <v>35767084.446537495</v>
          </cell>
          <cell r="AJ74">
            <v>54785145.424006239</v>
          </cell>
          <cell r="AK74">
            <v>67078039.301474988</v>
          </cell>
          <cell r="AL74">
            <v>12000584.97746875</v>
          </cell>
          <cell r="AM74">
            <v>23853198.0049375</v>
          </cell>
          <cell r="AN74">
            <v>35932591.832406253</v>
          </cell>
          <cell r="AO74">
            <v>48197697.059875004</v>
          </cell>
          <cell r="AP74">
            <v>11668148.70426875</v>
          </cell>
          <cell r="AQ74">
            <v>25023444.831737503</v>
          </cell>
          <cell r="AR74">
            <v>39098228.859206252</v>
          </cell>
          <cell r="AS74">
            <v>52790401.586675003</v>
          </cell>
          <cell r="AT74">
            <v>14195258.931068752</v>
          </cell>
          <cell r="AU74">
            <v>30993049.292537503</v>
          </cell>
          <cell r="AV74">
            <v>49817361.934406251</v>
          </cell>
          <cell r="AW74">
            <v>74937616.137874991</v>
          </cell>
          <cell r="AX74">
            <v>39454985.494800001</v>
          </cell>
          <cell r="AY74">
            <v>90574742.400399983</v>
          </cell>
          <cell r="AZ74">
            <v>139155763.70239997</v>
          </cell>
          <cell r="BA74">
            <v>162449943.15519997</v>
          </cell>
          <cell r="BB74">
            <v>162449943.15519997</v>
          </cell>
        </row>
        <row r="75">
          <cell r="A75" t="str">
            <v>qtd</v>
          </cell>
          <cell r="B75">
            <v>7295572.80105625</v>
          </cell>
          <cell r="C75">
            <v>14638390.6021125</v>
          </cell>
          <cell r="D75">
            <v>22728614.82996875</v>
          </cell>
          <cell r="E75">
            <v>31173173.746224999</v>
          </cell>
          <cell r="F75">
            <v>39908539.123025</v>
          </cell>
          <cell r="G75">
            <v>49018180.172224998</v>
          </cell>
          <cell r="H75">
            <v>57964816.983024999</v>
          </cell>
          <cell r="I75">
            <v>66430097.059825003</v>
          </cell>
          <cell r="J75">
            <v>73827898.46342501</v>
          </cell>
          <cell r="K75">
            <v>81079831.151825011</v>
          </cell>
          <cell r="L75">
            <v>90201984.190225005</v>
          </cell>
          <cell r="M75">
            <v>100112447.740225</v>
          </cell>
          <cell r="N75">
            <v>10321098.899999999</v>
          </cell>
          <cell r="O75">
            <v>21258726.538399998</v>
          </cell>
          <cell r="P75">
            <v>29582500.188399997</v>
          </cell>
          <cell r="Q75">
            <v>40826353.026799992</v>
          </cell>
          <cell r="R75">
            <v>53783366.776799992</v>
          </cell>
          <cell r="S75">
            <v>70512434.815199986</v>
          </cell>
          <cell r="T75">
            <v>85120461.465199992</v>
          </cell>
          <cell r="U75">
            <v>98268111.865199983</v>
          </cell>
          <cell r="V75">
            <v>113251248.71519998</v>
          </cell>
          <cell r="W75">
            <v>128650690.15359998</v>
          </cell>
          <cell r="X75">
            <v>144797186.10359997</v>
          </cell>
          <cell r="Y75">
            <v>163559148.75359997</v>
          </cell>
          <cell r="Z75">
            <v>15179112.5</v>
          </cell>
          <cell r="AA75">
            <v>30081996.550000001</v>
          </cell>
          <cell r="AB75">
            <v>44062280.950000003</v>
          </cell>
          <cell r="AC75">
            <v>58754927.450000003</v>
          </cell>
          <cell r="AD75">
            <v>72942332.677468747</v>
          </cell>
          <cell r="AE75">
            <v>86670367.904937506</v>
          </cell>
          <cell r="AF75">
            <v>100169092.43240626</v>
          </cell>
          <cell r="AG75">
            <v>116109402.80987501</v>
          </cell>
          <cell r="AH75">
            <v>133596908.62894376</v>
          </cell>
          <cell r="AI75">
            <v>151876487.25641251</v>
          </cell>
          <cell r="AJ75">
            <v>170894548.23388126</v>
          </cell>
          <cell r="AK75">
            <v>183187442.11135003</v>
          </cell>
          <cell r="AL75">
            <v>12000584.97746875</v>
          </cell>
          <cell r="AM75">
            <v>23853198.0049375</v>
          </cell>
          <cell r="AN75">
            <v>35932591.832406253</v>
          </cell>
          <cell r="AO75">
            <v>48197697.059875004</v>
          </cell>
          <cell r="AP75">
            <v>59865845.76414375</v>
          </cell>
          <cell r="AQ75">
            <v>73221141.8916125</v>
          </cell>
          <cell r="AR75">
            <v>87295925.919081256</v>
          </cell>
          <cell r="AS75">
            <v>100988098.64655</v>
          </cell>
          <cell r="AT75">
            <v>115183357.57761875</v>
          </cell>
          <cell r="AU75">
            <v>131981147.9390875</v>
          </cell>
          <cell r="AV75">
            <v>150805460.58095625</v>
          </cell>
          <cell r="AW75">
            <v>175925714.78442499</v>
          </cell>
          <cell r="AX75">
            <v>215380700.27922499</v>
          </cell>
          <cell r="AY75">
            <v>266500457.18482497</v>
          </cell>
          <cell r="AZ75">
            <v>315081478.48682499</v>
          </cell>
          <cell r="BA75">
            <v>338375657.93962497</v>
          </cell>
          <cell r="BB75">
            <v>338375657.93962497</v>
          </cell>
        </row>
        <row r="76">
          <cell r="A76" t="str">
            <v>ytd</v>
          </cell>
          <cell r="B76">
            <v>7295572.80105625</v>
          </cell>
          <cell r="C76">
            <v>14638390.6021125</v>
          </cell>
          <cell r="D76">
            <v>22728614.82996875</v>
          </cell>
          <cell r="E76">
            <v>31173173.746224999</v>
          </cell>
          <cell r="F76">
            <v>39908539.123025</v>
          </cell>
          <cell r="G76">
            <v>49018180.172224998</v>
          </cell>
          <cell r="H76">
            <v>57964816.983024999</v>
          </cell>
          <cell r="I76">
            <v>66430097.059825003</v>
          </cell>
          <cell r="J76">
            <v>73827898.46342501</v>
          </cell>
          <cell r="K76">
            <v>81079831.151825011</v>
          </cell>
          <cell r="L76">
            <v>90201984.190225005</v>
          </cell>
          <cell r="M76">
            <v>100112447.740225</v>
          </cell>
          <cell r="N76">
            <v>110433546.64022499</v>
          </cell>
          <cell r="O76">
            <v>121371174.278625</v>
          </cell>
          <cell r="P76">
            <v>129694947.928625</v>
          </cell>
          <cell r="Q76">
            <v>140938800.76702499</v>
          </cell>
          <cell r="R76">
            <v>153895814.51702499</v>
          </cell>
          <cell r="S76">
            <v>170624882.55542499</v>
          </cell>
          <cell r="T76">
            <v>185232909.20542499</v>
          </cell>
          <cell r="U76">
            <v>198380559.605425</v>
          </cell>
          <cell r="V76">
            <v>213363696.45542499</v>
          </cell>
          <cell r="W76">
            <v>228763137.89382499</v>
          </cell>
          <cell r="X76">
            <v>244909633.84382498</v>
          </cell>
          <cell r="Y76">
            <v>263671596.49382499</v>
          </cell>
          <cell r="Z76">
            <v>278850708.99382496</v>
          </cell>
          <cell r="AA76">
            <v>293753593.04382497</v>
          </cell>
          <cell r="AB76">
            <v>307733877.44382495</v>
          </cell>
          <cell r="AC76">
            <v>322426523.94382495</v>
          </cell>
          <cell r="AD76">
            <v>336613929.17129368</v>
          </cell>
          <cell r="AE76">
            <v>350341964.3987624</v>
          </cell>
          <cell r="AF76">
            <v>363840688.92623115</v>
          </cell>
          <cell r="AG76">
            <v>379780999.30369991</v>
          </cell>
          <cell r="AH76">
            <v>397268505.12276864</v>
          </cell>
          <cell r="AI76">
            <v>415548083.75023741</v>
          </cell>
          <cell r="AJ76">
            <v>434566144.72770613</v>
          </cell>
          <cell r="AK76">
            <v>446859038.6051749</v>
          </cell>
          <cell r="AL76">
            <v>458859623.58264363</v>
          </cell>
          <cell r="AM76">
            <v>470712236.61011237</v>
          </cell>
          <cell r="AN76">
            <v>482791630.43758112</v>
          </cell>
          <cell r="AO76">
            <v>495056735.66504985</v>
          </cell>
          <cell r="AP76">
            <v>506724884.3693186</v>
          </cell>
          <cell r="AQ76">
            <v>520080180.49678737</v>
          </cell>
          <cell r="AR76">
            <v>534154964.52425611</v>
          </cell>
          <cell r="AS76">
            <v>547847137.25172484</v>
          </cell>
          <cell r="AT76">
            <v>562042396.18279362</v>
          </cell>
          <cell r="AU76">
            <v>578840186.54426241</v>
          </cell>
          <cell r="AV76">
            <v>597664499.18613112</v>
          </cell>
          <cell r="AW76">
            <v>622784753.38959992</v>
          </cell>
          <cell r="AX76">
            <v>662239738.88439989</v>
          </cell>
          <cell r="AY76">
            <v>713359495.78999984</v>
          </cell>
          <cell r="AZ76">
            <v>761940517.09199989</v>
          </cell>
          <cell r="BA76">
            <v>785234696.54479992</v>
          </cell>
          <cell r="BB76">
            <v>785234696.54479992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64190.14762500002</v>
          </cell>
          <cell r="C79">
            <v>64190.14762500002</v>
          </cell>
          <cell r="D79">
            <v>55681.960125000012</v>
          </cell>
          <cell r="E79">
            <v>61596.760125000008</v>
          </cell>
          <cell r="F79">
            <v>68925.776343750011</v>
          </cell>
          <cell r="G79">
            <v>162414.0263437501</v>
          </cell>
          <cell r="H79">
            <v>81147.776343750025</v>
          </cell>
          <cell r="I79">
            <v>72825.701343750028</v>
          </cell>
          <cell r="J79">
            <v>84709.392562500041</v>
          </cell>
          <cell r="K79">
            <v>85443.717562500024</v>
          </cell>
          <cell r="L79">
            <v>97262.067562500044</v>
          </cell>
          <cell r="M79">
            <v>88588.062562500054</v>
          </cell>
          <cell r="N79">
            <v>96707.983781250019</v>
          </cell>
          <cell r="O79">
            <v>152326.03378125004</v>
          </cell>
          <cell r="P79">
            <v>97716.82378125003</v>
          </cell>
          <cell r="Q79">
            <v>106771.19878125003</v>
          </cell>
          <cell r="R79">
            <v>135176.02500000008</v>
          </cell>
          <cell r="S79">
            <v>195825.22500000006</v>
          </cell>
          <cell r="T79">
            <v>150324.97500000006</v>
          </cell>
          <cell r="U79">
            <v>125801.25</v>
          </cell>
          <cell r="V79">
            <v>138700.87500000006</v>
          </cell>
          <cell r="W79">
            <v>129747.9</v>
          </cell>
          <cell r="X79">
            <v>169383.22500000006</v>
          </cell>
          <cell r="Y79">
            <v>324112.27500000014</v>
          </cell>
          <cell r="Z79">
            <v>234851.04121875009</v>
          </cell>
          <cell r="AA79">
            <v>120928.44121875007</v>
          </cell>
          <cell r="AB79">
            <v>119102.34121875007</v>
          </cell>
          <cell r="AC79">
            <v>107197.74121875004</v>
          </cell>
          <cell r="AD79">
            <v>130743.31621875006</v>
          </cell>
          <cell r="AE79">
            <v>132894.91621875006</v>
          </cell>
          <cell r="AF79">
            <v>132794.94121875006</v>
          </cell>
          <cell r="AG79">
            <v>132497.34121875008</v>
          </cell>
          <cell r="AH79">
            <v>132013.66621875006</v>
          </cell>
          <cell r="AI79">
            <v>137810.34121875008</v>
          </cell>
          <cell r="AJ79">
            <v>132991.29121875006</v>
          </cell>
          <cell r="AK79">
            <v>129806.19121875007</v>
          </cell>
          <cell r="AL79">
            <v>132105.39121875007</v>
          </cell>
          <cell r="AM79">
            <v>128873.49121875007</v>
          </cell>
          <cell r="AN79">
            <v>140207.64121875007</v>
          </cell>
          <cell r="AO79">
            <v>139010.56621875006</v>
          </cell>
          <cell r="AP79">
            <v>140654.28243750005</v>
          </cell>
          <cell r="AQ79">
            <v>156488.28243750008</v>
          </cell>
          <cell r="AR79">
            <v>142571.58243750007</v>
          </cell>
          <cell r="AS79">
            <v>137403.70743750007</v>
          </cell>
          <cell r="AT79">
            <v>152056.38243750005</v>
          </cell>
          <cell r="AU79">
            <v>168046.15743750008</v>
          </cell>
          <cell r="AV79">
            <v>180203.28243750011</v>
          </cell>
          <cell r="AW79">
            <v>322612.68243750016</v>
          </cell>
          <cell r="AX79">
            <v>604947.10743750026</v>
          </cell>
          <cell r="AY79">
            <v>1417258.6074375007</v>
          </cell>
          <cell r="AZ79">
            <v>1785343.2648750008</v>
          </cell>
          <cell r="BA79">
            <v>176522.62500000006</v>
          </cell>
          <cell r="BB79">
            <v>0</v>
          </cell>
        </row>
        <row r="80">
          <cell r="A80" t="str">
            <v>ptd</v>
          </cell>
          <cell r="B80">
            <v>64190.14762500002</v>
          </cell>
          <cell r="C80">
            <v>128380.29525000004</v>
          </cell>
          <cell r="D80">
            <v>184062.25537500007</v>
          </cell>
          <cell r="E80">
            <v>245659.01550000007</v>
          </cell>
          <cell r="F80">
            <v>68925.776343750011</v>
          </cell>
          <cell r="G80">
            <v>231339.80268750011</v>
          </cell>
          <cell r="H80">
            <v>312487.57903125015</v>
          </cell>
          <cell r="I80">
            <v>385313.28037500021</v>
          </cell>
          <cell r="J80">
            <v>84709.392562500041</v>
          </cell>
          <cell r="K80">
            <v>170153.11012500006</v>
          </cell>
          <cell r="L80">
            <v>267415.17768750014</v>
          </cell>
          <cell r="M80">
            <v>356003.24025000021</v>
          </cell>
          <cell r="N80">
            <v>96707.983781250019</v>
          </cell>
          <cell r="O80">
            <v>249034.01756250006</v>
          </cell>
          <cell r="P80">
            <v>346750.84134375007</v>
          </cell>
          <cell r="Q80">
            <v>453522.04012500012</v>
          </cell>
          <cell r="R80">
            <v>135176.02500000008</v>
          </cell>
          <cell r="S80">
            <v>331001.25000000012</v>
          </cell>
          <cell r="T80">
            <v>481326.22500000021</v>
          </cell>
          <cell r="U80">
            <v>607127.47500000021</v>
          </cell>
          <cell r="V80">
            <v>138700.87500000006</v>
          </cell>
          <cell r="W80">
            <v>268448.77500000002</v>
          </cell>
          <cell r="X80">
            <v>437832.00000000012</v>
          </cell>
          <cell r="Y80">
            <v>761944.27500000026</v>
          </cell>
          <cell r="Z80">
            <v>234851.04121875009</v>
          </cell>
          <cell r="AA80">
            <v>355779.48243750015</v>
          </cell>
          <cell r="AB80">
            <v>474881.8236562502</v>
          </cell>
          <cell r="AC80">
            <v>582079.56487500027</v>
          </cell>
          <cell r="AD80">
            <v>130743.31621875006</v>
          </cell>
          <cell r="AE80">
            <v>263638.23243750015</v>
          </cell>
          <cell r="AF80">
            <v>396433.17365625023</v>
          </cell>
          <cell r="AG80">
            <v>528930.51487500034</v>
          </cell>
          <cell r="AH80">
            <v>132013.66621875006</v>
          </cell>
          <cell r="AI80">
            <v>269824.00743750017</v>
          </cell>
          <cell r="AJ80">
            <v>402815.29865625023</v>
          </cell>
          <cell r="AK80">
            <v>532621.48987500032</v>
          </cell>
          <cell r="AL80">
            <v>132105.39121875007</v>
          </cell>
          <cell r="AM80">
            <v>260978.88243750014</v>
          </cell>
          <cell r="AN80">
            <v>401186.52365625021</v>
          </cell>
          <cell r="AO80">
            <v>540197.0898750003</v>
          </cell>
          <cell r="AP80">
            <v>140654.28243750005</v>
          </cell>
          <cell r="AQ80">
            <v>297142.56487500016</v>
          </cell>
          <cell r="AR80">
            <v>439714.14731250022</v>
          </cell>
          <cell r="AS80">
            <v>577117.85475000029</v>
          </cell>
          <cell r="AT80">
            <v>152056.38243750005</v>
          </cell>
          <cell r="AU80">
            <v>320102.53987500013</v>
          </cell>
          <cell r="AV80">
            <v>500305.82231250021</v>
          </cell>
          <cell r="AW80">
            <v>822918.50475000031</v>
          </cell>
          <cell r="AX80">
            <v>604947.10743750026</v>
          </cell>
          <cell r="AY80">
            <v>2022205.714875001</v>
          </cell>
          <cell r="AZ80">
            <v>3807548.9797500018</v>
          </cell>
          <cell r="BA80">
            <v>3984071.6047500018</v>
          </cell>
          <cell r="BB80">
            <v>3984071.6047500018</v>
          </cell>
        </row>
        <row r="81">
          <cell r="A81" t="str">
            <v>qtd</v>
          </cell>
          <cell r="B81">
            <v>64190.14762500002</v>
          </cell>
          <cell r="C81">
            <v>128380.29525000004</v>
          </cell>
          <cell r="D81">
            <v>184062.25537500007</v>
          </cell>
          <cell r="E81">
            <v>245659.01550000007</v>
          </cell>
          <cell r="F81">
            <v>314584.79184375005</v>
          </cell>
          <cell r="G81">
            <v>476998.81818750012</v>
          </cell>
          <cell r="H81">
            <v>558146.59453125019</v>
          </cell>
          <cell r="I81">
            <v>630972.29587500019</v>
          </cell>
          <cell r="J81">
            <v>715681.68843750027</v>
          </cell>
          <cell r="K81">
            <v>801125.40600000031</v>
          </cell>
          <cell r="L81">
            <v>898387.47356250032</v>
          </cell>
          <cell r="M81">
            <v>986975.53612500033</v>
          </cell>
          <cell r="N81">
            <v>96707.983781250019</v>
          </cell>
          <cell r="O81">
            <v>249034.01756250006</v>
          </cell>
          <cell r="P81">
            <v>346750.84134375007</v>
          </cell>
          <cell r="Q81">
            <v>453522.04012500012</v>
          </cell>
          <cell r="R81">
            <v>588698.0651250002</v>
          </cell>
          <cell r="S81">
            <v>784523.29012500029</v>
          </cell>
          <cell r="T81">
            <v>934848.26512500038</v>
          </cell>
          <cell r="U81">
            <v>1060649.5151250004</v>
          </cell>
          <cell r="V81">
            <v>1199350.3901250004</v>
          </cell>
          <cell r="W81">
            <v>1329098.2901250003</v>
          </cell>
          <cell r="X81">
            <v>1498481.5151250004</v>
          </cell>
          <cell r="Y81">
            <v>1822593.7901250005</v>
          </cell>
          <cell r="Z81">
            <v>234851.04121875009</v>
          </cell>
          <cell r="AA81">
            <v>355779.48243750015</v>
          </cell>
          <cell r="AB81">
            <v>474881.8236562502</v>
          </cell>
          <cell r="AC81">
            <v>582079.56487500027</v>
          </cell>
          <cell r="AD81">
            <v>712822.88109375036</v>
          </cell>
          <cell r="AE81">
            <v>845717.79731250042</v>
          </cell>
          <cell r="AF81">
            <v>978512.73853125051</v>
          </cell>
          <cell r="AG81">
            <v>1111010.0797500005</v>
          </cell>
          <cell r="AH81">
            <v>1243023.7459687507</v>
          </cell>
          <cell r="AI81">
            <v>1380834.0871875007</v>
          </cell>
          <cell r="AJ81">
            <v>1513825.3784062508</v>
          </cell>
          <cell r="AK81">
            <v>1643631.5696250009</v>
          </cell>
          <cell r="AL81">
            <v>132105.39121875007</v>
          </cell>
          <cell r="AM81">
            <v>260978.88243750014</v>
          </cell>
          <cell r="AN81">
            <v>401186.52365625021</v>
          </cell>
          <cell r="AO81">
            <v>540197.0898750003</v>
          </cell>
          <cell r="AP81">
            <v>680851.37231250037</v>
          </cell>
          <cell r="AQ81">
            <v>837339.65475000045</v>
          </cell>
          <cell r="AR81">
            <v>979911.23718750058</v>
          </cell>
          <cell r="AS81">
            <v>1117314.9446250007</v>
          </cell>
          <cell r="AT81">
            <v>1269371.3270625006</v>
          </cell>
          <cell r="AU81">
            <v>1437417.4845000007</v>
          </cell>
          <cell r="AV81">
            <v>1617620.7669375008</v>
          </cell>
          <cell r="AW81">
            <v>1940233.449375001</v>
          </cell>
          <cell r="AX81">
            <v>2545180.5568125015</v>
          </cell>
          <cell r="AY81">
            <v>3962439.1642500022</v>
          </cell>
          <cell r="AZ81">
            <v>5747782.4291250035</v>
          </cell>
          <cell r="BA81">
            <v>5924305.0541250035</v>
          </cell>
          <cell r="BB81">
            <v>5924305.0541250035</v>
          </cell>
        </row>
        <row r="82">
          <cell r="A82" t="str">
            <v>ytd</v>
          </cell>
          <cell r="B82">
            <v>64190.14762500002</v>
          </cell>
          <cell r="C82">
            <v>128380.29525000004</v>
          </cell>
          <cell r="D82">
            <v>184062.25537500007</v>
          </cell>
          <cell r="E82">
            <v>245659.01550000007</v>
          </cell>
          <cell r="F82">
            <v>314584.79184375005</v>
          </cell>
          <cell r="G82">
            <v>476998.81818750012</v>
          </cell>
          <cell r="H82">
            <v>558146.59453125019</v>
          </cell>
          <cell r="I82">
            <v>630972.29587500019</v>
          </cell>
          <cell r="J82">
            <v>715681.68843750027</v>
          </cell>
          <cell r="K82">
            <v>801125.40600000031</v>
          </cell>
          <cell r="L82">
            <v>898387.47356250032</v>
          </cell>
          <cell r="M82">
            <v>986975.53612500033</v>
          </cell>
          <cell r="N82">
            <v>1083683.5199062503</v>
          </cell>
          <cell r="O82">
            <v>1236009.5536875003</v>
          </cell>
          <cell r="P82">
            <v>1333726.3774687503</v>
          </cell>
          <cell r="Q82">
            <v>1440497.5762500004</v>
          </cell>
          <cell r="R82">
            <v>1575673.6012500005</v>
          </cell>
          <cell r="S82">
            <v>1771498.8262500006</v>
          </cell>
          <cell r="T82">
            <v>1921823.8012500007</v>
          </cell>
          <cell r="U82">
            <v>2047625.0512500007</v>
          </cell>
          <cell r="V82">
            <v>2186325.9262500009</v>
          </cell>
          <cell r="W82">
            <v>2316073.8262500009</v>
          </cell>
          <cell r="X82">
            <v>2485457.0512500009</v>
          </cell>
          <cell r="Y82">
            <v>2809569.3262500009</v>
          </cell>
          <cell r="Z82">
            <v>3044420.367468751</v>
          </cell>
          <cell r="AA82">
            <v>3165348.8086875011</v>
          </cell>
          <cell r="AB82">
            <v>3284451.1499062511</v>
          </cell>
          <cell r="AC82">
            <v>3391648.891125001</v>
          </cell>
          <cell r="AD82">
            <v>3522392.2073437511</v>
          </cell>
          <cell r="AE82">
            <v>3655287.1235625013</v>
          </cell>
          <cell r="AF82">
            <v>3788082.0647812514</v>
          </cell>
          <cell r="AG82">
            <v>3920579.4060000014</v>
          </cell>
          <cell r="AH82">
            <v>4052593.0722187515</v>
          </cell>
          <cell r="AI82">
            <v>4190403.4134375015</v>
          </cell>
          <cell r="AJ82">
            <v>4323394.7046562517</v>
          </cell>
          <cell r="AK82">
            <v>4453200.8958750013</v>
          </cell>
          <cell r="AL82">
            <v>4585306.2870937511</v>
          </cell>
          <cell r="AM82">
            <v>4714179.7783125015</v>
          </cell>
          <cell r="AN82">
            <v>4854387.4195312513</v>
          </cell>
          <cell r="AO82">
            <v>4993397.9857500009</v>
          </cell>
          <cell r="AP82">
            <v>5134052.2681875005</v>
          </cell>
          <cell r="AQ82">
            <v>5290540.5506250001</v>
          </cell>
          <cell r="AR82">
            <v>5433112.1330625005</v>
          </cell>
          <cell r="AS82">
            <v>5570515.8405000009</v>
          </cell>
          <cell r="AT82">
            <v>5722572.222937501</v>
          </cell>
          <cell r="AU82">
            <v>5890618.3803750016</v>
          </cell>
          <cell r="AV82">
            <v>6070821.6628125021</v>
          </cell>
          <cell r="AW82">
            <v>6393434.3452500021</v>
          </cell>
          <cell r="AX82">
            <v>6998381.4526875019</v>
          </cell>
          <cell r="AY82">
            <v>8415640.0601250026</v>
          </cell>
          <cell r="AZ82">
            <v>10200983.325000003</v>
          </cell>
          <cell r="BA82">
            <v>10377505.950000003</v>
          </cell>
          <cell r="BB82">
            <v>10377505.950000003</v>
          </cell>
        </row>
        <row r="83">
          <cell r="A83" t="str">
            <v>PART</v>
          </cell>
          <cell r="B83">
            <v>5486583.5574344639</v>
          </cell>
          <cell r="C83">
            <v>5486583.5574344639</v>
          </cell>
          <cell r="D83">
            <v>4833579.148027123</v>
          </cell>
          <cell r="E83">
            <v>4752944.6658318313</v>
          </cell>
          <cell r="F83">
            <v>4602959.6214199178</v>
          </cell>
          <cell r="G83">
            <v>8382785.1329569044</v>
          </cell>
          <cell r="H83">
            <v>5151250.4233460203</v>
          </cell>
          <cell r="I83">
            <v>4556222.1017607674</v>
          </cell>
          <cell r="J83">
            <v>4680012.8238629596</v>
          </cell>
          <cell r="K83">
            <v>5021128.3513817405</v>
          </cell>
          <cell r="L83">
            <v>5300073.4526051451</v>
          </cell>
          <cell r="M83">
            <v>4989550.5500320951</v>
          </cell>
          <cell r="N83">
            <v>5263425.6263340963</v>
          </cell>
          <cell r="O83">
            <v>8105447.7236114545</v>
          </cell>
          <cell r="P83">
            <v>5465237.3226725934</v>
          </cell>
          <cell r="Q83">
            <v>5617053.7938855682</v>
          </cell>
          <cell r="R83">
            <v>6607463.0893422989</v>
          </cell>
          <cell r="S83">
            <v>12022706.316854434</v>
          </cell>
          <cell r="T83">
            <v>8850913.1993380748</v>
          </cell>
          <cell r="U83">
            <v>6400516.3237662688</v>
          </cell>
          <cell r="V83">
            <v>7963306.1169920024</v>
          </cell>
          <cell r="W83">
            <v>7582479.3871581024</v>
          </cell>
          <cell r="X83">
            <v>9881996.7303997278</v>
          </cell>
          <cell r="Y83">
            <v>15400702.150339184</v>
          </cell>
          <cell r="Z83">
            <v>10236630.76501401</v>
          </cell>
          <cell r="AA83">
            <v>6993041.140644215</v>
          </cell>
          <cell r="AB83">
            <v>5957019.0156380367</v>
          </cell>
          <cell r="AC83">
            <v>5857233.6037770603</v>
          </cell>
          <cell r="AD83">
            <v>6354294.8103507236</v>
          </cell>
          <cell r="AE83">
            <v>6159698.2210410479</v>
          </cell>
          <cell r="AF83">
            <v>6314963.0974198598</v>
          </cell>
          <cell r="AG83">
            <v>6268878.7348361099</v>
          </cell>
          <cell r="AH83">
            <v>6409035.7594387438</v>
          </cell>
          <cell r="AI83">
            <v>6855953.3378594546</v>
          </cell>
          <cell r="AJ83">
            <v>6183919.0411375556</v>
          </cell>
          <cell r="AK83">
            <v>6238840.63383142</v>
          </cell>
          <cell r="AL83">
            <v>6263964.111698254</v>
          </cell>
          <cell r="AM83">
            <v>6330866.3235848462</v>
          </cell>
          <cell r="AN83">
            <v>6040471.1573459785</v>
          </cell>
          <cell r="AO83">
            <v>6266169.0771411043</v>
          </cell>
          <cell r="AP83">
            <v>6353509.9996953048</v>
          </cell>
          <cell r="AQ83">
            <v>6664167.9454835616</v>
          </cell>
          <cell r="AR83">
            <v>6715311.0146226352</v>
          </cell>
          <cell r="AS83">
            <v>6454934.692693688</v>
          </cell>
          <cell r="AT83">
            <v>7477292.3576519657</v>
          </cell>
          <cell r="AU83">
            <v>8131999.5380328726</v>
          </cell>
          <cell r="AV83">
            <v>9203857.5050400849</v>
          </cell>
          <cell r="AW83">
            <v>16791284.739384547</v>
          </cell>
          <cell r="AX83">
            <v>31194848.964984603</v>
          </cell>
          <cell r="AY83">
            <v>70053566.78163442</v>
          </cell>
          <cell r="AZ83">
            <v>83222751.496100187</v>
          </cell>
          <cell r="BA83">
            <v>10585846.492133101</v>
          </cell>
          <cell r="BB83">
            <v>0</v>
          </cell>
        </row>
        <row r="84">
          <cell r="A84" t="str">
            <v>ptd</v>
          </cell>
          <cell r="B84">
            <v>5486583.5574344639</v>
          </cell>
          <cell r="C84">
            <v>10973167.114868928</v>
          </cell>
          <cell r="D84">
            <v>15806746.26289605</v>
          </cell>
          <cell r="E84">
            <v>20559690.92872788</v>
          </cell>
          <cell r="F84">
            <v>4602959.6214199178</v>
          </cell>
          <cell r="G84">
            <v>12985744.754376821</v>
          </cell>
          <cell r="H84">
            <v>18136995.177722842</v>
          </cell>
          <cell r="I84">
            <v>22693217.279483609</v>
          </cell>
          <cell r="J84">
            <v>4680012.8238629596</v>
          </cell>
          <cell r="K84">
            <v>9701141.1752447002</v>
          </cell>
          <cell r="L84">
            <v>15001214.627849845</v>
          </cell>
          <cell r="M84">
            <v>19990765.177881941</v>
          </cell>
          <cell r="N84">
            <v>5263425.6263340963</v>
          </cell>
          <cell r="O84">
            <v>13368873.349945551</v>
          </cell>
          <cell r="P84">
            <v>18834110.672618143</v>
          </cell>
          <cell r="Q84">
            <v>24451164.46650371</v>
          </cell>
          <cell r="R84">
            <v>6607463.0893422989</v>
          </cell>
          <cell r="S84">
            <v>18630169.406196732</v>
          </cell>
          <cell r="T84">
            <v>27481082.605534807</v>
          </cell>
          <cell r="U84">
            <v>33881598.929301076</v>
          </cell>
          <cell r="V84">
            <v>7963306.1169920024</v>
          </cell>
          <cell r="W84">
            <v>15545785.504150104</v>
          </cell>
          <cell r="X84">
            <v>25427782.234549832</v>
          </cell>
          <cell r="Y84">
            <v>40828484.384889014</v>
          </cell>
          <cell r="Z84">
            <v>10236630.76501401</v>
          </cell>
          <cell r="AA84">
            <v>17229671.905658223</v>
          </cell>
          <cell r="AB84">
            <v>23186690.921296261</v>
          </cell>
          <cell r="AC84">
            <v>29043924.52507332</v>
          </cell>
          <cell r="AD84">
            <v>6354294.8103507236</v>
          </cell>
          <cell r="AE84">
            <v>12513993.031391772</v>
          </cell>
          <cell r="AF84">
            <v>18828956.128811631</v>
          </cell>
          <cell r="AG84">
            <v>25097834.86364774</v>
          </cell>
          <cell r="AH84">
            <v>6409035.7594387438</v>
          </cell>
          <cell r="AI84">
            <v>13264989.097298197</v>
          </cell>
          <cell r="AJ84">
            <v>19448908.138435751</v>
          </cell>
          <cell r="AK84">
            <v>25687748.77226717</v>
          </cell>
          <cell r="AL84">
            <v>6263964.111698254</v>
          </cell>
          <cell r="AM84">
            <v>12594830.4352831</v>
          </cell>
          <cell r="AN84">
            <v>18635301.592629079</v>
          </cell>
          <cell r="AO84">
            <v>24901470.669770181</v>
          </cell>
          <cell r="AP84">
            <v>6353509.9996953048</v>
          </cell>
          <cell r="AQ84">
            <v>13017677.945178866</v>
          </cell>
          <cell r="AR84">
            <v>19732988.959801503</v>
          </cell>
          <cell r="AS84">
            <v>26187923.652495191</v>
          </cell>
          <cell r="AT84">
            <v>7477292.3576519657</v>
          </cell>
          <cell r="AU84">
            <v>15609291.895684838</v>
          </cell>
          <cell r="AV84">
            <v>24813149.400724925</v>
          </cell>
          <cell r="AW84">
            <v>41604434.140109472</v>
          </cell>
          <cell r="AX84">
            <v>31194848.964984603</v>
          </cell>
          <cell r="AY84">
            <v>101248415.74661902</v>
          </cell>
          <cell r="AZ84">
            <v>184471167.2427192</v>
          </cell>
          <cell r="BA84">
            <v>195057013.73485231</v>
          </cell>
          <cell r="BB84">
            <v>195057013.73485231</v>
          </cell>
        </row>
        <row r="85">
          <cell r="A85" t="str">
            <v>qtd</v>
          </cell>
          <cell r="B85">
            <v>5486583.5574344639</v>
          </cell>
          <cell r="C85">
            <v>10973167.114868928</v>
          </cell>
          <cell r="D85">
            <v>15806746.26289605</v>
          </cell>
          <cell r="E85">
            <v>20559690.92872788</v>
          </cell>
          <cell r="F85">
            <v>25162650.550147798</v>
          </cell>
          <cell r="G85">
            <v>33545435.683104701</v>
          </cell>
          <cell r="H85">
            <v>38696686.106450722</v>
          </cell>
          <cell r="I85">
            <v>43252908.208211489</v>
          </cell>
          <cell r="J85">
            <v>47932921.032074451</v>
          </cell>
          <cell r="K85">
            <v>52954049.383456193</v>
          </cell>
          <cell r="L85">
            <v>58254122.836061336</v>
          </cell>
          <cell r="M85">
            <v>63243673.38609343</v>
          </cell>
          <cell r="N85">
            <v>5263425.6263340963</v>
          </cell>
          <cell r="O85">
            <v>13368873.349945551</v>
          </cell>
          <cell r="P85">
            <v>18834110.672618143</v>
          </cell>
          <cell r="Q85">
            <v>24451164.46650371</v>
          </cell>
          <cell r="R85">
            <v>31058627.555846009</v>
          </cell>
          <cell r="S85">
            <v>43081333.872700445</v>
          </cell>
          <cell r="T85">
            <v>51932247.072038516</v>
          </cell>
          <cell r="U85">
            <v>58332763.395804785</v>
          </cell>
          <cell r="V85">
            <v>66296069.512796789</v>
          </cell>
          <cell r="W85">
            <v>73878548.899954885</v>
          </cell>
          <cell r="X85">
            <v>83760545.630354613</v>
          </cell>
          <cell r="Y85">
            <v>99161247.780693799</v>
          </cell>
          <cell r="Z85">
            <v>10236630.76501401</v>
          </cell>
          <cell r="AA85">
            <v>17229671.905658223</v>
          </cell>
          <cell r="AB85">
            <v>23186690.921296261</v>
          </cell>
          <cell r="AC85">
            <v>29043924.52507332</v>
          </cell>
          <cell r="AD85">
            <v>35398219.335424043</v>
          </cell>
          <cell r="AE85">
            <v>41557917.556465089</v>
          </cell>
          <cell r="AF85">
            <v>47872880.653884947</v>
          </cell>
          <cell r="AG85">
            <v>54141759.388721056</v>
          </cell>
          <cell r="AH85">
            <v>60550795.148159802</v>
          </cell>
          <cell r="AI85">
            <v>67406748.486019254</v>
          </cell>
          <cell r="AJ85">
            <v>73590667.527156815</v>
          </cell>
          <cell r="AK85">
            <v>79829508.160988241</v>
          </cell>
          <cell r="AL85">
            <v>6263964.111698254</v>
          </cell>
          <cell r="AM85">
            <v>12594830.4352831</v>
          </cell>
          <cell r="AN85">
            <v>18635301.592629079</v>
          </cell>
          <cell r="AO85">
            <v>24901470.669770181</v>
          </cell>
          <cell r="AP85">
            <v>31254980.669465486</v>
          </cell>
          <cell r="AQ85">
            <v>37919148.614949048</v>
          </cell>
          <cell r="AR85">
            <v>44634459.629571684</v>
          </cell>
          <cell r="AS85">
            <v>51089394.322265372</v>
          </cell>
          <cell r="AT85">
            <v>58566686.679917336</v>
          </cell>
          <cell r="AU85">
            <v>66698686.21795021</v>
          </cell>
          <cell r="AV85">
            <v>75902543.722990289</v>
          </cell>
          <cell r="AW85">
            <v>92693828.462374836</v>
          </cell>
          <cell r="AX85">
            <v>123888677.42735943</v>
          </cell>
          <cell r="AY85">
            <v>193942244.20899385</v>
          </cell>
          <cell r="AZ85">
            <v>277164995.70509404</v>
          </cell>
          <cell r="BA85">
            <v>287750842.19722712</v>
          </cell>
          <cell r="BB85">
            <v>287750842.19722712</v>
          </cell>
        </row>
        <row r="86">
          <cell r="A86" t="str">
            <v>ytd</v>
          </cell>
          <cell r="B86">
            <v>5486583.5574344639</v>
          </cell>
          <cell r="C86">
            <v>10973167.114868928</v>
          </cell>
          <cell r="D86">
            <v>15806746.26289605</v>
          </cell>
          <cell r="E86">
            <v>20559690.92872788</v>
          </cell>
          <cell r="F86">
            <v>25162650.550147798</v>
          </cell>
          <cell r="G86">
            <v>33545435.683104701</v>
          </cell>
          <cell r="H86">
            <v>38696686.106450722</v>
          </cell>
          <cell r="I86">
            <v>43252908.208211489</v>
          </cell>
          <cell r="J86">
            <v>47932921.032074451</v>
          </cell>
          <cell r="K86">
            <v>52954049.383456193</v>
          </cell>
          <cell r="L86">
            <v>58254122.836061336</v>
          </cell>
          <cell r="M86">
            <v>63243673.38609343</v>
          </cell>
          <cell r="N86">
            <v>68507099.012427524</v>
          </cell>
          <cell r="O86">
            <v>76612546.736038983</v>
          </cell>
          <cell r="P86">
            <v>82077784.058711573</v>
          </cell>
          <cell r="Q86">
            <v>87694837.852597147</v>
          </cell>
          <cell r="R86">
            <v>94302300.941939443</v>
          </cell>
          <cell r="S86">
            <v>106325007.25879388</v>
          </cell>
          <cell r="T86">
            <v>115175920.45813195</v>
          </cell>
          <cell r="U86">
            <v>121576436.78189823</v>
          </cell>
          <cell r="V86">
            <v>129539742.89889023</v>
          </cell>
          <cell r="W86">
            <v>137122222.28604832</v>
          </cell>
          <cell r="X86">
            <v>147004219.01644805</v>
          </cell>
          <cell r="Y86">
            <v>162404921.16678724</v>
          </cell>
          <cell r="Z86">
            <v>172641551.93180126</v>
          </cell>
          <cell r="AA86">
            <v>179634593.07244548</v>
          </cell>
          <cell r="AB86">
            <v>185591612.08808351</v>
          </cell>
          <cell r="AC86">
            <v>191448845.69186056</v>
          </cell>
          <cell r="AD86">
            <v>197803140.50221127</v>
          </cell>
          <cell r="AE86">
            <v>203962838.72325233</v>
          </cell>
          <cell r="AF86">
            <v>210277801.82067218</v>
          </cell>
          <cell r="AG86">
            <v>216546680.55550829</v>
          </cell>
          <cell r="AH86">
            <v>222955716.31494704</v>
          </cell>
          <cell r="AI86">
            <v>229811669.65280649</v>
          </cell>
          <cell r="AJ86">
            <v>235995588.69394404</v>
          </cell>
          <cell r="AK86">
            <v>242234429.32777545</v>
          </cell>
          <cell r="AL86">
            <v>248498393.43947369</v>
          </cell>
          <cell r="AM86">
            <v>254829259.76305854</v>
          </cell>
          <cell r="AN86">
            <v>260869730.92040452</v>
          </cell>
          <cell r="AO86">
            <v>267135899.99754563</v>
          </cell>
          <cell r="AP86">
            <v>273489409.99724096</v>
          </cell>
          <cell r="AQ86">
            <v>280153577.94272453</v>
          </cell>
          <cell r="AR86">
            <v>286868888.95734715</v>
          </cell>
          <cell r="AS86">
            <v>293323823.65004086</v>
          </cell>
          <cell r="AT86">
            <v>300801116.00769281</v>
          </cell>
          <cell r="AU86">
            <v>308933115.5457257</v>
          </cell>
          <cell r="AV86">
            <v>318136973.05076581</v>
          </cell>
          <cell r="AW86">
            <v>334928257.79015034</v>
          </cell>
          <cell r="AX86">
            <v>366123106.75513494</v>
          </cell>
          <cell r="AY86">
            <v>436176673.53676939</v>
          </cell>
          <cell r="AZ86">
            <v>519399425.03286958</v>
          </cell>
          <cell r="BA86">
            <v>529985271.52500266</v>
          </cell>
          <cell r="BB86">
            <v>529985271.52500266</v>
          </cell>
        </row>
        <row r="87">
          <cell r="A87" t="str">
            <v>PRED</v>
          </cell>
          <cell r="B87">
            <v>1695530</v>
          </cell>
          <cell r="C87">
            <v>1736574</v>
          </cell>
          <cell r="D87">
            <v>1755757</v>
          </cell>
          <cell r="E87">
            <v>1856935</v>
          </cell>
          <cell r="F87">
            <v>2039139</v>
          </cell>
          <cell r="G87">
            <v>2004544</v>
          </cell>
          <cell r="H87">
            <v>1990558</v>
          </cell>
          <cell r="I87">
            <v>1988169</v>
          </cell>
          <cell r="J87">
            <v>2198418</v>
          </cell>
          <cell r="K87">
            <v>2157601</v>
          </cell>
          <cell r="L87">
            <v>2065431</v>
          </cell>
          <cell r="M87">
            <v>2183508</v>
          </cell>
          <cell r="N87">
            <v>2213600</v>
          </cell>
          <cell r="O87">
            <v>2292289</v>
          </cell>
          <cell r="P87">
            <v>2110415</v>
          </cell>
          <cell r="Q87">
            <v>2134528</v>
          </cell>
          <cell r="R87">
            <v>2212894</v>
          </cell>
          <cell r="S87">
            <v>2423573</v>
          </cell>
          <cell r="T87">
            <v>2224293</v>
          </cell>
          <cell r="U87">
            <v>2284001</v>
          </cell>
          <cell r="V87">
            <v>2354085</v>
          </cell>
          <cell r="W87">
            <v>2422090</v>
          </cell>
          <cell r="X87">
            <v>2515507</v>
          </cell>
          <cell r="Y87">
            <v>2487437</v>
          </cell>
          <cell r="Z87">
            <v>2621956</v>
          </cell>
          <cell r="AA87">
            <v>2562602</v>
          </cell>
          <cell r="AB87">
            <v>2539495</v>
          </cell>
          <cell r="AC87">
            <v>2505983</v>
          </cell>
          <cell r="AD87">
            <v>2649043</v>
          </cell>
          <cell r="AE87">
            <v>2543203</v>
          </cell>
          <cell r="AF87">
            <v>2662429</v>
          </cell>
          <cell r="AG87">
            <v>2565132</v>
          </cell>
          <cell r="AH87">
            <v>2606547</v>
          </cell>
          <cell r="AI87">
            <v>2634527</v>
          </cell>
          <cell r="AJ87">
            <v>2665652</v>
          </cell>
          <cell r="AK87">
            <v>2630685</v>
          </cell>
          <cell r="AL87">
            <v>2752402</v>
          </cell>
          <cell r="AM87">
            <v>2759891</v>
          </cell>
          <cell r="AN87">
            <v>2751001</v>
          </cell>
          <cell r="AO87">
            <v>2894270</v>
          </cell>
          <cell r="AP87">
            <v>2832006</v>
          </cell>
          <cell r="AQ87">
            <v>2888717</v>
          </cell>
          <cell r="AR87">
            <v>2795846</v>
          </cell>
          <cell r="AS87">
            <v>2916702</v>
          </cell>
          <cell r="AT87">
            <v>2962538</v>
          </cell>
          <cell r="AU87">
            <v>2927023</v>
          </cell>
          <cell r="AV87">
            <v>2892489</v>
          </cell>
          <cell r="AW87">
            <v>3182661</v>
          </cell>
          <cell r="AX87">
            <v>3311049</v>
          </cell>
          <cell r="AY87">
            <v>3343578</v>
          </cell>
          <cell r="AZ87">
            <v>3327023</v>
          </cell>
          <cell r="BA87">
            <v>3430707</v>
          </cell>
          <cell r="BB87">
            <v>0</v>
          </cell>
        </row>
        <row r="88">
          <cell r="A88" t="str">
            <v>ptd</v>
          </cell>
          <cell r="B88">
            <v>1695530</v>
          </cell>
          <cell r="C88">
            <v>3432104</v>
          </cell>
          <cell r="D88">
            <v>5187861</v>
          </cell>
          <cell r="E88">
            <v>7044796</v>
          </cell>
          <cell r="F88">
            <v>2039139</v>
          </cell>
          <cell r="G88">
            <v>4043683</v>
          </cell>
          <cell r="H88">
            <v>6034241</v>
          </cell>
          <cell r="I88">
            <v>8022410</v>
          </cell>
          <cell r="J88">
            <v>2198418</v>
          </cell>
          <cell r="K88">
            <v>4356019</v>
          </cell>
          <cell r="L88">
            <v>6421450</v>
          </cell>
          <cell r="M88">
            <v>8604958</v>
          </cell>
          <cell r="N88">
            <v>2213600</v>
          </cell>
          <cell r="O88">
            <v>4505889</v>
          </cell>
          <cell r="P88">
            <v>6616304</v>
          </cell>
          <cell r="Q88">
            <v>8750832</v>
          </cell>
          <cell r="R88">
            <v>2212894</v>
          </cell>
          <cell r="S88">
            <v>4636467</v>
          </cell>
          <cell r="T88">
            <v>6860760</v>
          </cell>
          <cell r="U88">
            <v>9144761</v>
          </cell>
          <cell r="V88">
            <v>2354085</v>
          </cell>
          <cell r="W88">
            <v>4776175</v>
          </cell>
          <cell r="X88">
            <v>7291682</v>
          </cell>
          <cell r="Y88">
            <v>9779119</v>
          </cell>
          <cell r="Z88">
            <v>2621956</v>
          </cell>
          <cell r="AA88">
            <v>5184558</v>
          </cell>
          <cell r="AB88">
            <v>7724053</v>
          </cell>
          <cell r="AC88">
            <v>10230036</v>
          </cell>
          <cell r="AD88">
            <v>2649043</v>
          </cell>
          <cell r="AE88">
            <v>5192246</v>
          </cell>
          <cell r="AF88">
            <v>7854675</v>
          </cell>
          <cell r="AG88">
            <v>10419807</v>
          </cell>
          <cell r="AH88">
            <v>2606547</v>
          </cell>
          <cell r="AI88">
            <v>5241074</v>
          </cell>
          <cell r="AJ88">
            <v>7906726</v>
          </cell>
          <cell r="AK88">
            <v>10537411</v>
          </cell>
          <cell r="AL88">
            <v>2752402</v>
          </cell>
          <cell r="AM88">
            <v>5512293</v>
          </cell>
          <cell r="AN88">
            <v>8263294</v>
          </cell>
          <cell r="AO88">
            <v>11157564</v>
          </cell>
          <cell r="AP88">
            <v>2832006</v>
          </cell>
          <cell r="AQ88">
            <v>5720723</v>
          </cell>
          <cell r="AR88">
            <v>8516569</v>
          </cell>
          <cell r="AS88">
            <v>11433271</v>
          </cell>
          <cell r="AT88">
            <v>2962538</v>
          </cell>
          <cell r="AU88">
            <v>5889561</v>
          </cell>
          <cell r="AV88">
            <v>8782050</v>
          </cell>
          <cell r="AW88">
            <v>11964711</v>
          </cell>
          <cell r="AX88">
            <v>3311049</v>
          </cell>
          <cell r="AY88">
            <v>6654627</v>
          </cell>
          <cell r="AZ88">
            <v>9981650</v>
          </cell>
          <cell r="BA88">
            <v>13412357</v>
          </cell>
          <cell r="BB88">
            <v>13412357</v>
          </cell>
        </row>
        <row r="89">
          <cell r="A89" t="str">
            <v>qtd</v>
          </cell>
          <cell r="B89">
            <v>1695530</v>
          </cell>
          <cell r="C89">
            <v>3432104</v>
          </cell>
          <cell r="D89">
            <v>5187861</v>
          </cell>
          <cell r="E89">
            <v>7044796</v>
          </cell>
          <cell r="F89">
            <v>9083935</v>
          </cell>
          <cell r="G89">
            <v>11088479</v>
          </cell>
          <cell r="H89">
            <v>13079037</v>
          </cell>
          <cell r="I89">
            <v>15067206</v>
          </cell>
          <cell r="J89">
            <v>17265624</v>
          </cell>
          <cell r="K89">
            <v>19423225</v>
          </cell>
          <cell r="L89">
            <v>21488656</v>
          </cell>
          <cell r="M89">
            <v>23672164</v>
          </cell>
          <cell r="N89">
            <v>2213600</v>
          </cell>
          <cell r="O89">
            <v>4505889</v>
          </cell>
          <cell r="P89">
            <v>6616304</v>
          </cell>
          <cell r="Q89">
            <v>8750832</v>
          </cell>
          <cell r="R89">
            <v>10963726</v>
          </cell>
          <cell r="S89">
            <v>13387299</v>
          </cell>
          <cell r="T89">
            <v>15611592</v>
          </cell>
          <cell r="U89">
            <v>17895593</v>
          </cell>
          <cell r="V89">
            <v>20249678</v>
          </cell>
          <cell r="W89">
            <v>22671768</v>
          </cell>
          <cell r="X89">
            <v>25187275</v>
          </cell>
          <cell r="Y89">
            <v>27674712</v>
          </cell>
          <cell r="Z89">
            <v>2621956</v>
          </cell>
          <cell r="AA89">
            <v>5184558</v>
          </cell>
          <cell r="AB89">
            <v>7724053</v>
          </cell>
          <cell r="AC89">
            <v>10230036</v>
          </cell>
          <cell r="AD89">
            <v>12879079</v>
          </cell>
          <cell r="AE89">
            <v>15422282</v>
          </cell>
          <cell r="AF89">
            <v>18084711</v>
          </cell>
          <cell r="AG89">
            <v>20649843</v>
          </cell>
          <cell r="AH89">
            <v>23256390</v>
          </cell>
          <cell r="AI89">
            <v>25890917</v>
          </cell>
          <cell r="AJ89">
            <v>28556569</v>
          </cell>
          <cell r="AK89">
            <v>31187254</v>
          </cell>
          <cell r="AL89">
            <v>2752402</v>
          </cell>
          <cell r="AM89">
            <v>5512293</v>
          </cell>
          <cell r="AN89">
            <v>8263294</v>
          </cell>
          <cell r="AO89">
            <v>11157564</v>
          </cell>
          <cell r="AP89">
            <v>13989570</v>
          </cell>
          <cell r="AQ89">
            <v>16878287</v>
          </cell>
          <cell r="AR89">
            <v>19674133</v>
          </cell>
          <cell r="AS89">
            <v>22590835</v>
          </cell>
          <cell r="AT89">
            <v>25553373</v>
          </cell>
          <cell r="AU89">
            <v>28480396</v>
          </cell>
          <cell r="AV89">
            <v>31372885</v>
          </cell>
          <cell r="AW89">
            <v>34555546</v>
          </cell>
          <cell r="AX89">
            <v>37866595</v>
          </cell>
          <cell r="AY89">
            <v>41210173</v>
          </cell>
          <cell r="AZ89">
            <v>44537196</v>
          </cell>
          <cell r="BA89">
            <v>47967903</v>
          </cell>
          <cell r="BB89">
            <v>47967903</v>
          </cell>
        </row>
        <row r="90">
          <cell r="A90" t="str">
            <v>ytd</v>
          </cell>
          <cell r="B90">
            <v>1695530</v>
          </cell>
          <cell r="C90">
            <v>3432104</v>
          </cell>
          <cell r="D90">
            <v>5187861</v>
          </cell>
          <cell r="E90">
            <v>7044796</v>
          </cell>
          <cell r="F90">
            <v>9083935</v>
          </cell>
          <cell r="G90">
            <v>11088479</v>
          </cell>
          <cell r="H90">
            <v>13079037</v>
          </cell>
          <cell r="I90">
            <v>15067206</v>
          </cell>
          <cell r="J90">
            <v>17265624</v>
          </cell>
          <cell r="K90">
            <v>19423225</v>
          </cell>
          <cell r="L90">
            <v>21488656</v>
          </cell>
          <cell r="M90">
            <v>23672164</v>
          </cell>
          <cell r="N90">
            <v>25885764</v>
          </cell>
          <cell r="O90">
            <v>28178053</v>
          </cell>
          <cell r="P90">
            <v>30288468</v>
          </cell>
          <cell r="Q90">
            <v>32422996</v>
          </cell>
          <cell r="R90">
            <v>34635890</v>
          </cell>
          <cell r="S90">
            <v>37059463</v>
          </cell>
          <cell r="T90">
            <v>39283756</v>
          </cell>
          <cell r="U90">
            <v>41567757</v>
          </cell>
          <cell r="V90">
            <v>43921842</v>
          </cell>
          <cell r="W90">
            <v>46343932</v>
          </cell>
          <cell r="X90">
            <v>48859439</v>
          </cell>
          <cell r="Y90">
            <v>51346876</v>
          </cell>
          <cell r="Z90">
            <v>53968832</v>
          </cell>
          <cell r="AA90">
            <v>56531434</v>
          </cell>
          <cell r="AB90">
            <v>59070929</v>
          </cell>
          <cell r="AC90">
            <v>61576912</v>
          </cell>
          <cell r="AD90">
            <v>64225955</v>
          </cell>
          <cell r="AE90">
            <v>66769158</v>
          </cell>
          <cell r="AF90">
            <v>69431587</v>
          </cell>
          <cell r="AG90">
            <v>71996719</v>
          </cell>
          <cell r="AH90">
            <v>74603266</v>
          </cell>
          <cell r="AI90">
            <v>77237793</v>
          </cell>
          <cell r="AJ90">
            <v>79903445</v>
          </cell>
          <cell r="AK90">
            <v>82534130</v>
          </cell>
          <cell r="AL90">
            <v>85286532</v>
          </cell>
          <cell r="AM90">
            <v>88046423</v>
          </cell>
          <cell r="AN90">
            <v>90797424</v>
          </cell>
          <cell r="AO90">
            <v>93691694</v>
          </cell>
          <cell r="AP90">
            <v>96523700</v>
          </cell>
          <cell r="AQ90">
            <v>99412417</v>
          </cell>
          <cell r="AR90">
            <v>102208263</v>
          </cell>
          <cell r="AS90">
            <v>105124965</v>
          </cell>
          <cell r="AT90">
            <v>108087503</v>
          </cell>
          <cell r="AU90">
            <v>111014526</v>
          </cell>
          <cell r="AV90">
            <v>113907015</v>
          </cell>
          <cell r="AW90">
            <v>117089676</v>
          </cell>
          <cell r="AX90">
            <v>120400725</v>
          </cell>
          <cell r="AY90">
            <v>123744303</v>
          </cell>
          <cell r="AZ90">
            <v>127071326</v>
          </cell>
          <cell r="BA90">
            <v>130502033</v>
          </cell>
          <cell r="BB90">
            <v>130502033</v>
          </cell>
        </row>
        <row r="91">
          <cell r="A91" t="str">
            <v>PREG</v>
          </cell>
          <cell r="B91">
            <v>2574832</v>
          </cell>
          <cell r="C91">
            <v>2416804</v>
          </cell>
          <cell r="D91">
            <v>2311681</v>
          </cell>
          <cell r="E91">
            <v>2357837</v>
          </cell>
          <cell r="F91">
            <v>2532108</v>
          </cell>
          <cell r="G91">
            <v>3033873</v>
          </cell>
          <cell r="H91">
            <v>2350345</v>
          </cell>
          <cell r="I91">
            <v>2381287</v>
          </cell>
          <cell r="J91">
            <v>2503625</v>
          </cell>
          <cell r="K91">
            <v>2586500</v>
          </cell>
          <cell r="L91">
            <v>2542059</v>
          </cell>
          <cell r="M91">
            <v>2476629</v>
          </cell>
          <cell r="N91">
            <v>2534338</v>
          </cell>
          <cell r="O91">
            <v>3059783</v>
          </cell>
          <cell r="P91">
            <v>2643180</v>
          </cell>
          <cell r="Q91">
            <v>3203970</v>
          </cell>
          <cell r="R91">
            <v>3020090</v>
          </cell>
          <cell r="S91">
            <v>4696914</v>
          </cell>
          <cell r="T91">
            <v>4060627</v>
          </cell>
          <cell r="U91">
            <v>3948125</v>
          </cell>
          <cell r="V91">
            <v>4059298</v>
          </cell>
          <cell r="W91">
            <v>5001061</v>
          </cell>
          <cell r="X91">
            <v>5918736</v>
          </cell>
          <cell r="Y91">
            <v>4131039</v>
          </cell>
          <cell r="Z91">
            <v>3164297</v>
          </cell>
          <cell r="AA91">
            <v>2819580</v>
          </cell>
          <cell r="AB91">
            <v>2843422</v>
          </cell>
          <cell r="AC91">
            <v>2941272</v>
          </cell>
          <cell r="AD91">
            <v>2985764</v>
          </cell>
          <cell r="AE91">
            <v>3065443</v>
          </cell>
          <cell r="AF91">
            <v>3129116</v>
          </cell>
          <cell r="AG91">
            <v>3234146</v>
          </cell>
          <cell r="AH91">
            <v>3373942</v>
          </cell>
          <cell r="AI91">
            <v>3062488</v>
          </cell>
          <cell r="AJ91">
            <v>2753398</v>
          </cell>
          <cell r="AK91">
            <v>2901930</v>
          </cell>
          <cell r="AL91">
            <v>2957881</v>
          </cell>
          <cell r="AM91">
            <v>2956659</v>
          </cell>
          <cell r="AN91">
            <v>3029170</v>
          </cell>
          <cell r="AO91">
            <v>2899263</v>
          </cell>
          <cell r="AP91">
            <v>2865233</v>
          </cell>
          <cell r="AQ91">
            <v>2794429</v>
          </cell>
          <cell r="AR91">
            <v>2884021</v>
          </cell>
          <cell r="AS91">
            <v>2950919</v>
          </cell>
          <cell r="AT91">
            <v>2970132</v>
          </cell>
          <cell r="AU91">
            <v>3377068</v>
          </cell>
          <cell r="AV91">
            <v>3600964</v>
          </cell>
          <cell r="AW91">
            <v>5923768</v>
          </cell>
          <cell r="AX91">
            <v>11523769</v>
          </cell>
          <cell r="AY91">
            <v>28449914</v>
          </cell>
          <cell r="AZ91">
            <v>32163954</v>
          </cell>
          <cell r="BA91">
            <v>4922513</v>
          </cell>
          <cell r="BB91">
            <v>0</v>
          </cell>
        </row>
        <row r="92">
          <cell r="A92" t="str">
            <v>ptd</v>
          </cell>
          <cell r="B92">
            <v>2574832</v>
          </cell>
          <cell r="C92">
            <v>4991636</v>
          </cell>
          <cell r="D92">
            <v>7303317</v>
          </cell>
          <cell r="E92">
            <v>9661154</v>
          </cell>
          <cell r="F92">
            <v>2532108</v>
          </cell>
          <cell r="G92">
            <v>5565981</v>
          </cell>
          <cell r="H92">
            <v>7916326</v>
          </cell>
          <cell r="I92">
            <v>10297613</v>
          </cell>
          <cell r="J92">
            <v>2503625</v>
          </cell>
          <cell r="K92">
            <v>5090125</v>
          </cell>
          <cell r="L92">
            <v>7632184</v>
          </cell>
          <cell r="M92">
            <v>10108813</v>
          </cell>
          <cell r="N92">
            <v>2534338</v>
          </cell>
          <cell r="O92">
            <v>5594121</v>
          </cell>
          <cell r="P92">
            <v>8237301</v>
          </cell>
          <cell r="Q92">
            <v>11441271</v>
          </cell>
          <cell r="R92">
            <v>3020090</v>
          </cell>
          <cell r="S92">
            <v>7717004</v>
          </cell>
          <cell r="T92">
            <v>11777631</v>
          </cell>
          <cell r="U92">
            <v>15725756</v>
          </cell>
          <cell r="V92">
            <v>4059298</v>
          </cell>
          <cell r="W92">
            <v>9060359</v>
          </cell>
          <cell r="X92">
            <v>14979095</v>
          </cell>
          <cell r="Y92">
            <v>19110134</v>
          </cell>
          <cell r="Z92">
            <v>3164297</v>
          </cell>
          <cell r="AA92">
            <v>5983877</v>
          </cell>
          <cell r="AB92">
            <v>8827299</v>
          </cell>
          <cell r="AC92">
            <v>11768571</v>
          </cell>
          <cell r="AD92">
            <v>2985764</v>
          </cell>
          <cell r="AE92">
            <v>6051207</v>
          </cell>
          <cell r="AF92">
            <v>9180323</v>
          </cell>
          <cell r="AG92">
            <v>12414469</v>
          </cell>
          <cell r="AH92">
            <v>3373942</v>
          </cell>
          <cell r="AI92">
            <v>6436430</v>
          </cell>
          <cell r="AJ92">
            <v>9189828</v>
          </cell>
          <cell r="AK92">
            <v>12091758</v>
          </cell>
          <cell r="AL92">
            <v>2957881</v>
          </cell>
          <cell r="AM92">
            <v>5914540</v>
          </cell>
          <cell r="AN92">
            <v>8943710</v>
          </cell>
          <cell r="AO92">
            <v>11842973</v>
          </cell>
          <cell r="AP92">
            <v>2865233</v>
          </cell>
          <cell r="AQ92">
            <v>5659662</v>
          </cell>
          <cell r="AR92">
            <v>8543683</v>
          </cell>
          <cell r="AS92">
            <v>11494602</v>
          </cell>
          <cell r="AT92">
            <v>2970132</v>
          </cell>
          <cell r="AU92">
            <v>6347200</v>
          </cell>
          <cell r="AV92">
            <v>9948164</v>
          </cell>
          <cell r="AW92">
            <v>15871932</v>
          </cell>
          <cell r="AX92">
            <v>11523769</v>
          </cell>
          <cell r="AY92">
            <v>39973683</v>
          </cell>
          <cell r="AZ92">
            <v>72137637</v>
          </cell>
          <cell r="BA92">
            <v>77060150</v>
          </cell>
          <cell r="BB92">
            <v>77060150</v>
          </cell>
        </row>
        <row r="93">
          <cell r="A93" t="str">
            <v>qtd</v>
          </cell>
          <cell r="B93">
            <v>2574832</v>
          </cell>
          <cell r="C93">
            <v>4991636</v>
          </cell>
          <cell r="D93">
            <v>7303317</v>
          </cell>
          <cell r="E93">
            <v>9661154</v>
          </cell>
          <cell r="F93">
            <v>12193262</v>
          </cell>
          <cell r="G93">
            <v>15227135</v>
          </cell>
          <cell r="H93">
            <v>17577480</v>
          </cell>
          <cell r="I93">
            <v>19958767</v>
          </cell>
          <cell r="J93">
            <v>22462392</v>
          </cell>
          <cell r="K93">
            <v>25048892</v>
          </cell>
          <cell r="L93">
            <v>27590951</v>
          </cell>
          <cell r="M93">
            <v>30067580</v>
          </cell>
          <cell r="N93">
            <v>2534338</v>
          </cell>
          <cell r="O93">
            <v>5594121</v>
          </cell>
          <cell r="P93">
            <v>8237301</v>
          </cell>
          <cell r="Q93">
            <v>11441271</v>
          </cell>
          <cell r="R93">
            <v>14461361</v>
          </cell>
          <cell r="S93">
            <v>19158275</v>
          </cell>
          <cell r="T93">
            <v>23218902</v>
          </cell>
          <cell r="U93">
            <v>27167027</v>
          </cell>
          <cell r="V93">
            <v>31226325</v>
          </cell>
          <cell r="W93">
            <v>36227386</v>
          </cell>
          <cell r="X93">
            <v>42146122</v>
          </cell>
          <cell r="Y93">
            <v>46277161</v>
          </cell>
          <cell r="Z93">
            <v>3164297</v>
          </cell>
          <cell r="AA93">
            <v>5983877</v>
          </cell>
          <cell r="AB93">
            <v>8827299</v>
          </cell>
          <cell r="AC93">
            <v>11768571</v>
          </cell>
          <cell r="AD93">
            <v>14754335</v>
          </cell>
          <cell r="AE93">
            <v>17819778</v>
          </cell>
          <cell r="AF93">
            <v>20948894</v>
          </cell>
          <cell r="AG93">
            <v>24183040</v>
          </cell>
          <cell r="AH93">
            <v>27556982</v>
          </cell>
          <cell r="AI93">
            <v>30619470</v>
          </cell>
          <cell r="AJ93">
            <v>33372868</v>
          </cell>
          <cell r="AK93">
            <v>36274798</v>
          </cell>
          <cell r="AL93">
            <v>2957881</v>
          </cell>
          <cell r="AM93">
            <v>5914540</v>
          </cell>
          <cell r="AN93">
            <v>8943710</v>
          </cell>
          <cell r="AO93">
            <v>11842973</v>
          </cell>
          <cell r="AP93">
            <v>14708206</v>
          </cell>
          <cell r="AQ93">
            <v>17502635</v>
          </cell>
          <cell r="AR93">
            <v>20386656</v>
          </cell>
          <cell r="AS93">
            <v>23337575</v>
          </cell>
          <cell r="AT93">
            <v>26307707</v>
          </cell>
          <cell r="AU93">
            <v>29684775</v>
          </cell>
          <cell r="AV93">
            <v>33285739</v>
          </cell>
          <cell r="AW93">
            <v>39209507</v>
          </cell>
          <cell r="AX93">
            <v>50733276</v>
          </cell>
          <cell r="AY93">
            <v>79183190</v>
          </cell>
          <cell r="AZ93">
            <v>111347144</v>
          </cell>
          <cell r="BA93">
            <v>116269657</v>
          </cell>
          <cell r="BB93">
            <v>116269657</v>
          </cell>
        </row>
        <row r="94">
          <cell r="A94" t="str">
            <v>ytd</v>
          </cell>
          <cell r="B94">
            <v>2574832</v>
          </cell>
          <cell r="C94">
            <v>4991636</v>
          </cell>
          <cell r="D94">
            <v>7303317</v>
          </cell>
          <cell r="E94">
            <v>9661154</v>
          </cell>
          <cell r="F94">
            <v>12193262</v>
          </cell>
          <cell r="G94">
            <v>15227135</v>
          </cell>
          <cell r="H94">
            <v>17577480</v>
          </cell>
          <cell r="I94">
            <v>19958767</v>
          </cell>
          <cell r="J94">
            <v>22462392</v>
          </cell>
          <cell r="K94">
            <v>25048892</v>
          </cell>
          <cell r="L94">
            <v>27590951</v>
          </cell>
          <cell r="M94">
            <v>30067580</v>
          </cell>
          <cell r="N94">
            <v>32601918</v>
          </cell>
          <cell r="O94">
            <v>35661701</v>
          </cell>
          <cell r="P94">
            <v>38304881</v>
          </cell>
          <cell r="Q94">
            <v>41508851</v>
          </cell>
          <cell r="R94">
            <v>44528941</v>
          </cell>
          <cell r="S94">
            <v>49225855</v>
          </cell>
          <cell r="T94">
            <v>53286482</v>
          </cell>
          <cell r="U94">
            <v>57234607</v>
          </cell>
          <cell r="V94">
            <v>61293905</v>
          </cell>
          <cell r="W94">
            <v>66294966</v>
          </cell>
          <cell r="X94">
            <v>72213702</v>
          </cell>
          <cell r="Y94">
            <v>76344741</v>
          </cell>
          <cell r="Z94">
            <v>79509038</v>
          </cell>
          <cell r="AA94">
            <v>82328618</v>
          </cell>
          <cell r="AB94">
            <v>85172040</v>
          </cell>
          <cell r="AC94">
            <v>88113312</v>
          </cell>
          <cell r="AD94">
            <v>91099076</v>
          </cell>
          <cell r="AE94">
            <v>94164519</v>
          </cell>
          <cell r="AF94">
            <v>97293635</v>
          </cell>
          <cell r="AG94">
            <v>100527781</v>
          </cell>
          <cell r="AH94">
            <v>103901723</v>
          </cell>
          <cell r="AI94">
            <v>106964211</v>
          </cell>
          <cell r="AJ94">
            <v>109717609</v>
          </cell>
          <cell r="AK94">
            <v>112619539</v>
          </cell>
          <cell r="AL94">
            <v>115577420</v>
          </cell>
          <cell r="AM94">
            <v>118534079</v>
          </cell>
          <cell r="AN94">
            <v>121563249</v>
          </cell>
          <cell r="AO94">
            <v>124462512</v>
          </cell>
          <cell r="AP94">
            <v>127327745</v>
          </cell>
          <cell r="AQ94">
            <v>130122174</v>
          </cell>
          <cell r="AR94">
            <v>133006195</v>
          </cell>
          <cell r="AS94">
            <v>135957114</v>
          </cell>
          <cell r="AT94">
            <v>138927246</v>
          </cell>
          <cell r="AU94">
            <v>142304314</v>
          </cell>
          <cell r="AV94">
            <v>145905278</v>
          </cell>
          <cell r="AW94">
            <v>151829046</v>
          </cell>
          <cell r="AX94">
            <v>163352815</v>
          </cell>
          <cell r="AY94">
            <v>191802729</v>
          </cell>
          <cell r="AZ94">
            <v>223966683</v>
          </cell>
          <cell r="BA94">
            <v>228889196</v>
          </cell>
          <cell r="BB94">
            <v>228889196</v>
          </cell>
        </row>
        <row r="95">
          <cell r="A95" t="str">
            <v>SPRT</v>
          </cell>
          <cell r="B95">
            <v>56139</v>
          </cell>
          <cell r="C95">
            <v>56139</v>
          </cell>
          <cell r="D95">
            <v>45390</v>
          </cell>
          <cell r="E95">
            <v>46088</v>
          </cell>
          <cell r="F95">
            <v>48234</v>
          </cell>
          <cell r="G95">
            <v>104742</v>
          </cell>
          <cell r="H95">
            <v>51215</v>
          </cell>
          <cell r="I95">
            <v>48412</v>
          </cell>
          <cell r="J95">
            <v>52808</v>
          </cell>
          <cell r="K95">
            <v>59329</v>
          </cell>
          <cell r="L95">
            <v>58851</v>
          </cell>
          <cell r="M95">
            <v>69309</v>
          </cell>
          <cell r="N95">
            <v>69919</v>
          </cell>
          <cell r="O95">
            <v>90626</v>
          </cell>
          <cell r="P95">
            <v>60153</v>
          </cell>
          <cell r="Q95">
            <v>74076</v>
          </cell>
          <cell r="R95">
            <v>73924</v>
          </cell>
          <cell r="S95">
            <v>99118</v>
          </cell>
          <cell r="T95">
            <v>80352</v>
          </cell>
          <cell r="U95">
            <v>70173</v>
          </cell>
          <cell r="V95">
            <v>89658</v>
          </cell>
          <cell r="W95">
            <v>79049</v>
          </cell>
          <cell r="X95">
            <v>108859</v>
          </cell>
          <cell r="Y95">
            <v>207365</v>
          </cell>
          <cell r="Z95">
            <v>137339</v>
          </cell>
          <cell r="AA95">
            <v>57273</v>
          </cell>
          <cell r="AB95">
            <v>49726</v>
          </cell>
          <cell r="AC95">
            <v>48270</v>
          </cell>
          <cell r="AD95">
            <v>53628</v>
          </cell>
          <cell r="AE95">
            <v>50772</v>
          </cell>
          <cell r="AF95">
            <v>51435</v>
          </cell>
          <cell r="AG95">
            <v>52557</v>
          </cell>
          <cell r="AH95">
            <v>54393</v>
          </cell>
          <cell r="AI95">
            <v>53118</v>
          </cell>
          <cell r="AJ95">
            <v>48400</v>
          </cell>
          <cell r="AK95">
            <v>51001</v>
          </cell>
          <cell r="AL95">
            <v>50605</v>
          </cell>
          <cell r="AM95">
            <v>52263</v>
          </cell>
          <cell r="AN95">
            <v>48718</v>
          </cell>
          <cell r="AO95">
            <v>47469</v>
          </cell>
          <cell r="AP95">
            <v>45276</v>
          </cell>
          <cell r="AQ95">
            <v>47673</v>
          </cell>
          <cell r="AR95">
            <v>41169</v>
          </cell>
          <cell r="AS95">
            <v>42011</v>
          </cell>
          <cell r="AT95">
            <v>45556</v>
          </cell>
          <cell r="AU95">
            <v>46500</v>
          </cell>
          <cell r="AV95">
            <v>48718</v>
          </cell>
          <cell r="AW95">
            <v>95944</v>
          </cell>
          <cell r="AX95">
            <v>178196</v>
          </cell>
          <cell r="AY95">
            <v>462447</v>
          </cell>
          <cell r="AZ95">
            <v>701895</v>
          </cell>
          <cell r="BA95">
            <v>58269</v>
          </cell>
          <cell r="BB95">
            <v>0</v>
          </cell>
        </row>
        <row r="96">
          <cell r="A96" t="str">
            <v>ptd</v>
          </cell>
          <cell r="B96">
            <v>56139</v>
          </cell>
          <cell r="C96">
            <v>112278</v>
          </cell>
          <cell r="D96">
            <v>157668</v>
          </cell>
          <cell r="E96">
            <v>203756</v>
          </cell>
          <cell r="F96">
            <v>48234</v>
          </cell>
          <cell r="G96">
            <v>152976</v>
          </cell>
          <cell r="H96">
            <v>204191</v>
          </cell>
          <cell r="I96">
            <v>252603</v>
          </cell>
          <cell r="J96">
            <v>52808</v>
          </cell>
          <cell r="K96">
            <v>112137</v>
          </cell>
          <cell r="L96">
            <v>170988</v>
          </cell>
          <cell r="M96">
            <v>240297</v>
          </cell>
          <cell r="N96">
            <v>69919</v>
          </cell>
          <cell r="O96">
            <v>160545</v>
          </cell>
          <cell r="P96">
            <v>220698</v>
          </cell>
          <cell r="Q96">
            <v>294774</v>
          </cell>
          <cell r="R96">
            <v>73924</v>
          </cell>
          <cell r="S96">
            <v>173042</v>
          </cell>
          <cell r="T96">
            <v>253394</v>
          </cell>
          <cell r="U96">
            <v>323567</v>
          </cell>
          <cell r="V96">
            <v>89658</v>
          </cell>
          <cell r="W96">
            <v>168707</v>
          </cell>
          <cell r="X96">
            <v>277566</v>
          </cell>
          <cell r="Y96">
            <v>484931</v>
          </cell>
          <cell r="Z96">
            <v>137339</v>
          </cell>
          <cell r="AA96">
            <v>194612</v>
          </cell>
          <cell r="AB96">
            <v>244338</v>
          </cell>
          <cell r="AC96">
            <v>292608</v>
          </cell>
          <cell r="AD96">
            <v>53628</v>
          </cell>
          <cell r="AE96">
            <v>104400</v>
          </cell>
          <cell r="AF96">
            <v>155835</v>
          </cell>
          <cell r="AG96">
            <v>208392</v>
          </cell>
          <cell r="AH96">
            <v>54393</v>
          </cell>
          <cell r="AI96">
            <v>107511</v>
          </cell>
          <cell r="AJ96">
            <v>155911</v>
          </cell>
          <cell r="AK96">
            <v>206912</v>
          </cell>
          <cell r="AL96">
            <v>50605</v>
          </cell>
          <cell r="AM96">
            <v>102868</v>
          </cell>
          <cell r="AN96">
            <v>151586</v>
          </cell>
          <cell r="AO96">
            <v>199055</v>
          </cell>
          <cell r="AP96">
            <v>45276</v>
          </cell>
          <cell r="AQ96">
            <v>92949</v>
          </cell>
          <cell r="AR96">
            <v>134118</v>
          </cell>
          <cell r="AS96">
            <v>176129</v>
          </cell>
          <cell r="AT96">
            <v>45556</v>
          </cell>
          <cell r="AU96">
            <v>92056</v>
          </cell>
          <cell r="AV96">
            <v>140774</v>
          </cell>
          <cell r="AW96">
            <v>236718</v>
          </cell>
          <cell r="AX96">
            <v>178196</v>
          </cell>
          <cell r="AY96">
            <v>640643</v>
          </cell>
          <cell r="AZ96">
            <v>1342538</v>
          </cell>
          <cell r="BA96">
            <v>1400807</v>
          </cell>
          <cell r="BB96">
            <v>1400807</v>
          </cell>
        </row>
        <row r="97">
          <cell r="A97" t="str">
            <v>qtd</v>
          </cell>
          <cell r="B97">
            <v>56139</v>
          </cell>
          <cell r="C97">
            <v>112278</v>
          </cell>
          <cell r="D97">
            <v>157668</v>
          </cell>
          <cell r="E97">
            <v>203756</v>
          </cell>
          <cell r="F97">
            <v>251990</v>
          </cell>
          <cell r="G97">
            <v>356732</v>
          </cell>
          <cell r="H97">
            <v>407947</v>
          </cell>
          <cell r="I97">
            <v>456359</v>
          </cell>
          <cell r="J97">
            <v>509167</v>
          </cell>
          <cell r="K97">
            <v>568496</v>
          </cell>
          <cell r="L97">
            <v>627347</v>
          </cell>
          <cell r="M97">
            <v>696656</v>
          </cell>
          <cell r="N97">
            <v>69919</v>
          </cell>
          <cell r="O97">
            <v>160545</v>
          </cell>
          <cell r="P97">
            <v>220698</v>
          </cell>
          <cell r="Q97">
            <v>294774</v>
          </cell>
          <cell r="R97">
            <v>368698</v>
          </cell>
          <cell r="S97">
            <v>467816</v>
          </cell>
          <cell r="T97">
            <v>548168</v>
          </cell>
          <cell r="U97">
            <v>618341</v>
          </cell>
          <cell r="V97">
            <v>707999</v>
          </cell>
          <cell r="W97">
            <v>787048</v>
          </cell>
          <cell r="X97">
            <v>895907</v>
          </cell>
          <cell r="Y97">
            <v>1103272</v>
          </cell>
          <cell r="Z97">
            <v>137339</v>
          </cell>
          <cell r="AA97">
            <v>194612</v>
          </cell>
          <cell r="AB97">
            <v>244338</v>
          </cell>
          <cell r="AC97">
            <v>292608</v>
          </cell>
          <cell r="AD97">
            <v>346236</v>
          </cell>
          <cell r="AE97">
            <v>397008</v>
          </cell>
          <cell r="AF97">
            <v>448443</v>
          </cell>
          <cell r="AG97">
            <v>501000</v>
          </cell>
          <cell r="AH97">
            <v>555393</v>
          </cell>
          <cell r="AI97">
            <v>608511</v>
          </cell>
          <cell r="AJ97">
            <v>656911</v>
          </cell>
          <cell r="AK97">
            <v>707912</v>
          </cell>
          <cell r="AL97">
            <v>50605</v>
          </cell>
          <cell r="AM97">
            <v>102868</v>
          </cell>
          <cell r="AN97">
            <v>151586</v>
          </cell>
          <cell r="AO97">
            <v>199055</v>
          </cell>
          <cell r="AP97">
            <v>244331</v>
          </cell>
          <cell r="AQ97">
            <v>292004</v>
          </cell>
          <cell r="AR97">
            <v>333173</v>
          </cell>
          <cell r="AS97">
            <v>375184</v>
          </cell>
          <cell r="AT97">
            <v>420740</v>
          </cell>
          <cell r="AU97">
            <v>467240</v>
          </cell>
          <cell r="AV97">
            <v>515958</v>
          </cell>
          <cell r="AW97">
            <v>611902</v>
          </cell>
          <cell r="AX97">
            <v>790098</v>
          </cell>
          <cell r="AY97">
            <v>1252545</v>
          </cell>
          <cell r="AZ97">
            <v>1954440</v>
          </cell>
          <cell r="BA97">
            <v>2012709</v>
          </cell>
          <cell r="BB97">
            <v>2012709</v>
          </cell>
        </row>
        <row r="98">
          <cell r="A98" t="str">
            <v>ytd</v>
          </cell>
          <cell r="B98">
            <v>56139</v>
          </cell>
          <cell r="C98">
            <v>112278</v>
          </cell>
          <cell r="D98">
            <v>157668</v>
          </cell>
          <cell r="E98">
            <v>203756</v>
          </cell>
          <cell r="F98">
            <v>251990</v>
          </cell>
          <cell r="G98">
            <v>356732</v>
          </cell>
          <cell r="H98">
            <v>407947</v>
          </cell>
          <cell r="I98">
            <v>456359</v>
          </cell>
          <cell r="J98">
            <v>509167</v>
          </cell>
          <cell r="K98">
            <v>568496</v>
          </cell>
          <cell r="L98">
            <v>627347</v>
          </cell>
          <cell r="M98">
            <v>696656</v>
          </cell>
          <cell r="N98">
            <v>766575</v>
          </cell>
          <cell r="O98">
            <v>857201</v>
          </cell>
          <cell r="P98">
            <v>917354</v>
          </cell>
          <cell r="Q98">
            <v>991430</v>
          </cell>
          <cell r="R98">
            <v>1065354</v>
          </cell>
          <cell r="S98">
            <v>1164472</v>
          </cell>
          <cell r="T98">
            <v>1244824</v>
          </cell>
          <cell r="U98">
            <v>1314997</v>
          </cell>
          <cell r="V98">
            <v>1404655</v>
          </cell>
          <cell r="W98">
            <v>1483704</v>
          </cell>
          <cell r="X98">
            <v>1592563</v>
          </cell>
          <cell r="Y98">
            <v>1799928</v>
          </cell>
          <cell r="Z98">
            <v>1937267</v>
          </cell>
          <cell r="AA98">
            <v>1994540</v>
          </cell>
          <cell r="AB98">
            <v>2044266</v>
          </cell>
          <cell r="AC98">
            <v>2092536</v>
          </cell>
          <cell r="AD98">
            <v>2146164</v>
          </cell>
          <cell r="AE98">
            <v>2196936</v>
          </cell>
          <cell r="AF98">
            <v>2248371</v>
          </cell>
          <cell r="AG98">
            <v>2300928</v>
          </cell>
          <cell r="AH98">
            <v>2355321</v>
          </cell>
          <cell r="AI98">
            <v>2408439</v>
          </cell>
          <cell r="AJ98">
            <v>2456839</v>
          </cell>
          <cell r="AK98">
            <v>2507840</v>
          </cell>
          <cell r="AL98">
            <v>2558445</v>
          </cell>
          <cell r="AM98">
            <v>2610708</v>
          </cell>
          <cell r="AN98">
            <v>2659426</v>
          </cell>
          <cell r="AO98">
            <v>2706895</v>
          </cell>
          <cell r="AP98">
            <v>2752171</v>
          </cell>
          <cell r="AQ98">
            <v>2799844</v>
          </cell>
          <cell r="AR98">
            <v>2841013</v>
          </cell>
          <cell r="AS98">
            <v>2883024</v>
          </cell>
          <cell r="AT98">
            <v>2928580</v>
          </cell>
          <cell r="AU98">
            <v>2975080</v>
          </cell>
          <cell r="AV98">
            <v>3023798</v>
          </cell>
          <cell r="AW98">
            <v>3119742</v>
          </cell>
          <cell r="AX98">
            <v>3297938</v>
          </cell>
          <cell r="AY98">
            <v>3760385</v>
          </cell>
          <cell r="AZ98">
            <v>4462280</v>
          </cell>
          <cell r="BA98">
            <v>4520549</v>
          </cell>
          <cell r="BB98">
            <v>4520549</v>
          </cell>
        </row>
        <row r="99">
          <cell r="A99" t="str">
            <v>TELE</v>
          </cell>
          <cell r="B99">
            <v>1079503</v>
          </cell>
          <cell r="C99">
            <v>1079503</v>
          </cell>
          <cell r="D99">
            <v>1043340</v>
          </cell>
          <cell r="E99">
            <v>1010344</v>
          </cell>
          <cell r="F99">
            <v>1053935</v>
          </cell>
          <cell r="G99">
            <v>1028546</v>
          </cell>
          <cell r="H99">
            <v>1041944</v>
          </cell>
          <cell r="I99">
            <v>981698</v>
          </cell>
          <cell r="J99">
            <v>998306</v>
          </cell>
          <cell r="K99">
            <v>1008085</v>
          </cell>
          <cell r="L99">
            <v>952593</v>
          </cell>
          <cell r="M99">
            <v>1068418</v>
          </cell>
          <cell r="N99">
            <v>957758</v>
          </cell>
          <cell r="O99">
            <v>972754</v>
          </cell>
          <cell r="P99">
            <v>944562</v>
          </cell>
          <cell r="Q99">
            <v>950481</v>
          </cell>
          <cell r="R99">
            <v>905839</v>
          </cell>
          <cell r="S99">
            <v>1006837</v>
          </cell>
          <cell r="T99">
            <v>968618</v>
          </cell>
          <cell r="U99">
            <v>1011467</v>
          </cell>
          <cell r="V99">
            <v>953203</v>
          </cell>
          <cell r="W99">
            <v>961050</v>
          </cell>
          <cell r="X99">
            <v>1055634</v>
          </cell>
          <cell r="Y99">
            <v>990784</v>
          </cell>
          <cell r="Z99">
            <v>998921</v>
          </cell>
          <cell r="AA99">
            <v>951509</v>
          </cell>
          <cell r="AB99">
            <v>986480</v>
          </cell>
          <cell r="AC99">
            <v>1066299</v>
          </cell>
          <cell r="AD99">
            <v>941947</v>
          </cell>
          <cell r="AE99">
            <v>920800</v>
          </cell>
          <cell r="AF99">
            <v>975524</v>
          </cell>
          <cell r="AG99">
            <v>954887</v>
          </cell>
          <cell r="AH99">
            <v>931006</v>
          </cell>
          <cell r="AI99">
            <v>923400</v>
          </cell>
          <cell r="AJ99">
            <v>934379</v>
          </cell>
          <cell r="AK99">
            <v>951298</v>
          </cell>
          <cell r="AL99">
            <v>874702</v>
          </cell>
          <cell r="AM99">
            <v>880056</v>
          </cell>
          <cell r="AN99">
            <v>810992</v>
          </cell>
          <cell r="AO99">
            <v>907836</v>
          </cell>
          <cell r="AP99">
            <v>868839</v>
          </cell>
          <cell r="AQ99">
            <v>835051</v>
          </cell>
          <cell r="AR99">
            <v>832151</v>
          </cell>
          <cell r="AS99">
            <v>818425</v>
          </cell>
          <cell r="AT99">
            <v>937109</v>
          </cell>
          <cell r="AU99">
            <v>879580</v>
          </cell>
          <cell r="AV99">
            <v>891018</v>
          </cell>
          <cell r="AW99">
            <v>1004724</v>
          </cell>
          <cell r="AX99">
            <v>927179</v>
          </cell>
          <cell r="AY99">
            <v>1046359</v>
          </cell>
          <cell r="AZ99">
            <v>1103373</v>
          </cell>
          <cell r="BA99">
            <v>853851</v>
          </cell>
          <cell r="BB99">
            <v>0</v>
          </cell>
        </row>
        <row r="100">
          <cell r="A100" t="str">
            <v>ptd</v>
          </cell>
          <cell r="B100">
            <v>1079503</v>
          </cell>
          <cell r="C100">
            <v>2159006</v>
          </cell>
          <cell r="D100">
            <v>3202346</v>
          </cell>
          <cell r="E100">
            <v>4212690</v>
          </cell>
          <cell r="F100">
            <v>1053935</v>
          </cell>
          <cell r="G100">
            <v>2082481</v>
          </cell>
          <cell r="H100">
            <v>3124425</v>
          </cell>
          <cell r="I100">
            <v>4106123</v>
          </cell>
          <cell r="J100">
            <v>998306</v>
          </cell>
          <cell r="K100">
            <v>2006391</v>
          </cell>
          <cell r="L100">
            <v>2958984</v>
          </cell>
          <cell r="M100">
            <v>4027402</v>
          </cell>
          <cell r="N100">
            <v>957758</v>
          </cell>
          <cell r="O100">
            <v>1930512</v>
          </cell>
          <cell r="P100">
            <v>2875074</v>
          </cell>
          <cell r="Q100">
            <v>3825555</v>
          </cell>
          <cell r="R100">
            <v>905839</v>
          </cell>
          <cell r="S100">
            <v>1912676</v>
          </cell>
          <cell r="T100">
            <v>2881294</v>
          </cell>
          <cell r="U100">
            <v>3892761</v>
          </cell>
          <cell r="V100">
            <v>953203</v>
          </cell>
          <cell r="W100">
            <v>1914253</v>
          </cell>
          <cell r="X100">
            <v>2969887</v>
          </cell>
          <cell r="Y100">
            <v>3960671</v>
          </cell>
          <cell r="Z100">
            <v>998921</v>
          </cell>
          <cell r="AA100">
            <v>1950430</v>
          </cell>
          <cell r="AB100">
            <v>2936910</v>
          </cell>
          <cell r="AC100">
            <v>4003209</v>
          </cell>
          <cell r="AD100">
            <v>941947</v>
          </cell>
          <cell r="AE100">
            <v>1862747</v>
          </cell>
          <cell r="AF100">
            <v>2838271</v>
          </cell>
          <cell r="AG100">
            <v>3793158</v>
          </cell>
          <cell r="AH100">
            <v>931006</v>
          </cell>
          <cell r="AI100">
            <v>1854406</v>
          </cell>
          <cell r="AJ100">
            <v>2788785</v>
          </cell>
          <cell r="AK100">
            <v>3740083</v>
          </cell>
          <cell r="AL100">
            <v>874702</v>
          </cell>
          <cell r="AM100">
            <v>1754758</v>
          </cell>
          <cell r="AN100">
            <v>2565750</v>
          </cell>
          <cell r="AO100">
            <v>3473586</v>
          </cell>
          <cell r="AP100">
            <v>868839</v>
          </cell>
          <cell r="AQ100">
            <v>1703890</v>
          </cell>
          <cell r="AR100">
            <v>2536041</v>
          </cell>
          <cell r="AS100">
            <v>3354466</v>
          </cell>
          <cell r="AT100">
            <v>937109</v>
          </cell>
          <cell r="AU100">
            <v>1816689</v>
          </cell>
          <cell r="AV100">
            <v>2707707</v>
          </cell>
          <cell r="AW100">
            <v>3712431</v>
          </cell>
          <cell r="AX100">
            <v>927179</v>
          </cell>
          <cell r="AY100">
            <v>1973538</v>
          </cell>
          <cell r="AZ100">
            <v>3076911</v>
          </cell>
          <cell r="BA100">
            <v>3930762</v>
          </cell>
          <cell r="BB100">
            <v>3930762</v>
          </cell>
        </row>
        <row r="101">
          <cell r="A101" t="str">
            <v>qtd</v>
          </cell>
          <cell r="B101">
            <v>1079503</v>
          </cell>
          <cell r="C101">
            <v>2159006</v>
          </cell>
          <cell r="D101">
            <v>3202346</v>
          </cell>
          <cell r="E101">
            <v>4212690</v>
          </cell>
          <cell r="F101">
            <v>5266625</v>
          </cell>
          <cell r="G101">
            <v>6295171</v>
          </cell>
          <cell r="H101">
            <v>7337115</v>
          </cell>
          <cell r="I101">
            <v>8318813</v>
          </cell>
          <cell r="J101">
            <v>9317119</v>
          </cell>
          <cell r="K101">
            <v>10325204</v>
          </cell>
          <cell r="L101">
            <v>11277797</v>
          </cell>
          <cell r="M101">
            <v>12346215</v>
          </cell>
          <cell r="N101">
            <v>957758</v>
          </cell>
          <cell r="O101">
            <v>1930512</v>
          </cell>
          <cell r="P101">
            <v>2875074</v>
          </cell>
          <cell r="Q101">
            <v>3825555</v>
          </cell>
          <cell r="R101">
            <v>4731394</v>
          </cell>
          <cell r="S101">
            <v>5738231</v>
          </cell>
          <cell r="T101">
            <v>6706849</v>
          </cell>
          <cell r="U101">
            <v>7718316</v>
          </cell>
          <cell r="V101">
            <v>8671519</v>
          </cell>
          <cell r="W101">
            <v>9632569</v>
          </cell>
          <cell r="X101">
            <v>10688203</v>
          </cell>
          <cell r="Y101">
            <v>11678987</v>
          </cell>
          <cell r="Z101">
            <v>998921</v>
          </cell>
          <cell r="AA101">
            <v>1950430</v>
          </cell>
          <cell r="AB101">
            <v>2936910</v>
          </cell>
          <cell r="AC101">
            <v>4003209</v>
          </cell>
          <cell r="AD101">
            <v>4945156</v>
          </cell>
          <cell r="AE101">
            <v>5865956</v>
          </cell>
          <cell r="AF101">
            <v>6841480</v>
          </cell>
          <cell r="AG101">
            <v>7796367</v>
          </cell>
          <cell r="AH101">
            <v>8727373</v>
          </cell>
          <cell r="AI101">
            <v>9650773</v>
          </cell>
          <cell r="AJ101">
            <v>10585152</v>
          </cell>
          <cell r="AK101">
            <v>11536450</v>
          </cell>
          <cell r="AL101">
            <v>874702</v>
          </cell>
          <cell r="AM101">
            <v>1754758</v>
          </cell>
          <cell r="AN101">
            <v>2565750</v>
          </cell>
          <cell r="AO101">
            <v>3473586</v>
          </cell>
          <cell r="AP101">
            <v>4342425</v>
          </cell>
          <cell r="AQ101">
            <v>5177476</v>
          </cell>
          <cell r="AR101">
            <v>6009627</v>
          </cell>
          <cell r="AS101">
            <v>6828052</v>
          </cell>
          <cell r="AT101">
            <v>7765161</v>
          </cell>
          <cell r="AU101">
            <v>8644741</v>
          </cell>
          <cell r="AV101">
            <v>9535759</v>
          </cell>
          <cell r="AW101">
            <v>10540483</v>
          </cell>
          <cell r="AX101">
            <v>11467662</v>
          </cell>
          <cell r="AY101">
            <v>12514021</v>
          </cell>
          <cell r="AZ101">
            <v>13617394</v>
          </cell>
          <cell r="BA101">
            <v>14471245</v>
          </cell>
          <cell r="BB101">
            <v>14471245</v>
          </cell>
        </row>
        <row r="102">
          <cell r="A102" t="str">
            <v>ytd</v>
          </cell>
          <cell r="B102">
            <v>1079503</v>
          </cell>
          <cell r="C102">
            <v>2159006</v>
          </cell>
          <cell r="D102">
            <v>3202346</v>
          </cell>
          <cell r="E102">
            <v>4212690</v>
          </cell>
          <cell r="F102">
            <v>5266625</v>
          </cell>
          <cell r="G102">
            <v>6295171</v>
          </cell>
          <cell r="H102">
            <v>7337115</v>
          </cell>
          <cell r="I102">
            <v>8318813</v>
          </cell>
          <cell r="J102">
            <v>9317119</v>
          </cell>
          <cell r="K102">
            <v>10325204</v>
          </cell>
          <cell r="L102">
            <v>11277797</v>
          </cell>
          <cell r="M102">
            <v>12346215</v>
          </cell>
          <cell r="N102">
            <v>13303973</v>
          </cell>
          <cell r="O102">
            <v>14276727</v>
          </cell>
          <cell r="P102">
            <v>15221289</v>
          </cell>
          <cell r="Q102">
            <v>16171770</v>
          </cell>
          <cell r="R102">
            <v>17077609</v>
          </cell>
          <cell r="S102">
            <v>18084446</v>
          </cell>
          <cell r="T102">
            <v>19053064</v>
          </cell>
          <cell r="U102">
            <v>20064531</v>
          </cell>
          <cell r="V102">
            <v>21017734</v>
          </cell>
          <cell r="W102">
            <v>21978784</v>
          </cell>
          <cell r="X102">
            <v>23034418</v>
          </cell>
          <cell r="Y102">
            <v>24025202</v>
          </cell>
          <cell r="Z102">
            <v>25024123</v>
          </cell>
          <cell r="AA102">
            <v>25975632</v>
          </cell>
          <cell r="AB102">
            <v>26962112</v>
          </cell>
          <cell r="AC102">
            <v>28028411</v>
          </cell>
          <cell r="AD102">
            <v>28970358</v>
          </cell>
          <cell r="AE102">
            <v>29891158</v>
          </cell>
          <cell r="AF102">
            <v>30866682</v>
          </cell>
          <cell r="AG102">
            <v>31821569</v>
          </cell>
          <cell r="AH102">
            <v>32752575</v>
          </cell>
          <cell r="AI102">
            <v>33675975</v>
          </cell>
          <cell r="AJ102">
            <v>34610354</v>
          </cell>
          <cell r="AK102">
            <v>35561652</v>
          </cell>
          <cell r="AL102">
            <v>36436354</v>
          </cell>
          <cell r="AM102">
            <v>37316410</v>
          </cell>
          <cell r="AN102">
            <v>38127402</v>
          </cell>
          <cell r="AO102">
            <v>39035238</v>
          </cell>
          <cell r="AP102">
            <v>39904077</v>
          </cell>
          <cell r="AQ102">
            <v>40739128</v>
          </cell>
          <cell r="AR102">
            <v>41571279</v>
          </cell>
          <cell r="AS102">
            <v>42389704</v>
          </cell>
          <cell r="AT102">
            <v>43326813</v>
          </cell>
          <cell r="AU102">
            <v>44206393</v>
          </cell>
          <cell r="AV102">
            <v>45097411</v>
          </cell>
          <cell r="AW102">
            <v>46102135</v>
          </cell>
          <cell r="AX102">
            <v>47029314</v>
          </cell>
          <cell r="AY102">
            <v>48075673</v>
          </cell>
          <cell r="AZ102">
            <v>49179046</v>
          </cell>
          <cell r="BA102">
            <v>50032897</v>
          </cell>
          <cell r="BB102">
            <v>50032897</v>
          </cell>
        </row>
        <row r="103">
          <cell r="A103" t="str">
            <v>TICK</v>
          </cell>
          <cell r="B103">
            <v>168385</v>
          </cell>
          <cell r="C103">
            <v>168385</v>
          </cell>
          <cell r="D103">
            <v>409123</v>
          </cell>
          <cell r="E103">
            <v>327385</v>
          </cell>
          <cell r="F103">
            <v>428270</v>
          </cell>
          <cell r="G103">
            <v>941799</v>
          </cell>
          <cell r="H103">
            <v>549773</v>
          </cell>
          <cell r="I103">
            <v>636627</v>
          </cell>
          <cell r="J103">
            <v>658576</v>
          </cell>
          <cell r="K103">
            <v>767917</v>
          </cell>
          <cell r="L103">
            <v>780797</v>
          </cell>
          <cell r="M103">
            <v>737498</v>
          </cell>
          <cell r="N103">
            <v>833567</v>
          </cell>
          <cell r="O103">
            <v>1030069</v>
          </cell>
          <cell r="P103">
            <v>1075333</v>
          </cell>
          <cell r="Q103">
            <v>637551</v>
          </cell>
          <cell r="R103">
            <v>578907</v>
          </cell>
          <cell r="S103">
            <v>562220</v>
          </cell>
          <cell r="T103">
            <v>597545</v>
          </cell>
          <cell r="U103">
            <v>545161</v>
          </cell>
          <cell r="V103">
            <v>628032</v>
          </cell>
          <cell r="W103">
            <v>517965</v>
          </cell>
          <cell r="X103">
            <v>307867</v>
          </cell>
          <cell r="Y103">
            <v>397592</v>
          </cell>
          <cell r="Z103">
            <v>511294</v>
          </cell>
          <cell r="AA103">
            <v>583094</v>
          </cell>
          <cell r="AB103">
            <v>708113</v>
          </cell>
          <cell r="AC103">
            <v>734611</v>
          </cell>
          <cell r="AD103">
            <v>864936</v>
          </cell>
          <cell r="AE103">
            <v>935009</v>
          </cell>
          <cell r="AF103">
            <v>814425</v>
          </cell>
          <cell r="AG103">
            <v>829658</v>
          </cell>
          <cell r="AH103">
            <v>770188</v>
          </cell>
          <cell r="AI103">
            <v>802936</v>
          </cell>
          <cell r="AJ103">
            <v>610058</v>
          </cell>
          <cell r="AK103">
            <v>257143</v>
          </cell>
          <cell r="AL103">
            <v>143155</v>
          </cell>
          <cell r="AM103">
            <v>128636</v>
          </cell>
          <cell r="AN103">
            <v>132420</v>
          </cell>
          <cell r="AO103">
            <v>170041</v>
          </cell>
          <cell r="AP103">
            <v>184459</v>
          </cell>
          <cell r="AQ103">
            <v>173457</v>
          </cell>
          <cell r="AR103">
            <v>161034</v>
          </cell>
          <cell r="AS103">
            <v>198557</v>
          </cell>
          <cell r="AT103">
            <v>140306</v>
          </cell>
          <cell r="AU103">
            <v>120723</v>
          </cell>
          <cell r="AV103">
            <v>161478</v>
          </cell>
          <cell r="AW103">
            <v>170723</v>
          </cell>
          <cell r="AX103">
            <v>260712</v>
          </cell>
          <cell r="AY103">
            <v>408995</v>
          </cell>
          <cell r="AZ103">
            <v>622463</v>
          </cell>
          <cell r="BA103">
            <v>164599</v>
          </cell>
          <cell r="BB103">
            <v>0</v>
          </cell>
        </row>
        <row r="104">
          <cell r="A104" t="str">
            <v>ptd</v>
          </cell>
          <cell r="B104">
            <v>168385</v>
          </cell>
          <cell r="C104">
            <v>336770</v>
          </cell>
          <cell r="D104">
            <v>745893</v>
          </cell>
          <cell r="E104">
            <v>1073278</v>
          </cell>
          <cell r="F104">
            <v>428270</v>
          </cell>
          <cell r="G104">
            <v>1370069</v>
          </cell>
          <cell r="H104">
            <v>1919842</v>
          </cell>
          <cell r="I104">
            <v>2556469</v>
          </cell>
          <cell r="J104">
            <v>658576</v>
          </cell>
          <cell r="K104">
            <v>1426493</v>
          </cell>
          <cell r="L104">
            <v>2207290</v>
          </cell>
          <cell r="M104">
            <v>2944788</v>
          </cell>
          <cell r="N104">
            <v>833567</v>
          </cell>
          <cell r="O104">
            <v>1863636</v>
          </cell>
          <cell r="P104">
            <v>2938969</v>
          </cell>
          <cell r="Q104">
            <v>3576520</v>
          </cell>
          <cell r="R104">
            <v>578907</v>
          </cell>
          <cell r="S104">
            <v>1141127</v>
          </cell>
          <cell r="T104">
            <v>1738672</v>
          </cell>
          <cell r="U104">
            <v>2283833</v>
          </cell>
          <cell r="V104">
            <v>628032</v>
          </cell>
          <cell r="W104">
            <v>1145997</v>
          </cell>
          <cell r="X104">
            <v>1453864</v>
          </cell>
          <cell r="Y104">
            <v>1851456</v>
          </cell>
          <cell r="Z104">
            <v>511294</v>
          </cell>
          <cell r="AA104">
            <v>1094388</v>
          </cell>
          <cell r="AB104">
            <v>1802501</v>
          </cell>
          <cell r="AC104">
            <v>2537112</v>
          </cell>
          <cell r="AD104">
            <v>864936</v>
          </cell>
          <cell r="AE104">
            <v>1799945</v>
          </cell>
          <cell r="AF104">
            <v>2614370</v>
          </cell>
          <cell r="AG104">
            <v>3444028</v>
          </cell>
          <cell r="AH104">
            <v>770188</v>
          </cell>
          <cell r="AI104">
            <v>1573124</v>
          </cell>
          <cell r="AJ104">
            <v>2183182</v>
          </cell>
          <cell r="AK104">
            <v>2440325</v>
          </cell>
          <cell r="AL104">
            <v>143155</v>
          </cell>
          <cell r="AM104">
            <v>271791</v>
          </cell>
          <cell r="AN104">
            <v>404211</v>
          </cell>
          <cell r="AO104">
            <v>574252</v>
          </cell>
          <cell r="AP104">
            <v>184459</v>
          </cell>
          <cell r="AQ104">
            <v>357916</v>
          </cell>
          <cell r="AR104">
            <v>518950</v>
          </cell>
          <cell r="AS104">
            <v>717507</v>
          </cell>
          <cell r="AT104">
            <v>140306</v>
          </cell>
          <cell r="AU104">
            <v>261029</v>
          </cell>
          <cell r="AV104">
            <v>422507</v>
          </cell>
          <cell r="AW104">
            <v>593230</v>
          </cell>
          <cell r="AX104">
            <v>260712</v>
          </cell>
          <cell r="AY104">
            <v>669707</v>
          </cell>
          <cell r="AZ104">
            <v>1292170</v>
          </cell>
          <cell r="BA104">
            <v>1456769</v>
          </cell>
          <cell r="BB104">
            <v>1456769</v>
          </cell>
        </row>
        <row r="105">
          <cell r="A105" t="str">
            <v>qtd</v>
          </cell>
          <cell r="B105">
            <v>168385</v>
          </cell>
          <cell r="C105">
            <v>336770</v>
          </cell>
          <cell r="D105">
            <v>745893</v>
          </cell>
          <cell r="E105">
            <v>1073278</v>
          </cell>
          <cell r="F105">
            <v>1501548</v>
          </cell>
          <cell r="G105">
            <v>2443347</v>
          </cell>
          <cell r="H105">
            <v>2993120</v>
          </cell>
          <cell r="I105">
            <v>3629747</v>
          </cell>
          <cell r="J105">
            <v>4288323</v>
          </cell>
          <cell r="K105">
            <v>5056240</v>
          </cell>
          <cell r="L105">
            <v>5837037</v>
          </cell>
          <cell r="M105">
            <v>6574535</v>
          </cell>
          <cell r="N105">
            <v>833567</v>
          </cell>
          <cell r="O105">
            <v>1863636</v>
          </cell>
          <cell r="P105">
            <v>2938969</v>
          </cell>
          <cell r="Q105">
            <v>3576520</v>
          </cell>
          <cell r="R105">
            <v>4155427</v>
          </cell>
          <cell r="S105">
            <v>4717647</v>
          </cell>
          <cell r="T105">
            <v>5315192</v>
          </cell>
          <cell r="U105">
            <v>5860353</v>
          </cell>
          <cell r="V105">
            <v>6488385</v>
          </cell>
          <cell r="W105">
            <v>7006350</v>
          </cell>
          <cell r="X105">
            <v>7314217</v>
          </cell>
          <cell r="Y105">
            <v>7711809</v>
          </cell>
          <cell r="Z105">
            <v>511294</v>
          </cell>
          <cell r="AA105">
            <v>1094388</v>
          </cell>
          <cell r="AB105">
            <v>1802501</v>
          </cell>
          <cell r="AC105">
            <v>2537112</v>
          </cell>
          <cell r="AD105">
            <v>3402048</v>
          </cell>
          <cell r="AE105">
            <v>4337057</v>
          </cell>
          <cell r="AF105">
            <v>5151482</v>
          </cell>
          <cell r="AG105">
            <v>5981140</v>
          </cell>
          <cell r="AH105">
            <v>6751328</v>
          </cell>
          <cell r="AI105">
            <v>7554264</v>
          </cell>
          <cell r="AJ105">
            <v>8164322</v>
          </cell>
          <cell r="AK105">
            <v>8421465</v>
          </cell>
          <cell r="AL105">
            <v>143155</v>
          </cell>
          <cell r="AM105">
            <v>271791</v>
          </cell>
          <cell r="AN105">
            <v>404211</v>
          </cell>
          <cell r="AO105">
            <v>574252</v>
          </cell>
          <cell r="AP105">
            <v>758711</v>
          </cell>
          <cell r="AQ105">
            <v>932168</v>
          </cell>
          <cell r="AR105">
            <v>1093202</v>
          </cell>
          <cell r="AS105">
            <v>1291759</v>
          </cell>
          <cell r="AT105">
            <v>1432065</v>
          </cell>
          <cell r="AU105">
            <v>1552788</v>
          </cell>
          <cell r="AV105">
            <v>1714266</v>
          </cell>
          <cell r="AW105">
            <v>1884989</v>
          </cell>
          <cell r="AX105">
            <v>2145701</v>
          </cell>
          <cell r="AY105">
            <v>2554696</v>
          </cell>
          <cell r="AZ105">
            <v>3177159</v>
          </cell>
          <cell r="BA105">
            <v>3341758</v>
          </cell>
          <cell r="BB105">
            <v>3341758</v>
          </cell>
        </row>
        <row r="106">
          <cell r="A106" t="str">
            <v>ytd</v>
          </cell>
          <cell r="B106">
            <v>168385</v>
          </cell>
          <cell r="C106">
            <v>336770</v>
          </cell>
          <cell r="D106">
            <v>745893</v>
          </cell>
          <cell r="E106">
            <v>1073278</v>
          </cell>
          <cell r="F106">
            <v>1501548</v>
          </cell>
          <cell r="G106">
            <v>2443347</v>
          </cell>
          <cell r="H106">
            <v>2993120</v>
          </cell>
          <cell r="I106">
            <v>3629747</v>
          </cell>
          <cell r="J106">
            <v>4288323</v>
          </cell>
          <cell r="K106">
            <v>5056240</v>
          </cell>
          <cell r="L106">
            <v>5837037</v>
          </cell>
          <cell r="M106">
            <v>6574535</v>
          </cell>
          <cell r="N106">
            <v>7408102</v>
          </cell>
          <cell r="O106">
            <v>8438171</v>
          </cell>
          <cell r="P106">
            <v>9513504</v>
          </cell>
          <cell r="Q106">
            <v>10151055</v>
          </cell>
          <cell r="R106">
            <v>10729962</v>
          </cell>
          <cell r="S106">
            <v>11292182</v>
          </cell>
          <cell r="T106">
            <v>11889727</v>
          </cell>
          <cell r="U106">
            <v>12434888</v>
          </cell>
          <cell r="V106">
            <v>13062920</v>
          </cell>
          <cell r="W106">
            <v>13580885</v>
          </cell>
          <cell r="X106">
            <v>13888752</v>
          </cell>
          <cell r="Y106">
            <v>14286344</v>
          </cell>
          <cell r="Z106">
            <v>14797638</v>
          </cell>
          <cell r="AA106">
            <v>15380732</v>
          </cell>
          <cell r="AB106">
            <v>16088845</v>
          </cell>
          <cell r="AC106">
            <v>16823456</v>
          </cell>
          <cell r="AD106">
            <v>17688392</v>
          </cell>
          <cell r="AE106">
            <v>18623401</v>
          </cell>
          <cell r="AF106">
            <v>19437826</v>
          </cell>
          <cell r="AG106">
            <v>20267484</v>
          </cell>
          <cell r="AH106">
            <v>21037672</v>
          </cell>
          <cell r="AI106">
            <v>21840608</v>
          </cell>
          <cell r="AJ106">
            <v>22450666</v>
          </cell>
          <cell r="AK106">
            <v>22707809</v>
          </cell>
          <cell r="AL106">
            <v>22850964</v>
          </cell>
          <cell r="AM106">
            <v>22979600</v>
          </cell>
          <cell r="AN106">
            <v>23112020</v>
          </cell>
          <cell r="AO106">
            <v>23282061</v>
          </cell>
          <cell r="AP106">
            <v>23466520</v>
          </cell>
          <cell r="AQ106">
            <v>23639977</v>
          </cell>
          <cell r="AR106">
            <v>23801011</v>
          </cell>
          <cell r="AS106">
            <v>23999568</v>
          </cell>
          <cell r="AT106">
            <v>24139874</v>
          </cell>
          <cell r="AU106">
            <v>24260597</v>
          </cell>
          <cell r="AV106">
            <v>24422075</v>
          </cell>
          <cell r="AW106">
            <v>24592798</v>
          </cell>
          <cell r="AX106">
            <v>24853510</v>
          </cell>
          <cell r="AY106">
            <v>25262505</v>
          </cell>
          <cell r="AZ106">
            <v>25884968</v>
          </cell>
          <cell r="BA106">
            <v>26049567</v>
          </cell>
          <cell r="BB106">
            <v>26049567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11125162.705059463</v>
          </cell>
          <cell r="C111">
            <v>11008178.705059463</v>
          </cell>
          <cell r="D111">
            <v>10454552.108152121</v>
          </cell>
          <cell r="E111">
            <v>10413130.42595683</v>
          </cell>
          <cell r="F111">
            <v>10773571.397763668</v>
          </cell>
          <cell r="G111">
            <v>15658703.159300653</v>
          </cell>
          <cell r="H111">
            <v>11216233.19968977</v>
          </cell>
          <cell r="I111">
            <v>10665240.803104518</v>
          </cell>
          <cell r="J111">
            <v>11176455.216425458</v>
          </cell>
          <cell r="K111">
            <v>11686004.068944242</v>
          </cell>
          <cell r="L111">
            <v>11797066.520167645</v>
          </cell>
          <cell r="M111">
            <v>11613500.612594593</v>
          </cell>
          <cell r="N111">
            <v>11969315.610115347</v>
          </cell>
          <cell r="O111">
            <v>15703294.757392706</v>
          </cell>
          <cell r="P111">
            <v>12396597.146453844</v>
          </cell>
          <cell r="Q111">
            <v>12724430.992666818</v>
          </cell>
          <cell r="R111">
            <v>13534293.1143423</v>
          </cell>
          <cell r="S111">
            <v>21007193.541854434</v>
          </cell>
          <cell r="T111">
            <v>16932673.174338076</v>
          </cell>
          <cell r="U111">
            <v>14385244.573766269</v>
          </cell>
          <cell r="V111">
            <v>16186282.991992002</v>
          </cell>
          <cell r="W111">
            <v>16693442.287158104</v>
          </cell>
          <cell r="X111">
            <v>19957982.955399729</v>
          </cell>
          <cell r="Y111">
            <v>23939031.425339185</v>
          </cell>
          <cell r="Z111">
            <v>17905288.806232758</v>
          </cell>
          <cell r="AA111">
            <v>14088027.581862966</v>
          </cell>
          <cell r="AB111">
            <v>13203357.356856788</v>
          </cell>
          <cell r="AC111">
            <v>13260866.34499581</v>
          </cell>
          <cell r="AD111">
            <v>13980356.126569474</v>
          </cell>
          <cell r="AE111">
            <v>13807820.137259798</v>
          </cell>
          <cell r="AF111">
            <v>14080687.03863861</v>
          </cell>
          <cell r="AG111">
            <v>14037756.07605486</v>
          </cell>
          <cell r="AH111">
            <v>14277125.425657494</v>
          </cell>
          <cell r="AI111">
            <v>14470232.679078206</v>
          </cell>
          <cell r="AJ111">
            <v>13328797.332356306</v>
          </cell>
          <cell r="AK111">
            <v>13160703.82505017</v>
          </cell>
          <cell r="AL111">
            <v>13174814.502917005</v>
          </cell>
          <cell r="AM111">
            <v>13237244.814803597</v>
          </cell>
          <cell r="AN111">
            <v>12952979.798564728</v>
          </cell>
          <cell r="AO111">
            <v>13324058.643359855</v>
          </cell>
          <cell r="AP111">
            <v>13289977.282132804</v>
          </cell>
          <cell r="AQ111">
            <v>13559983.227921061</v>
          </cell>
          <cell r="AR111">
            <v>13572103.597060136</v>
          </cell>
          <cell r="AS111">
            <v>13518952.400131188</v>
          </cell>
          <cell r="AT111">
            <v>14684989.740089465</v>
          </cell>
          <cell r="AU111">
            <v>15650939.695470372</v>
          </cell>
          <cell r="AV111">
            <v>16978727.787477586</v>
          </cell>
          <cell r="AW111">
            <v>27491717.421822049</v>
          </cell>
          <cell r="AX111">
            <v>48000701.072422102</v>
          </cell>
          <cell r="AY111">
            <v>105182118.38907193</v>
          </cell>
          <cell r="AZ111">
            <v>122926802.76097518</v>
          </cell>
          <cell r="BA111">
            <v>20192308.117133103</v>
          </cell>
          <cell r="BB111">
            <v>0</v>
          </cell>
        </row>
        <row r="112">
          <cell r="A112" t="str">
            <v>ptd</v>
          </cell>
          <cell r="B112">
            <v>11125162.705059463</v>
          </cell>
          <cell r="C112">
            <v>22133341.410118926</v>
          </cell>
          <cell r="D112">
            <v>32587893.518271048</v>
          </cell>
          <cell r="E112">
            <v>43001023.944227874</v>
          </cell>
          <cell r="F112">
            <v>10773571.397763668</v>
          </cell>
          <cell r="G112">
            <v>26432274.557064321</v>
          </cell>
          <cell r="H112">
            <v>37648507.756754093</v>
          </cell>
          <cell r="I112">
            <v>48313748.559858613</v>
          </cell>
          <cell r="J112">
            <v>11176455.216425458</v>
          </cell>
          <cell r="K112">
            <v>22862459.285369702</v>
          </cell>
          <cell r="L112">
            <v>34659525.805537343</v>
          </cell>
          <cell r="M112">
            <v>46273026.418131933</v>
          </cell>
          <cell r="N112">
            <v>11969315.610115347</v>
          </cell>
          <cell r="O112">
            <v>27672610.367508054</v>
          </cell>
          <cell r="P112">
            <v>40069207.513961896</v>
          </cell>
          <cell r="Q112">
            <v>52793638.506628715</v>
          </cell>
          <cell r="R112">
            <v>13534293.1143423</v>
          </cell>
          <cell r="S112">
            <v>34541486.656196736</v>
          </cell>
          <cell r="T112">
            <v>51474159.830534816</v>
          </cell>
          <cell r="U112">
            <v>65859404.404301085</v>
          </cell>
          <cell r="V112">
            <v>16186282.991992002</v>
          </cell>
          <cell r="W112">
            <v>32879725.279150106</v>
          </cell>
          <cell r="X112">
            <v>52837708.234549835</v>
          </cell>
          <cell r="Y112">
            <v>76776739.659889013</v>
          </cell>
          <cell r="Z112">
            <v>17905288.806232758</v>
          </cell>
          <cell r="AA112">
            <v>31993316.388095722</v>
          </cell>
          <cell r="AB112">
            <v>45196673.744952507</v>
          </cell>
          <cell r="AC112">
            <v>58457540.089948319</v>
          </cell>
          <cell r="AD112">
            <v>13980356.126569474</v>
          </cell>
          <cell r="AE112">
            <v>27788176.263829272</v>
          </cell>
          <cell r="AF112">
            <v>41868863.302467883</v>
          </cell>
          <cell r="AG112">
            <v>55906619.378522739</v>
          </cell>
          <cell r="AH112">
            <v>14277125.425657494</v>
          </cell>
          <cell r="AI112">
            <v>28747358.104735702</v>
          </cell>
          <cell r="AJ112">
            <v>42076155.437092006</v>
          </cell>
          <cell r="AK112">
            <v>55236859.262142174</v>
          </cell>
          <cell r="AL112">
            <v>13174814.502917005</v>
          </cell>
          <cell r="AM112">
            <v>26412059.317720599</v>
          </cell>
          <cell r="AN112">
            <v>39365039.116285324</v>
          </cell>
          <cell r="AO112">
            <v>52689097.759645179</v>
          </cell>
          <cell r="AP112">
            <v>13289977.282132804</v>
          </cell>
          <cell r="AQ112">
            <v>26849960.510053866</v>
          </cell>
          <cell r="AR112">
            <v>40422064.107114002</v>
          </cell>
          <cell r="AS112">
            <v>53941016.50724519</v>
          </cell>
          <cell r="AT112">
            <v>14684989.740089465</v>
          </cell>
          <cell r="AU112">
            <v>30335929.435559839</v>
          </cell>
          <cell r="AV112">
            <v>47314657.223037422</v>
          </cell>
          <cell r="AW112">
            <v>74806374.644859463</v>
          </cell>
          <cell r="AX112">
            <v>48000701.072422102</v>
          </cell>
          <cell r="AY112">
            <v>153182819.46149403</v>
          </cell>
          <cell r="AZ112">
            <v>276109622.22246921</v>
          </cell>
          <cell r="BA112">
            <v>296301930.33960229</v>
          </cell>
          <cell r="BB112">
            <v>296301930.33960229</v>
          </cell>
        </row>
        <row r="113">
          <cell r="A113" t="str">
            <v>qtd</v>
          </cell>
          <cell r="B113">
            <v>11125162.705059463</v>
          </cell>
          <cell r="C113">
            <v>22133341.410118926</v>
          </cell>
          <cell r="D113">
            <v>32587893.518271048</v>
          </cell>
          <cell r="E113">
            <v>43001023.944227874</v>
          </cell>
          <cell r="F113">
            <v>53774595.341991544</v>
          </cell>
          <cell r="G113">
            <v>69433298.501292199</v>
          </cell>
          <cell r="H113">
            <v>80649531.700981975</v>
          </cell>
          <cell r="I113">
            <v>91314772.504086494</v>
          </cell>
          <cell r="J113">
            <v>102491227.72051196</v>
          </cell>
          <cell r="K113">
            <v>114177231.7894562</v>
          </cell>
          <cell r="L113">
            <v>125974298.30962385</v>
          </cell>
          <cell r="M113">
            <v>137587798.92221844</v>
          </cell>
          <cell r="N113">
            <v>11969315.610115347</v>
          </cell>
          <cell r="O113">
            <v>27672610.367508054</v>
          </cell>
          <cell r="P113">
            <v>40069207.513961896</v>
          </cell>
          <cell r="Q113">
            <v>52793638.506628715</v>
          </cell>
          <cell r="R113">
            <v>66327931.620971017</v>
          </cell>
          <cell r="S113">
            <v>87335125.16282545</v>
          </cell>
          <cell r="T113">
            <v>104267798.33716352</v>
          </cell>
          <cell r="U113">
            <v>118653042.9109298</v>
          </cell>
          <cell r="V113">
            <v>134839325.9029218</v>
          </cell>
          <cell r="W113">
            <v>151532768.1900799</v>
          </cell>
          <cell r="X113">
            <v>171490751.14547962</v>
          </cell>
          <cell r="Y113">
            <v>195429782.57081881</v>
          </cell>
          <cell r="Z113">
            <v>17905288.806232758</v>
          </cell>
          <cell r="AA113">
            <v>31993316.388095722</v>
          </cell>
          <cell r="AB113">
            <v>45196673.744952507</v>
          </cell>
          <cell r="AC113">
            <v>58457540.089948319</v>
          </cell>
          <cell r="AD113">
            <v>72437896.216517791</v>
          </cell>
          <cell r="AE113">
            <v>86245716.353777587</v>
          </cell>
          <cell r="AF113">
            <v>100326403.39241619</v>
          </cell>
          <cell r="AG113">
            <v>114364159.46847105</v>
          </cell>
          <cell r="AH113">
            <v>128641284.89412855</v>
          </cell>
          <cell r="AI113">
            <v>143111517.57320675</v>
          </cell>
          <cell r="AJ113">
            <v>156440314.90556306</v>
          </cell>
          <cell r="AK113">
            <v>169601018.73061323</v>
          </cell>
          <cell r="AL113">
            <v>13174814.502917005</v>
          </cell>
          <cell r="AM113">
            <v>26412059.317720599</v>
          </cell>
          <cell r="AN113">
            <v>39365039.116285324</v>
          </cell>
          <cell r="AO113">
            <v>52689097.759645179</v>
          </cell>
          <cell r="AP113">
            <v>65979075.041777983</v>
          </cell>
          <cell r="AQ113">
            <v>79539058.269699037</v>
          </cell>
          <cell r="AR113">
            <v>93111161.866759181</v>
          </cell>
          <cell r="AS113">
            <v>106630114.26689038</v>
          </cell>
          <cell r="AT113">
            <v>121315104.00697984</v>
          </cell>
          <cell r="AU113">
            <v>136966043.70245022</v>
          </cell>
          <cell r="AV113">
            <v>153944771.4899278</v>
          </cell>
          <cell r="AW113">
            <v>181436488.91174984</v>
          </cell>
          <cell r="AX113">
            <v>229437189.98417193</v>
          </cell>
          <cell r="AY113">
            <v>334619308.37324387</v>
          </cell>
          <cell r="AZ113">
            <v>457546111.13421905</v>
          </cell>
          <cell r="BA113">
            <v>477738419.25135213</v>
          </cell>
          <cell r="BB113">
            <v>477738419.25135213</v>
          </cell>
        </row>
        <row r="114">
          <cell r="A114" t="str">
            <v>ytd</v>
          </cell>
          <cell r="B114">
            <v>11125162.705059463</v>
          </cell>
          <cell r="C114">
            <v>22133341.410118926</v>
          </cell>
          <cell r="D114">
            <v>32587893.518271048</v>
          </cell>
          <cell r="E114">
            <v>43001023.944227874</v>
          </cell>
          <cell r="F114">
            <v>53774595.341991544</v>
          </cell>
          <cell r="G114">
            <v>69433298.501292199</v>
          </cell>
          <cell r="H114">
            <v>80649531.700981975</v>
          </cell>
          <cell r="I114">
            <v>91314772.504086494</v>
          </cell>
          <cell r="J114">
            <v>102491227.72051196</v>
          </cell>
          <cell r="K114">
            <v>114177231.7894562</v>
          </cell>
          <cell r="L114">
            <v>125974298.30962385</v>
          </cell>
          <cell r="M114">
            <v>137587798.92221844</v>
          </cell>
          <cell r="N114">
            <v>149557114.53233379</v>
          </cell>
          <cell r="O114">
            <v>165260409.2897265</v>
          </cell>
          <cell r="P114">
            <v>177657006.43618035</v>
          </cell>
          <cell r="Q114">
            <v>190381437.42884716</v>
          </cell>
          <cell r="R114">
            <v>203915730.54318947</v>
          </cell>
          <cell r="S114">
            <v>224922924.08504391</v>
          </cell>
          <cell r="T114">
            <v>241855597.25938198</v>
          </cell>
          <cell r="U114">
            <v>256240841.83314824</v>
          </cell>
          <cell r="V114">
            <v>272427124.82514024</v>
          </cell>
          <cell r="W114">
            <v>289120567.11229837</v>
          </cell>
          <cell r="X114">
            <v>309078550.06769812</v>
          </cell>
          <cell r="Y114">
            <v>333017581.49303728</v>
          </cell>
          <cell r="Z114">
            <v>350922870.29927003</v>
          </cell>
          <cell r="AA114">
            <v>365010897.88113302</v>
          </cell>
          <cell r="AB114">
            <v>378214255.23798978</v>
          </cell>
          <cell r="AC114">
            <v>391475121.58298558</v>
          </cell>
          <cell r="AD114">
            <v>405455477.70955503</v>
          </cell>
          <cell r="AE114">
            <v>419263297.84681481</v>
          </cell>
          <cell r="AF114">
            <v>433343984.8854534</v>
          </cell>
          <cell r="AG114">
            <v>447381740.96150827</v>
          </cell>
          <cell r="AH114">
            <v>461658866.38716578</v>
          </cell>
          <cell r="AI114">
            <v>476129099.06624401</v>
          </cell>
          <cell r="AJ114">
            <v>489457896.39860034</v>
          </cell>
          <cell r="AK114">
            <v>502618600.22365052</v>
          </cell>
          <cell r="AL114">
            <v>515793414.72656751</v>
          </cell>
          <cell r="AM114">
            <v>529030659.54137111</v>
          </cell>
          <cell r="AN114">
            <v>541983639.33993578</v>
          </cell>
          <cell r="AO114">
            <v>555307697.98329568</v>
          </cell>
          <cell r="AP114">
            <v>568597675.26542854</v>
          </cell>
          <cell r="AQ114">
            <v>582157658.49334955</v>
          </cell>
          <cell r="AR114">
            <v>595729762.09040964</v>
          </cell>
          <cell r="AS114">
            <v>609248714.49054086</v>
          </cell>
          <cell r="AT114">
            <v>623933704.23063028</v>
          </cell>
          <cell r="AU114">
            <v>639584643.92610061</v>
          </cell>
          <cell r="AV114">
            <v>656563371.71357822</v>
          </cell>
          <cell r="AW114">
            <v>684055089.1354003</v>
          </cell>
          <cell r="AX114">
            <v>732055790.20782244</v>
          </cell>
          <cell r="AY114">
            <v>837237908.59689438</v>
          </cell>
          <cell r="AZ114">
            <v>960164711.35786963</v>
          </cell>
          <cell r="BA114">
            <v>980357019.47500277</v>
          </cell>
          <cell r="BB114">
            <v>980357019.47500277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240282.93619532866</v>
          </cell>
          <cell r="C117">
            <v>235831.18507120135</v>
          </cell>
          <cell r="D117">
            <v>210022.05646411254</v>
          </cell>
          <cell r="E117">
            <v>198638.09886130161</v>
          </cell>
          <cell r="F117">
            <v>198695.96534034636</v>
          </cell>
          <cell r="G117">
            <v>351640.87913362752</v>
          </cell>
          <cell r="H117">
            <v>227083.78352569242</v>
          </cell>
          <cell r="I117">
            <v>194513.05226106642</v>
          </cell>
          <cell r="J117">
            <v>197157.13635225428</v>
          </cell>
          <cell r="K117">
            <v>189776.55355872924</v>
          </cell>
          <cell r="L117">
            <v>217484.88935809798</v>
          </cell>
          <cell r="M117">
            <v>211643.92466268531</v>
          </cell>
          <cell r="N117">
            <v>186150.8324005302</v>
          </cell>
          <cell r="O117">
            <v>318788.06912479911</v>
          </cell>
          <cell r="P117">
            <v>192753.26311239519</v>
          </cell>
          <cell r="Q117">
            <v>206867.86103165013</v>
          </cell>
          <cell r="R117">
            <v>265907.95973488619</v>
          </cell>
          <cell r="S117">
            <v>439514.23330286483</v>
          </cell>
          <cell r="T117">
            <v>344605.17025475658</v>
          </cell>
          <cell r="U117">
            <v>257964.48427283848</v>
          </cell>
          <cell r="V117">
            <v>320401.10073311714</v>
          </cell>
          <cell r="W117">
            <v>291195.24832877913</v>
          </cell>
          <cell r="X117">
            <v>383070.46799450211</v>
          </cell>
          <cell r="Y117">
            <v>728812.35662911506</v>
          </cell>
          <cell r="Z117">
            <v>474541.56238530757</v>
          </cell>
          <cell r="AA117">
            <v>270516.82084453577</v>
          </cell>
          <cell r="AB117">
            <v>280539.66360608255</v>
          </cell>
          <cell r="AC117">
            <v>268062.07738930569</v>
          </cell>
          <cell r="AD117">
            <v>329476.77506528486</v>
          </cell>
          <cell r="AE117">
            <v>321981.80591853033</v>
          </cell>
          <cell r="AF117">
            <v>351494.09301873884</v>
          </cell>
          <cell r="AG117">
            <v>303494.01942995453</v>
          </cell>
          <cell r="AH117">
            <v>288821.78555515182</v>
          </cell>
          <cell r="AI117">
            <v>287829.8612684441</v>
          </cell>
          <cell r="AJ117">
            <v>259790.22148709386</v>
          </cell>
          <cell r="AK117">
            <v>256836.63271583145</v>
          </cell>
          <cell r="AL117">
            <v>249024.38380053767</v>
          </cell>
          <cell r="AM117">
            <v>236057.81538447455</v>
          </cell>
          <cell r="AN117">
            <v>242758.63947906281</v>
          </cell>
          <cell r="AO117">
            <v>257894.44009754222</v>
          </cell>
          <cell r="AP117">
            <v>256573.29693718904</v>
          </cell>
          <cell r="AQ117">
            <v>341431.15203540633</v>
          </cell>
          <cell r="AR117">
            <v>345842.54936196399</v>
          </cell>
          <cell r="AS117">
            <v>737390.64646299114</v>
          </cell>
          <cell r="AT117">
            <v>453963.81456224702</v>
          </cell>
          <cell r="AU117">
            <v>484633.72739143798</v>
          </cell>
          <cell r="AV117">
            <v>727060.18560532317</v>
          </cell>
          <cell r="AW117">
            <v>1509234.355249858</v>
          </cell>
          <cell r="AX117">
            <v>2290638.5040359613</v>
          </cell>
          <cell r="AY117">
            <v>4944397.9960514307</v>
          </cell>
          <cell r="AZ117">
            <v>6104743.3692836398</v>
          </cell>
          <cell r="BA117">
            <v>794383.23720192234</v>
          </cell>
          <cell r="BB117">
            <v>0</v>
          </cell>
        </row>
        <row r="118">
          <cell r="A118" t="str">
            <v>ptd</v>
          </cell>
          <cell r="B118">
            <v>240282.93619532866</v>
          </cell>
          <cell r="C118">
            <v>476114.12126653001</v>
          </cell>
          <cell r="D118">
            <v>686136.17773064249</v>
          </cell>
          <cell r="E118">
            <v>884774.27659194404</v>
          </cell>
          <cell r="F118">
            <v>198695.96534034636</v>
          </cell>
          <cell r="G118">
            <v>550336.84447397385</v>
          </cell>
          <cell r="H118">
            <v>777420.62799966626</v>
          </cell>
          <cell r="I118">
            <v>971933.68026073265</v>
          </cell>
          <cell r="J118">
            <v>197157.13635225428</v>
          </cell>
          <cell r="K118">
            <v>386933.68991098355</v>
          </cell>
          <cell r="L118">
            <v>604418.57926908159</v>
          </cell>
          <cell r="M118">
            <v>816062.50393176684</v>
          </cell>
          <cell r="N118">
            <v>186150.8324005302</v>
          </cell>
          <cell r="O118">
            <v>504938.90152532933</v>
          </cell>
          <cell r="P118">
            <v>697692.16463772452</v>
          </cell>
          <cell r="Q118">
            <v>904560.02566937462</v>
          </cell>
          <cell r="R118">
            <v>265907.95973488619</v>
          </cell>
          <cell r="S118">
            <v>705422.19303775101</v>
          </cell>
          <cell r="T118">
            <v>1050027.3632925076</v>
          </cell>
          <cell r="U118">
            <v>1307991.8475653462</v>
          </cell>
          <cell r="V118">
            <v>320401.10073311714</v>
          </cell>
          <cell r="W118">
            <v>611596.34906189633</v>
          </cell>
          <cell r="X118">
            <v>994666.81705639837</v>
          </cell>
          <cell r="Y118">
            <v>1723479.1736855134</v>
          </cell>
          <cell r="Z118">
            <v>474541.56238530757</v>
          </cell>
          <cell r="AA118">
            <v>745058.38322984334</v>
          </cell>
          <cell r="AB118">
            <v>1025598.0468359259</v>
          </cell>
          <cell r="AC118">
            <v>1293660.1242252316</v>
          </cell>
          <cell r="AD118">
            <v>329476.77506528486</v>
          </cell>
          <cell r="AE118">
            <v>651458.58098381525</v>
          </cell>
          <cell r="AF118">
            <v>1002952.674002554</v>
          </cell>
          <cell r="AG118">
            <v>1306446.6934325085</v>
          </cell>
          <cell r="AH118">
            <v>288821.78555515182</v>
          </cell>
          <cell r="AI118">
            <v>576651.64682359598</v>
          </cell>
          <cell r="AJ118">
            <v>836441.86831068981</v>
          </cell>
          <cell r="AK118">
            <v>1093278.5010265212</v>
          </cell>
          <cell r="AL118">
            <v>249024.38380053767</v>
          </cell>
          <cell r="AM118">
            <v>485082.19918501226</v>
          </cell>
          <cell r="AN118">
            <v>727840.83866407513</v>
          </cell>
          <cell r="AO118">
            <v>985735.27876161737</v>
          </cell>
          <cell r="AP118">
            <v>256573.29693718904</v>
          </cell>
          <cell r="AQ118">
            <v>598004.44897259539</v>
          </cell>
          <cell r="AR118">
            <v>943846.99833455938</v>
          </cell>
          <cell r="AS118">
            <v>1681237.6447975505</v>
          </cell>
          <cell r="AT118">
            <v>453963.81456224702</v>
          </cell>
          <cell r="AU118">
            <v>938597.54195368499</v>
          </cell>
          <cell r="AV118">
            <v>1665657.7275590082</v>
          </cell>
          <cell r="AW118">
            <v>3174892.0828088662</v>
          </cell>
          <cell r="AX118">
            <v>2290638.5040359613</v>
          </cell>
          <cell r="AY118">
            <v>7235036.5000873916</v>
          </cell>
          <cell r="AZ118">
            <v>13339779.86937103</v>
          </cell>
          <cell r="BA118">
            <v>14134163.106572952</v>
          </cell>
          <cell r="BB118">
            <v>14134163.106572952</v>
          </cell>
        </row>
        <row r="119">
          <cell r="A119" t="str">
            <v>qtd</v>
          </cell>
          <cell r="B119">
            <v>240282.93619532866</v>
          </cell>
          <cell r="C119">
            <v>476114.12126653001</v>
          </cell>
          <cell r="D119">
            <v>686136.17773064249</v>
          </cell>
          <cell r="E119">
            <v>884774.27659194404</v>
          </cell>
          <cell r="F119">
            <v>1083470.2419322904</v>
          </cell>
          <cell r="G119">
            <v>1435111.1210659179</v>
          </cell>
          <cell r="H119">
            <v>1662194.9045916102</v>
          </cell>
          <cell r="I119">
            <v>1856707.9568526766</v>
          </cell>
          <cell r="J119">
            <v>2053865.0932049309</v>
          </cell>
          <cell r="K119">
            <v>2243641.64676366</v>
          </cell>
          <cell r="L119">
            <v>2461126.5361217582</v>
          </cell>
          <cell r="M119">
            <v>2672770.4607844437</v>
          </cell>
          <cell r="N119">
            <v>186150.8324005302</v>
          </cell>
          <cell r="O119">
            <v>504938.90152532933</v>
          </cell>
          <cell r="P119">
            <v>697692.16463772452</v>
          </cell>
          <cell r="Q119">
            <v>904560.02566937462</v>
          </cell>
          <cell r="R119">
            <v>1170467.9854042609</v>
          </cell>
          <cell r="S119">
            <v>1609982.2187071256</v>
          </cell>
          <cell r="T119">
            <v>1954587.3889618823</v>
          </cell>
          <cell r="U119">
            <v>2212551.8732347209</v>
          </cell>
          <cell r="V119">
            <v>2532952.9739678381</v>
          </cell>
          <cell r="W119">
            <v>2824148.222296617</v>
          </cell>
          <cell r="X119">
            <v>3207218.6902911193</v>
          </cell>
          <cell r="Y119">
            <v>3936031.0469202343</v>
          </cell>
          <cell r="Z119">
            <v>474541.56238530757</v>
          </cell>
          <cell r="AA119">
            <v>745058.38322984334</v>
          </cell>
          <cell r="AB119">
            <v>1025598.0468359259</v>
          </cell>
          <cell r="AC119">
            <v>1293660.1242252316</v>
          </cell>
          <cell r="AD119">
            <v>1623136.8992905165</v>
          </cell>
          <cell r="AE119">
            <v>1945118.7052090468</v>
          </cell>
          <cell r="AF119">
            <v>2296612.7982277856</v>
          </cell>
          <cell r="AG119">
            <v>2600106.8176577403</v>
          </cell>
          <cell r="AH119">
            <v>2888928.6032128921</v>
          </cell>
          <cell r="AI119">
            <v>3176758.4644813361</v>
          </cell>
          <cell r="AJ119">
            <v>3436548.6859684298</v>
          </cell>
          <cell r="AK119">
            <v>3693385.3186842613</v>
          </cell>
          <cell r="AL119">
            <v>249024.38380053767</v>
          </cell>
          <cell r="AM119">
            <v>485082.19918501226</v>
          </cell>
          <cell r="AN119">
            <v>727840.83866407513</v>
          </cell>
          <cell r="AO119">
            <v>985735.27876161737</v>
          </cell>
          <cell r="AP119">
            <v>1242308.5756988064</v>
          </cell>
          <cell r="AQ119">
            <v>1583739.7277342128</v>
          </cell>
          <cell r="AR119">
            <v>1929582.2770961768</v>
          </cell>
          <cell r="AS119">
            <v>2666972.9235591679</v>
          </cell>
          <cell r="AT119">
            <v>3120936.738121415</v>
          </cell>
          <cell r="AU119">
            <v>3605570.4655128531</v>
          </cell>
          <cell r="AV119">
            <v>4332630.6511181761</v>
          </cell>
          <cell r="AW119">
            <v>5841865.0063680336</v>
          </cell>
          <cell r="AX119">
            <v>8132503.5104039945</v>
          </cell>
          <cell r="AY119">
            <v>13076901.506455425</v>
          </cell>
          <cell r="AZ119">
            <v>19181644.875739064</v>
          </cell>
          <cell r="BA119">
            <v>19976028.112940986</v>
          </cell>
          <cell r="BB119">
            <v>19976028.112940986</v>
          </cell>
        </row>
        <row r="120">
          <cell r="A120" t="str">
            <v>ytd</v>
          </cell>
          <cell r="B120">
            <v>240282.93619532866</v>
          </cell>
          <cell r="C120">
            <v>476114.12126653001</v>
          </cell>
          <cell r="D120">
            <v>686136.17773064249</v>
          </cell>
          <cell r="E120">
            <v>884774.27659194404</v>
          </cell>
          <cell r="F120">
            <v>1083470.2419322904</v>
          </cell>
          <cell r="G120">
            <v>1435111.1210659179</v>
          </cell>
          <cell r="H120">
            <v>1662194.9045916102</v>
          </cell>
          <cell r="I120">
            <v>1856707.9568526766</v>
          </cell>
          <cell r="J120">
            <v>2053865.0932049309</v>
          </cell>
          <cell r="K120">
            <v>2243641.64676366</v>
          </cell>
          <cell r="L120">
            <v>2461126.5361217582</v>
          </cell>
          <cell r="M120">
            <v>2672770.4607844437</v>
          </cell>
          <cell r="N120">
            <v>2858921.2931849738</v>
          </cell>
          <cell r="O120">
            <v>3177709.362309773</v>
          </cell>
          <cell r="P120">
            <v>3370462.6254221681</v>
          </cell>
          <cell r="Q120">
            <v>3577330.4864538182</v>
          </cell>
          <cell r="R120">
            <v>3843238.4461887041</v>
          </cell>
          <cell r="S120">
            <v>4282752.6794915693</v>
          </cell>
          <cell r="T120">
            <v>4627357.849746326</v>
          </cell>
          <cell r="U120">
            <v>4885322.3340191646</v>
          </cell>
          <cell r="V120">
            <v>5205723.4347522818</v>
          </cell>
          <cell r="W120">
            <v>5496918.6830810606</v>
          </cell>
          <cell r="X120">
            <v>5879989.1510755625</v>
          </cell>
          <cell r="Y120">
            <v>6608801.5077046771</v>
          </cell>
          <cell r="Z120">
            <v>7083343.0700899847</v>
          </cell>
          <cell r="AA120">
            <v>7353859.8909345204</v>
          </cell>
          <cell r="AB120">
            <v>7634399.5545406025</v>
          </cell>
          <cell r="AC120">
            <v>7902461.6319299079</v>
          </cell>
          <cell r="AD120">
            <v>8231938.4069951931</v>
          </cell>
          <cell r="AE120">
            <v>8553920.2129137237</v>
          </cell>
          <cell r="AF120">
            <v>8905414.3059324622</v>
          </cell>
          <cell r="AG120">
            <v>9208908.325362416</v>
          </cell>
          <cell r="AH120">
            <v>9497730.1109175682</v>
          </cell>
          <cell r="AI120">
            <v>9785559.9721860122</v>
          </cell>
          <cell r="AJ120">
            <v>10045350.193673106</v>
          </cell>
          <cell r="AK120">
            <v>10302186.826388936</v>
          </cell>
          <cell r="AL120">
            <v>10551211.210189475</v>
          </cell>
          <cell r="AM120">
            <v>10787269.025573948</v>
          </cell>
          <cell r="AN120">
            <v>11030027.665053012</v>
          </cell>
          <cell r="AO120">
            <v>11287922.105150554</v>
          </cell>
          <cell r="AP120">
            <v>11544495.402087742</v>
          </cell>
          <cell r="AQ120">
            <v>11885926.554123148</v>
          </cell>
          <cell r="AR120">
            <v>12231769.103485113</v>
          </cell>
          <cell r="AS120">
            <v>12969159.749948105</v>
          </cell>
          <cell r="AT120">
            <v>13423123.564510351</v>
          </cell>
          <cell r="AU120">
            <v>13907757.29190179</v>
          </cell>
          <cell r="AV120">
            <v>14634817.477507113</v>
          </cell>
          <cell r="AW120">
            <v>16144051.83275697</v>
          </cell>
          <cell r="AX120">
            <v>18434690.336792931</v>
          </cell>
          <cell r="AY120">
            <v>23379088.332844362</v>
          </cell>
          <cell r="AZ120">
            <v>29483831.702128001</v>
          </cell>
          <cell r="BA120">
            <v>30278214.939329922</v>
          </cell>
          <cell r="BB120">
            <v>30278214.939329922</v>
          </cell>
        </row>
        <row r="121">
          <cell r="A121" t="str">
            <v>PART</v>
          </cell>
          <cell r="B121">
            <v>15364403.15472885</v>
          </cell>
          <cell r="C121">
            <v>14847240.718519723</v>
          </cell>
          <cell r="D121">
            <v>12934511.213902539</v>
          </cell>
          <cell r="E121">
            <v>12732078.692193011</v>
          </cell>
          <cell r="F121">
            <v>13266739.877309497</v>
          </cell>
          <cell r="G121">
            <v>22011408.791137137</v>
          </cell>
          <cell r="H121">
            <v>15165626.185041055</v>
          </cell>
          <cell r="I121">
            <v>13198116.420954322</v>
          </cell>
          <cell r="J121">
            <v>14092657.874362433</v>
          </cell>
          <cell r="K121">
            <v>14475610.822699394</v>
          </cell>
          <cell r="L121">
            <v>15361863.073741505</v>
          </cell>
          <cell r="M121">
            <v>14622321.615468858</v>
          </cell>
          <cell r="N121">
            <v>14021808.130464928</v>
          </cell>
          <cell r="O121">
            <v>22870447.922794346</v>
          </cell>
          <cell r="P121">
            <v>14110028.003310883</v>
          </cell>
          <cell r="Q121">
            <v>14867192.231775928</v>
          </cell>
          <cell r="R121">
            <v>17235396.110449512</v>
          </cell>
          <cell r="S121">
            <v>31942231.330176052</v>
          </cell>
          <cell r="T121">
            <v>24014593.678398144</v>
          </cell>
          <cell r="U121">
            <v>18277859.737755507</v>
          </cell>
          <cell r="V121">
            <v>20401247.389656626</v>
          </cell>
          <cell r="W121">
            <v>20362226.554633558</v>
          </cell>
          <cell r="X121">
            <v>24422735.709591776</v>
          </cell>
          <cell r="Y121">
            <v>40490688.461557776</v>
          </cell>
          <cell r="Z121">
            <v>29028872.422485422</v>
          </cell>
          <cell r="AA121">
            <v>19310470.559560403</v>
          </cell>
          <cell r="AB121">
            <v>16441415.546317216</v>
          </cell>
          <cell r="AC121">
            <v>16460730.865948133</v>
          </cell>
          <cell r="AD121">
            <v>16078792.459705846</v>
          </cell>
          <cell r="AE121">
            <v>15927379.373145228</v>
          </cell>
          <cell r="AF121">
            <v>16487231.710326212</v>
          </cell>
          <cell r="AG121">
            <v>16231443.767118277</v>
          </cell>
          <cell r="AH121">
            <v>16374042.100585351</v>
          </cell>
          <cell r="AI121">
            <v>16589463.768760299</v>
          </cell>
          <cell r="AJ121">
            <v>15884654.698451785</v>
          </cell>
          <cell r="AK121">
            <v>15653626.744072828</v>
          </cell>
          <cell r="AL121">
            <v>16255619.961860619</v>
          </cell>
          <cell r="AM121">
            <v>16447791.8241481</v>
          </cell>
          <cell r="AN121">
            <v>16427024.440533893</v>
          </cell>
          <cell r="AO121">
            <v>17207224.779481068</v>
          </cell>
          <cell r="AP121">
            <v>17310045.982459478</v>
          </cell>
          <cell r="AQ121">
            <v>19146079.684938636</v>
          </cell>
          <cell r="AR121">
            <v>18675615.947349541</v>
          </cell>
          <cell r="AS121">
            <v>18507850.36490345</v>
          </cell>
          <cell r="AT121">
            <v>21204925.910598293</v>
          </cell>
          <cell r="AU121">
            <v>23635884.414377857</v>
          </cell>
          <cell r="AV121">
            <v>29226056.645519305</v>
          </cell>
          <cell r="AW121">
            <v>52058797.130283259</v>
          </cell>
          <cell r="AX121">
            <v>93190443.668236971</v>
          </cell>
          <cell r="AY121">
            <v>196341681.49182981</v>
          </cell>
          <cell r="AZ121">
            <v>266928499.19456238</v>
          </cell>
          <cell r="BA121">
            <v>45864720.940287299</v>
          </cell>
          <cell r="BB121">
            <v>0</v>
          </cell>
        </row>
        <row r="122">
          <cell r="A122" t="str">
            <v>ptd</v>
          </cell>
          <cell r="B122">
            <v>15364403.15472885</v>
          </cell>
          <cell r="C122">
            <v>30211643.873248573</v>
          </cell>
          <cell r="D122">
            <v>43146155.08715111</v>
          </cell>
          <cell r="E122">
            <v>55878233.779344119</v>
          </cell>
          <cell r="F122">
            <v>13266739.877309497</v>
          </cell>
          <cell r="G122">
            <v>35278148.66844663</v>
          </cell>
          <cell r="H122">
            <v>50443774.853487685</v>
          </cell>
          <cell r="I122">
            <v>63641891.27444201</v>
          </cell>
          <cell r="J122">
            <v>14092657.874362433</v>
          </cell>
          <cell r="K122">
            <v>28568268.697061829</v>
          </cell>
          <cell r="L122">
            <v>43930131.770803332</v>
          </cell>
          <cell r="M122">
            <v>58552453.386272192</v>
          </cell>
          <cell r="N122">
            <v>14021808.130464928</v>
          </cell>
          <cell r="O122">
            <v>36892256.053259276</v>
          </cell>
          <cell r="P122">
            <v>51002284.056570157</v>
          </cell>
          <cell r="Q122">
            <v>65869476.288346082</v>
          </cell>
          <cell r="R122">
            <v>17235396.110449512</v>
          </cell>
          <cell r="S122">
            <v>49177627.440625563</v>
          </cell>
          <cell r="T122">
            <v>73192221.11902371</v>
          </cell>
          <cell r="U122">
            <v>91470080.856779218</v>
          </cell>
          <cell r="V122">
            <v>20401247.389656626</v>
          </cell>
          <cell r="W122">
            <v>40763473.944290183</v>
          </cell>
          <cell r="X122">
            <v>65186209.65388196</v>
          </cell>
          <cell r="Y122">
            <v>105676898.11543974</v>
          </cell>
          <cell r="Z122">
            <v>29028872.422485422</v>
          </cell>
          <cell r="AA122">
            <v>48339342.982045829</v>
          </cell>
          <cell r="AB122">
            <v>64780758.528363049</v>
          </cell>
          <cell r="AC122">
            <v>81241489.39431119</v>
          </cell>
          <cell r="AD122">
            <v>16078792.459705846</v>
          </cell>
          <cell r="AE122">
            <v>32006171.832851075</v>
          </cell>
          <cell r="AF122">
            <v>48493403.543177284</v>
          </cell>
          <cell r="AG122">
            <v>64724847.310295559</v>
          </cell>
          <cell r="AH122">
            <v>16374042.100585351</v>
          </cell>
          <cell r="AI122">
            <v>32963505.86934565</v>
          </cell>
          <cell r="AJ122">
            <v>48848160.567797437</v>
          </cell>
          <cell r="AK122">
            <v>64501787.311870262</v>
          </cell>
          <cell r="AL122">
            <v>16255619.961860619</v>
          </cell>
          <cell r="AM122">
            <v>32703411.786008719</v>
          </cell>
          <cell r="AN122">
            <v>49130436.226542614</v>
          </cell>
          <cell r="AO122">
            <v>66337661.006023683</v>
          </cell>
          <cell r="AP122">
            <v>17310045.982459478</v>
          </cell>
          <cell r="AQ122">
            <v>36456125.66739811</v>
          </cell>
          <cell r="AR122">
            <v>55131741.614747651</v>
          </cell>
          <cell r="AS122">
            <v>73639591.979651093</v>
          </cell>
          <cell r="AT122">
            <v>21204925.910598293</v>
          </cell>
          <cell r="AU122">
            <v>44840810.324976146</v>
          </cell>
          <cell r="AV122">
            <v>74066866.970495448</v>
          </cell>
          <cell r="AW122">
            <v>126125664.1007787</v>
          </cell>
          <cell r="AX122">
            <v>93190443.668236971</v>
          </cell>
          <cell r="AY122">
            <v>289532125.16006678</v>
          </cell>
          <cell r="AZ122">
            <v>556460624.35462916</v>
          </cell>
          <cell r="BA122">
            <v>602325345.29491651</v>
          </cell>
          <cell r="BB122">
            <v>602325345.29491651</v>
          </cell>
        </row>
        <row r="123">
          <cell r="A123" t="str">
            <v>qtd</v>
          </cell>
          <cell r="B123">
            <v>15364403.15472885</v>
          </cell>
          <cell r="C123">
            <v>30211643.873248573</v>
          </cell>
          <cell r="D123">
            <v>43146155.08715111</v>
          </cell>
          <cell r="E123">
            <v>55878233.779344119</v>
          </cell>
          <cell r="F123">
            <v>69144973.656653613</v>
          </cell>
          <cell r="G123">
            <v>91156382.447790742</v>
          </cell>
          <cell r="H123">
            <v>106322008.6328318</v>
          </cell>
          <cell r="I123">
            <v>119520125.05378611</v>
          </cell>
          <cell r="J123">
            <v>133612782.92814855</v>
          </cell>
          <cell r="K123">
            <v>148088393.75084794</v>
          </cell>
          <cell r="L123">
            <v>163450256.82458943</v>
          </cell>
          <cell r="M123">
            <v>178072578.44005829</v>
          </cell>
          <cell r="N123">
            <v>14021808.130464928</v>
          </cell>
          <cell r="O123">
            <v>36892256.053259276</v>
          </cell>
          <cell r="P123">
            <v>51002284.056570157</v>
          </cell>
          <cell r="Q123">
            <v>65869476.288346082</v>
          </cell>
          <cell r="R123">
            <v>83104872.39879559</v>
          </cell>
          <cell r="S123">
            <v>115047103.72897165</v>
          </cell>
          <cell r="T123">
            <v>139061697.40736979</v>
          </cell>
          <cell r="U123">
            <v>157339557.1451253</v>
          </cell>
          <cell r="V123">
            <v>177740804.53478193</v>
          </cell>
          <cell r="W123">
            <v>198103031.08941549</v>
          </cell>
          <cell r="X123">
            <v>222525766.79900727</v>
          </cell>
          <cell r="Y123">
            <v>263016455.26056504</v>
          </cell>
          <cell r="Z123">
            <v>29028872.422485422</v>
          </cell>
          <cell r="AA123">
            <v>48339342.982045829</v>
          </cell>
          <cell r="AB123">
            <v>64780758.528363049</v>
          </cell>
          <cell r="AC123">
            <v>81241489.39431119</v>
          </cell>
          <cell r="AD123">
            <v>97320281.854017034</v>
          </cell>
          <cell r="AE123">
            <v>113247661.22716226</v>
          </cell>
          <cell r="AF123">
            <v>129734892.93748847</v>
          </cell>
          <cell r="AG123">
            <v>145966336.70460674</v>
          </cell>
          <cell r="AH123">
            <v>162340378.80519208</v>
          </cell>
          <cell r="AI123">
            <v>178929842.57395238</v>
          </cell>
          <cell r="AJ123">
            <v>194814497.27240416</v>
          </cell>
          <cell r="AK123">
            <v>210468124.01647699</v>
          </cell>
          <cell r="AL123">
            <v>16255619.961860619</v>
          </cell>
          <cell r="AM123">
            <v>32703411.786008719</v>
          </cell>
          <cell r="AN123">
            <v>49130436.226542614</v>
          </cell>
          <cell r="AO123">
            <v>66337661.006023683</v>
          </cell>
          <cell r="AP123">
            <v>83647706.988483161</v>
          </cell>
          <cell r="AQ123">
            <v>102793786.6734218</v>
          </cell>
          <cell r="AR123">
            <v>121469402.62077135</v>
          </cell>
          <cell r="AS123">
            <v>139977252.9856748</v>
          </cell>
          <cell r="AT123">
            <v>161182178.89627308</v>
          </cell>
          <cell r="AU123">
            <v>184818063.31065094</v>
          </cell>
          <cell r="AV123">
            <v>214044119.95617026</v>
          </cell>
          <cell r="AW123">
            <v>266102917.08645353</v>
          </cell>
          <cell r="AX123">
            <v>359293360.75469053</v>
          </cell>
          <cell r="AY123">
            <v>555635042.24652028</v>
          </cell>
          <cell r="AZ123">
            <v>822563541.44108272</v>
          </cell>
          <cell r="BA123">
            <v>868428262.38137007</v>
          </cell>
          <cell r="BB123">
            <v>868428262.38137007</v>
          </cell>
        </row>
        <row r="124">
          <cell r="A124" t="str">
            <v>ytd</v>
          </cell>
          <cell r="B124">
            <v>15364403.15472885</v>
          </cell>
          <cell r="C124">
            <v>30211643.873248573</v>
          </cell>
          <cell r="D124">
            <v>43146155.08715111</v>
          </cell>
          <cell r="E124">
            <v>55878233.779344119</v>
          </cell>
          <cell r="F124">
            <v>69144973.656653613</v>
          </cell>
          <cell r="G124">
            <v>91156382.447790742</v>
          </cell>
          <cell r="H124">
            <v>106322008.6328318</v>
          </cell>
          <cell r="I124">
            <v>119520125.05378611</v>
          </cell>
          <cell r="J124">
            <v>133612782.92814855</v>
          </cell>
          <cell r="K124">
            <v>148088393.75084794</v>
          </cell>
          <cell r="L124">
            <v>163450256.82458943</v>
          </cell>
          <cell r="M124">
            <v>178072578.44005829</v>
          </cell>
          <cell r="N124">
            <v>192094386.57052323</v>
          </cell>
          <cell r="O124">
            <v>214964834.49331757</v>
          </cell>
          <cell r="P124">
            <v>229074862.49662846</v>
          </cell>
          <cell r="Q124">
            <v>243942054.7284044</v>
          </cell>
          <cell r="R124">
            <v>261177450.83885393</v>
          </cell>
          <cell r="S124">
            <v>293119682.16902995</v>
          </cell>
          <cell r="T124">
            <v>317134275.84742808</v>
          </cell>
          <cell r="U124">
            <v>335412135.58518362</v>
          </cell>
          <cell r="V124">
            <v>355813382.97484022</v>
          </cell>
          <cell r="W124">
            <v>376175609.52947378</v>
          </cell>
          <cell r="X124">
            <v>400598345.23906553</v>
          </cell>
          <cell r="Y124">
            <v>441089033.70062327</v>
          </cell>
          <cell r="Z124">
            <v>470117906.12310869</v>
          </cell>
          <cell r="AA124">
            <v>489428376.6826691</v>
          </cell>
          <cell r="AB124">
            <v>505869792.22898632</v>
          </cell>
          <cell r="AC124">
            <v>522330523.09493446</v>
          </cell>
          <cell r="AD124">
            <v>538409315.55464029</v>
          </cell>
          <cell r="AE124">
            <v>554336694.92778552</v>
          </cell>
          <cell r="AF124">
            <v>570823926.63811171</v>
          </cell>
          <cell r="AG124">
            <v>587055370.40523005</v>
          </cell>
          <cell r="AH124">
            <v>603429412.50581539</v>
          </cell>
          <cell r="AI124">
            <v>620018876.27457571</v>
          </cell>
          <cell r="AJ124">
            <v>635903530.97302747</v>
          </cell>
          <cell r="AK124">
            <v>651557157.71710026</v>
          </cell>
          <cell r="AL124">
            <v>667812777.67896092</v>
          </cell>
          <cell r="AM124">
            <v>684260569.50310898</v>
          </cell>
          <cell r="AN124">
            <v>700687593.94364285</v>
          </cell>
          <cell r="AO124">
            <v>717894818.72312391</v>
          </cell>
          <cell r="AP124">
            <v>735204864.70558333</v>
          </cell>
          <cell r="AQ124">
            <v>754350944.390522</v>
          </cell>
          <cell r="AR124">
            <v>773026560.33787155</v>
          </cell>
          <cell r="AS124">
            <v>791534410.702775</v>
          </cell>
          <cell r="AT124">
            <v>812739336.61337328</v>
          </cell>
          <cell r="AU124">
            <v>836375221.02775109</v>
          </cell>
          <cell r="AV124">
            <v>865601277.67327034</v>
          </cell>
          <cell r="AW124">
            <v>917660074.80355358</v>
          </cell>
          <cell r="AX124">
            <v>1010850518.4717906</v>
          </cell>
          <cell r="AY124">
            <v>1207192199.9636204</v>
          </cell>
          <cell r="AZ124">
            <v>1474120699.1581829</v>
          </cell>
          <cell r="BA124">
            <v>1519985420.0984702</v>
          </cell>
          <cell r="BB124">
            <v>1519985420.0984702</v>
          </cell>
        </row>
        <row r="125">
          <cell r="A125" t="str">
            <v>PRED</v>
          </cell>
          <cell r="B125">
            <v>524019.5779340138</v>
          </cell>
          <cell r="C125">
            <v>527855.67360420071</v>
          </cell>
          <cell r="D125">
            <v>535949.30135004525</v>
          </cell>
          <cell r="E125">
            <v>565919.56787151075</v>
          </cell>
          <cell r="F125">
            <v>589457.44833942014</v>
          </cell>
          <cell r="G125">
            <v>590433.25846513326</v>
          </cell>
          <cell r="H125">
            <v>581833.83826112864</v>
          </cell>
          <cell r="I125">
            <v>593529.78043952293</v>
          </cell>
          <cell r="J125">
            <v>525255.76375878288</v>
          </cell>
          <cell r="K125">
            <v>513975.440579722</v>
          </cell>
          <cell r="L125">
            <v>514936.01439569116</v>
          </cell>
          <cell r="M125">
            <v>520958.76141234627</v>
          </cell>
          <cell r="N125">
            <v>596000.54174202203</v>
          </cell>
          <cell r="O125">
            <v>580374.17113011482</v>
          </cell>
          <cell r="P125">
            <v>563337.10676314845</v>
          </cell>
          <cell r="Q125">
            <v>557598.65844419925</v>
          </cell>
          <cell r="R125">
            <v>648985.8079880412</v>
          </cell>
          <cell r="S125">
            <v>625292.21123633254</v>
          </cell>
          <cell r="T125">
            <v>630229.261305733</v>
          </cell>
          <cell r="U125">
            <v>629028.8487811957</v>
          </cell>
          <cell r="V125">
            <v>682363.39923872729</v>
          </cell>
          <cell r="W125">
            <v>697698.43264458643</v>
          </cell>
          <cell r="X125">
            <v>705896.93360343389</v>
          </cell>
          <cell r="Y125">
            <v>710400.80907607614</v>
          </cell>
          <cell r="Z125">
            <v>757459.01685018279</v>
          </cell>
          <cell r="AA125">
            <v>748547.36933552776</v>
          </cell>
          <cell r="AB125">
            <v>748002.08153775567</v>
          </cell>
          <cell r="AC125">
            <v>761593.54950676148</v>
          </cell>
          <cell r="AD125">
            <v>789367.6032083967</v>
          </cell>
          <cell r="AE125">
            <v>802472.1271968967</v>
          </cell>
          <cell r="AF125">
            <v>797668.39776723227</v>
          </cell>
          <cell r="AG125">
            <v>786646.54152141244</v>
          </cell>
          <cell r="AH125">
            <v>805411.3991967577</v>
          </cell>
          <cell r="AI125">
            <v>809083.42864618439</v>
          </cell>
          <cell r="AJ125">
            <v>810387.86701302277</v>
          </cell>
          <cell r="AK125">
            <v>816497.23752828268</v>
          </cell>
          <cell r="AL125">
            <v>989575.82455382159</v>
          </cell>
          <cell r="AM125">
            <v>991418.8576109485</v>
          </cell>
          <cell r="AN125">
            <v>1009729.3385867126</v>
          </cell>
          <cell r="AO125">
            <v>1012069.5049825491</v>
          </cell>
          <cell r="AP125">
            <v>1063967.0580847424</v>
          </cell>
          <cell r="AQ125">
            <v>1053063.7444313946</v>
          </cell>
          <cell r="AR125">
            <v>1059856.5446270865</v>
          </cell>
          <cell r="AS125">
            <v>1063246.7441951644</v>
          </cell>
          <cell r="AT125">
            <v>1128186.6704286004</v>
          </cell>
          <cell r="AU125">
            <v>1103680.8283638603</v>
          </cell>
          <cell r="AV125">
            <v>1144486.3899946869</v>
          </cell>
          <cell r="AW125">
            <v>1189599.3024982531</v>
          </cell>
          <cell r="AX125">
            <v>1359538.6781211889</v>
          </cell>
          <cell r="AY125">
            <v>1375255.0946481794</v>
          </cell>
          <cell r="AZ125">
            <v>1392641.9945220698</v>
          </cell>
          <cell r="BA125">
            <v>1285835.0104198284</v>
          </cell>
          <cell r="BB125">
            <v>0</v>
          </cell>
        </row>
        <row r="126">
          <cell r="A126" t="str">
            <v>ptd</v>
          </cell>
          <cell r="B126">
            <v>524019.5779340138</v>
          </cell>
          <cell r="C126">
            <v>1051875.2515382145</v>
          </cell>
          <cell r="D126">
            <v>1587824.5528882598</v>
          </cell>
          <cell r="E126">
            <v>2153744.1207597703</v>
          </cell>
          <cell r="F126">
            <v>589457.44833942014</v>
          </cell>
          <cell r="G126">
            <v>1179890.7068045535</v>
          </cell>
          <cell r="H126">
            <v>1761724.5450656821</v>
          </cell>
          <cell r="I126">
            <v>2355254.325505205</v>
          </cell>
          <cell r="J126">
            <v>525255.76375878288</v>
          </cell>
          <cell r="K126">
            <v>1039231.2043385049</v>
          </cell>
          <cell r="L126">
            <v>1554167.2187341962</v>
          </cell>
          <cell r="M126">
            <v>2075125.9801465424</v>
          </cell>
          <cell r="N126">
            <v>596000.54174202203</v>
          </cell>
          <cell r="O126">
            <v>1176374.7128721368</v>
          </cell>
          <cell r="P126">
            <v>1739711.8196352853</v>
          </cell>
          <cell r="Q126">
            <v>2297310.4780794848</v>
          </cell>
          <cell r="R126">
            <v>648985.8079880412</v>
          </cell>
          <cell r="S126">
            <v>1274278.0192243736</v>
          </cell>
          <cell r="T126">
            <v>1904507.2805301067</v>
          </cell>
          <cell r="U126">
            <v>2533536.1293113027</v>
          </cell>
          <cell r="V126">
            <v>682363.39923872729</v>
          </cell>
          <cell r="W126">
            <v>1380061.8318833136</v>
          </cell>
          <cell r="X126">
            <v>2085958.7654867475</v>
          </cell>
          <cell r="Y126">
            <v>2796359.5745628234</v>
          </cell>
          <cell r="Z126">
            <v>757459.01685018279</v>
          </cell>
          <cell r="AA126">
            <v>1506006.3861857106</v>
          </cell>
          <cell r="AB126">
            <v>2254008.4677234665</v>
          </cell>
          <cell r="AC126">
            <v>3015602.0172302281</v>
          </cell>
          <cell r="AD126">
            <v>789367.6032083967</v>
          </cell>
          <cell r="AE126">
            <v>1591839.7304052934</v>
          </cell>
          <cell r="AF126">
            <v>2389508.1281725257</v>
          </cell>
          <cell r="AG126">
            <v>3176154.669693938</v>
          </cell>
          <cell r="AH126">
            <v>805411.3991967577</v>
          </cell>
          <cell r="AI126">
            <v>1614494.827842942</v>
          </cell>
          <cell r="AJ126">
            <v>2424882.6948559647</v>
          </cell>
          <cell r="AK126">
            <v>3241379.9323842474</v>
          </cell>
          <cell r="AL126">
            <v>989575.82455382159</v>
          </cell>
          <cell r="AM126">
            <v>1980994.6821647701</v>
          </cell>
          <cell r="AN126">
            <v>2990724.0207514828</v>
          </cell>
          <cell r="AO126">
            <v>4002793.525734032</v>
          </cell>
          <cell r="AP126">
            <v>1063967.0580847424</v>
          </cell>
          <cell r="AQ126">
            <v>2117030.8025161372</v>
          </cell>
          <cell r="AR126">
            <v>3176887.3471432235</v>
          </cell>
          <cell r="AS126">
            <v>4240134.0913383877</v>
          </cell>
          <cell r="AT126">
            <v>1128186.6704286004</v>
          </cell>
          <cell r="AU126">
            <v>2231867.4987924607</v>
          </cell>
          <cell r="AV126">
            <v>3376353.8887871476</v>
          </cell>
          <cell r="AW126">
            <v>4565953.1912854007</v>
          </cell>
          <cell r="AX126">
            <v>1359538.6781211889</v>
          </cell>
          <cell r="AY126">
            <v>2734793.7727693683</v>
          </cell>
          <cell r="AZ126">
            <v>4127435.7672914378</v>
          </cell>
          <cell r="BA126">
            <v>5413270.7777112667</v>
          </cell>
          <cell r="BB126">
            <v>5413270.7777112667</v>
          </cell>
        </row>
        <row r="127">
          <cell r="A127" t="str">
            <v>qtd</v>
          </cell>
          <cell r="B127">
            <v>524019.5779340138</v>
          </cell>
          <cell r="C127">
            <v>1051875.2515382145</v>
          </cell>
          <cell r="D127">
            <v>1587824.5528882598</v>
          </cell>
          <cell r="E127">
            <v>2153744.1207597703</v>
          </cell>
          <cell r="F127">
            <v>2743201.5690991906</v>
          </cell>
          <cell r="G127">
            <v>3333634.8275643238</v>
          </cell>
          <cell r="H127">
            <v>3915468.6658254527</v>
          </cell>
          <cell r="I127">
            <v>4508998.4462649757</v>
          </cell>
          <cell r="J127">
            <v>5034254.2100237589</v>
          </cell>
          <cell r="K127">
            <v>5548229.6506034806</v>
          </cell>
          <cell r="L127">
            <v>6063165.6649991721</v>
          </cell>
          <cell r="M127">
            <v>6584124.4264115188</v>
          </cell>
          <cell r="N127">
            <v>596000.54174202203</v>
          </cell>
          <cell r="O127">
            <v>1176374.7128721368</v>
          </cell>
          <cell r="P127">
            <v>1739711.8196352853</v>
          </cell>
          <cell r="Q127">
            <v>2297310.4780794848</v>
          </cell>
          <cell r="R127">
            <v>2946296.2860675259</v>
          </cell>
          <cell r="S127">
            <v>3571588.4973038584</v>
          </cell>
          <cell r="T127">
            <v>4201817.7586095911</v>
          </cell>
          <cell r="U127">
            <v>4830846.6073907865</v>
          </cell>
          <cell r="V127">
            <v>5513210.0066295136</v>
          </cell>
          <cell r="W127">
            <v>6210908.4392740997</v>
          </cell>
          <cell r="X127">
            <v>6916805.3728775335</v>
          </cell>
          <cell r="Y127">
            <v>7627206.1819536099</v>
          </cell>
          <cell r="Z127">
            <v>757459.01685018279</v>
          </cell>
          <cell r="AA127">
            <v>1506006.3861857106</v>
          </cell>
          <cell r="AB127">
            <v>2254008.4677234665</v>
          </cell>
          <cell r="AC127">
            <v>3015602.0172302281</v>
          </cell>
          <cell r="AD127">
            <v>3804969.6204386246</v>
          </cell>
          <cell r="AE127">
            <v>4607441.747635521</v>
          </cell>
          <cell r="AF127">
            <v>5405110.1454027537</v>
          </cell>
          <cell r="AG127">
            <v>6191756.686924166</v>
          </cell>
          <cell r="AH127">
            <v>6997168.086120924</v>
          </cell>
          <cell r="AI127">
            <v>7806251.5147671085</v>
          </cell>
          <cell r="AJ127">
            <v>8616639.3817801308</v>
          </cell>
          <cell r="AK127">
            <v>9433136.6193084139</v>
          </cell>
          <cell r="AL127">
            <v>989575.82455382159</v>
          </cell>
          <cell r="AM127">
            <v>1980994.6821647701</v>
          </cell>
          <cell r="AN127">
            <v>2990724.0207514828</v>
          </cell>
          <cell r="AO127">
            <v>4002793.525734032</v>
          </cell>
          <cell r="AP127">
            <v>5066760.5838187747</v>
          </cell>
          <cell r="AQ127">
            <v>6119824.3282501698</v>
          </cell>
          <cell r="AR127">
            <v>7179680.872877256</v>
          </cell>
          <cell r="AS127">
            <v>8242927.6170724202</v>
          </cell>
          <cell r="AT127">
            <v>9371114.2875010204</v>
          </cell>
          <cell r="AU127">
            <v>10474795.11586488</v>
          </cell>
          <cell r="AV127">
            <v>11619281.505859567</v>
          </cell>
          <cell r="AW127">
            <v>12808880.80835782</v>
          </cell>
          <cell r="AX127">
            <v>14168419.486479009</v>
          </cell>
          <cell r="AY127">
            <v>15543674.581127187</v>
          </cell>
          <cell r="AZ127">
            <v>16936316.575649258</v>
          </cell>
          <cell r="BA127">
            <v>18222151.586069085</v>
          </cell>
          <cell r="BB127">
            <v>18222151.586069085</v>
          </cell>
        </row>
        <row r="128">
          <cell r="A128" t="str">
            <v>ytd</v>
          </cell>
          <cell r="B128">
            <v>524019.5779340138</v>
          </cell>
          <cell r="C128">
            <v>1051875.2515382145</v>
          </cell>
          <cell r="D128">
            <v>1587824.5528882598</v>
          </cell>
          <cell r="E128">
            <v>2153744.1207597703</v>
          </cell>
          <cell r="F128">
            <v>2743201.5690991906</v>
          </cell>
          <cell r="G128">
            <v>3333634.8275643238</v>
          </cell>
          <cell r="H128">
            <v>3915468.6658254527</v>
          </cell>
          <cell r="I128">
            <v>4508998.4462649757</v>
          </cell>
          <cell r="J128">
            <v>5034254.2100237589</v>
          </cell>
          <cell r="K128">
            <v>5548229.6506034806</v>
          </cell>
          <cell r="L128">
            <v>6063165.6649991721</v>
          </cell>
          <cell r="M128">
            <v>6584124.4264115188</v>
          </cell>
          <cell r="N128">
            <v>7180124.968153541</v>
          </cell>
          <cell r="O128">
            <v>7760499.1392836561</v>
          </cell>
          <cell r="P128">
            <v>8323836.2460468048</v>
          </cell>
          <cell r="Q128">
            <v>8881434.9044910036</v>
          </cell>
          <cell r="R128">
            <v>9530420.7124790456</v>
          </cell>
          <cell r="S128">
            <v>10155712.923715379</v>
          </cell>
          <cell r="T128">
            <v>10785942.185021112</v>
          </cell>
          <cell r="U128">
            <v>11414971.033802308</v>
          </cell>
          <cell r="V128">
            <v>12097334.433041036</v>
          </cell>
          <cell r="W128">
            <v>12795032.865685623</v>
          </cell>
          <cell r="X128">
            <v>13500929.799289057</v>
          </cell>
          <cell r="Y128">
            <v>14211330.608365133</v>
          </cell>
          <cell r="Z128">
            <v>14968789.625215316</v>
          </cell>
          <cell r="AA128">
            <v>15717336.994550845</v>
          </cell>
          <cell r="AB128">
            <v>16465339.0760886</v>
          </cell>
          <cell r="AC128">
            <v>17226932.625595361</v>
          </cell>
          <cell r="AD128">
            <v>18016300.228803758</v>
          </cell>
          <cell r="AE128">
            <v>18818772.356000654</v>
          </cell>
          <cell r="AF128">
            <v>19616440.753767885</v>
          </cell>
          <cell r="AG128">
            <v>20403087.295289297</v>
          </cell>
          <cell r="AH128">
            <v>21208498.694486056</v>
          </cell>
          <cell r="AI128">
            <v>22017582.12313224</v>
          </cell>
          <cell r="AJ128">
            <v>22827969.990145262</v>
          </cell>
          <cell r="AK128">
            <v>23644467.227673545</v>
          </cell>
          <cell r="AL128">
            <v>24634043.052227367</v>
          </cell>
          <cell r="AM128">
            <v>25625461.909838315</v>
          </cell>
          <cell r="AN128">
            <v>26635191.248425029</v>
          </cell>
          <cell r="AO128">
            <v>27647260.753407579</v>
          </cell>
          <cell r="AP128">
            <v>28711227.81149232</v>
          </cell>
          <cell r="AQ128">
            <v>29764291.555923715</v>
          </cell>
          <cell r="AR128">
            <v>30824148.100550801</v>
          </cell>
          <cell r="AS128">
            <v>31887394.844745964</v>
          </cell>
          <cell r="AT128">
            <v>33015581.515174564</v>
          </cell>
          <cell r="AU128">
            <v>34119262.343538426</v>
          </cell>
          <cell r="AV128">
            <v>35263748.733533114</v>
          </cell>
          <cell r="AW128">
            <v>36453348.036031365</v>
          </cell>
          <cell r="AX128">
            <v>37812886.714152552</v>
          </cell>
          <cell r="AY128">
            <v>39188141.808800735</v>
          </cell>
          <cell r="AZ128">
            <v>40580783.803322807</v>
          </cell>
          <cell r="BA128">
            <v>41866618.813742638</v>
          </cell>
          <cell r="BB128">
            <v>41866618.813742638</v>
          </cell>
        </row>
        <row r="129">
          <cell r="A129" t="str">
            <v>PREG</v>
          </cell>
          <cell r="B129">
            <v>7578808.4542307472</v>
          </cell>
          <cell r="C129">
            <v>7063720.6020382317</v>
          </cell>
          <cell r="D129">
            <v>6848911.6355160931</v>
          </cell>
          <cell r="E129">
            <v>6743361.6564340126</v>
          </cell>
          <cell r="F129">
            <v>6989267.1646923823</v>
          </cell>
          <cell r="G129">
            <v>8180879.0894599585</v>
          </cell>
          <cell r="H129">
            <v>6753473.8080165572</v>
          </cell>
          <cell r="I129">
            <v>6933130.2710999064</v>
          </cell>
          <cell r="J129">
            <v>7143436.3157878164</v>
          </cell>
          <cell r="K129">
            <v>7671155.1319586048</v>
          </cell>
          <cell r="L129">
            <v>7448468.0894258469</v>
          </cell>
          <cell r="M129">
            <v>7560284.418034751</v>
          </cell>
          <cell r="N129">
            <v>7234847.7041222956</v>
          </cell>
          <cell r="O129">
            <v>9358422.9621481262</v>
          </cell>
          <cell r="P129">
            <v>7628099.8226982141</v>
          </cell>
          <cell r="Q129">
            <v>8519936.6353751179</v>
          </cell>
          <cell r="R129">
            <v>8577007.6308422796</v>
          </cell>
          <cell r="S129">
            <v>12211596.105862919</v>
          </cell>
          <cell r="T129">
            <v>10645863.832489245</v>
          </cell>
          <cell r="U129">
            <v>9747940.0939845219</v>
          </cell>
          <cell r="V129">
            <v>10210456.777673967</v>
          </cell>
          <cell r="W129">
            <v>11628952.406443978</v>
          </cell>
          <cell r="X129">
            <v>14470894.919923104</v>
          </cell>
          <cell r="Y129">
            <v>13041656.649762992</v>
          </cell>
          <cell r="Z129">
            <v>8663096.5885740798</v>
          </cell>
          <cell r="AA129">
            <v>6943000.1429958967</v>
          </cell>
          <cell r="AB129">
            <v>6548753.3000937141</v>
          </cell>
          <cell r="AC129">
            <v>6571589.4183784807</v>
          </cell>
          <cell r="AD129">
            <v>6719701.9801678108</v>
          </cell>
          <cell r="AE129">
            <v>7123945.8147073956</v>
          </cell>
          <cell r="AF129">
            <v>7105186.6452840092</v>
          </cell>
          <cell r="AG129">
            <v>7294188.853073244</v>
          </cell>
          <cell r="AH129">
            <v>7283432.4111679094</v>
          </cell>
          <cell r="AI129">
            <v>7000487.7492284831</v>
          </cell>
          <cell r="AJ129">
            <v>6490801.7921120739</v>
          </cell>
          <cell r="AK129">
            <v>6387891.0529863201</v>
          </cell>
          <cell r="AL129">
            <v>6575163.126019747</v>
          </cell>
          <cell r="AM129">
            <v>6838273.3479914246</v>
          </cell>
          <cell r="AN129">
            <v>6900680.0982784228</v>
          </cell>
          <cell r="AO129">
            <v>6727012.6329844669</v>
          </cell>
          <cell r="AP129">
            <v>7035060.7871008674</v>
          </cell>
          <cell r="AQ129">
            <v>7110075.9337736042</v>
          </cell>
          <cell r="AR129">
            <v>7137668.3887162013</v>
          </cell>
          <cell r="AS129">
            <v>7218438.0220623398</v>
          </cell>
          <cell r="AT129">
            <v>7707037.875233843</v>
          </cell>
          <cell r="AU129">
            <v>8814136.1346440278</v>
          </cell>
          <cell r="AV129">
            <v>9749601.0966074672</v>
          </cell>
          <cell r="AW129">
            <v>13727368.892265206</v>
          </cell>
          <cell r="AX129">
            <v>23883483.048069373</v>
          </cell>
          <cell r="AY129">
            <v>54757051.89720948</v>
          </cell>
          <cell r="AZ129">
            <v>75809438.381006688</v>
          </cell>
          <cell r="BA129">
            <v>17395544.387562275</v>
          </cell>
          <cell r="BB129">
            <v>0</v>
          </cell>
        </row>
        <row r="130">
          <cell r="A130" t="str">
            <v>ptd</v>
          </cell>
          <cell r="B130">
            <v>7578808.4542307472</v>
          </cell>
          <cell r="C130">
            <v>14642529.056268979</v>
          </cell>
          <cell r="D130">
            <v>21491440.691785071</v>
          </cell>
          <cell r="E130">
            <v>28234802.348219082</v>
          </cell>
          <cell r="F130">
            <v>6989267.1646923823</v>
          </cell>
          <cell r="G130">
            <v>15170146.254152341</v>
          </cell>
          <cell r="H130">
            <v>21923620.062168896</v>
          </cell>
          <cell r="I130">
            <v>28856750.333268803</v>
          </cell>
          <cell r="J130">
            <v>7143436.3157878164</v>
          </cell>
          <cell r="K130">
            <v>14814591.447746422</v>
          </cell>
          <cell r="L130">
            <v>22263059.537172269</v>
          </cell>
          <cell r="M130">
            <v>29823343.95520702</v>
          </cell>
          <cell r="N130">
            <v>7234847.7041222956</v>
          </cell>
          <cell r="O130">
            <v>16593270.666270422</v>
          </cell>
          <cell r="P130">
            <v>24221370.488968637</v>
          </cell>
          <cell r="Q130">
            <v>32741307.124343753</v>
          </cell>
          <cell r="R130">
            <v>8577007.6308422796</v>
          </cell>
          <cell r="S130">
            <v>20788603.736705199</v>
          </cell>
          <cell r="T130">
            <v>31434467.569194444</v>
          </cell>
          <cell r="U130">
            <v>41182407.663178965</v>
          </cell>
          <cell r="V130">
            <v>10210456.777673967</v>
          </cell>
          <cell r="W130">
            <v>21839409.184117943</v>
          </cell>
          <cell r="X130">
            <v>36310304.104041047</v>
          </cell>
          <cell r="Y130">
            <v>49351960.753804043</v>
          </cell>
          <cell r="Z130">
            <v>8663096.5885740798</v>
          </cell>
          <cell r="AA130">
            <v>15606096.731569976</v>
          </cell>
          <cell r="AB130">
            <v>22154850.03166369</v>
          </cell>
          <cell r="AC130">
            <v>28726439.45004217</v>
          </cell>
          <cell r="AD130">
            <v>6719701.9801678108</v>
          </cell>
          <cell r="AE130">
            <v>13843647.794875206</v>
          </cell>
          <cell r="AF130">
            <v>20948834.440159217</v>
          </cell>
          <cell r="AG130">
            <v>28243023.29323246</v>
          </cell>
          <cell r="AH130">
            <v>7283432.4111679094</v>
          </cell>
          <cell r="AI130">
            <v>14283920.160396393</v>
          </cell>
          <cell r="AJ130">
            <v>20774721.952508468</v>
          </cell>
          <cell r="AK130">
            <v>27162613.005494788</v>
          </cell>
          <cell r="AL130">
            <v>6575163.126019747</v>
          </cell>
          <cell r="AM130">
            <v>13413436.474011172</v>
          </cell>
          <cell r="AN130">
            <v>20314116.572289594</v>
          </cell>
          <cell r="AO130">
            <v>27041129.20527406</v>
          </cell>
          <cell r="AP130">
            <v>7035060.7871008674</v>
          </cell>
          <cell r="AQ130">
            <v>14145136.720874472</v>
          </cell>
          <cell r="AR130">
            <v>21282805.109590672</v>
          </cell>
          <cell r="AS130">
            <v>28501243.131653011</v>
          </cell>
          <cell r="AT130">
            <v>7707037.875233843</v>
          </cell>
          <cell r="AU130">
            <v>16521174.009877872</v>
          </cell>
          <cell r="AV130">
            <v>26270775.106485337</v>
          </cell>
          <cell r="AW130">
            <v>39998143.998750545</v>
          </cell>
          <cell r="AX130">
            <v>23883483.048069373</v>
          </cell>
          <cell r="AY130">
            <v>78640534.945278853</v>
          </cell>
          <cell r="AZ130">
            <v>154449973.32628554</v>
          </cell>
          <cell r="BA130">
            <v>171845517.71384782</v>
          </cell>
          <cell r="BB130">
            <v>171845517.71384782</v>
          </cell>
        </row>
        <row r="131">
          <cell r="A131" t="str">
            <v>qtd</v>
          </cell>
          <cell r="B131">
            <v>7578808.4542307472</v>
          </cell>
          <cell r="C131">
            <v>14642529.056268979</v>
          </cell>
          <cell r="D131">
            <v>21491440.691785071</v>
          </cell>
          <cell r="E131">
            <v>28234802.348219082</v>
          </cell>
          <cell r="F131">
            <v>35224069.512911461</v>
          </cell>
          <cell r="G131">
            <v>43404948.602371417</v>
          </cell>
          <cell r="H131">
            <v>50158422.410387978</v>
          </cell>
          <cell r="I131">
            <v>57091552.681487888</v>
          </cell>
          <cell r="J131">
            <v>64234988.997275703</v>
          </cell>
          <cell r="K131">
            <v>71906144.129234314</v>
          </cell>
          <cell r="L131">
            <v>79354612.218660161</v>
          </cell>
          <cell r="M131">
            <v>86914896.636694908</v>
          </cell>
          <cell r="N131">
            <v>7234847.7041222956</v>
          </cell>
          <cell r="O131">
            <v>16593270.666270422</v>
          </cell>
          <cell r="P131">
            <v>24221370.488968637</v>
          </cell>
          <cell r="Q131">
            <v>32741307.124343753</v>
          </cell>
          <cell r="R131">
            <v>41318314.755186036</v>
          </cell>
          <cell r="S131">
            <v>53529910.861048952</v>
          </cell>
          <cell r="T131">
            <v>64175774.693538196</v>
          </cell>
          <cell r="U131">
            <v>73923714.787522718</v>
          </cell>
          <cell r="V131">
            <v>84134171.565196693</v>
          </cell>
          <cell r="W131">
            <v>95763123.971640676</v>
          </cell>
          <cell r="X131">
            <v>110234018.89156377</v>
          </cell>
          <cell r="Y131">
            <v>123275675.54132676</v>
          </cell>
          <cell r="Z131">
            <v>8663096.5885740798</v>
          </cell>
          <cell r="AA131">
            <v>15606096.731569976</v>
          </cell>
          <cell r="AB131">
            <v>22154850.03166369</v>
          </cell>
          <cell r="AC131">
            <v>28726439.45004217</v>
          </cell>
          <cell r="AD131">
            <v>35446141.430209979</v>
          </cell>
          <cell r="AE131">
            <v>42570087.244917378</v>
          </cell>
          <cell r="AF131">
            <v>49675273.89020139</v>
          </cell>
          <cell r="AG131">
            <v>56969462.743274637</v>
          </cell>
          <cell r="AH131">
            <v>64252895.154442549</v>
          </cell>
          <cell r="AI131">
            <v>71253382.903671026</v>
          </cell>
          <cell r="AJ131">
            <v>77744184.695783094</v>
          </cell>
          <cell r="AK131">
            <v>84132075.748769417</v>
          </cell>
          <cell r="AL131">
            <v>6575163.126019747</v>
          </cell>
          <cell r="AM131">
            <v>13413436.474011172</v>
          </cell>
          <cell r="AN131">
            <v>20314116.572289594</v>
          </cell>
          <cell r="AO131">
            <v>27041129.20527406</v>
          </cell>
          <cell r="AP131">
            <v>34076189.992374927</v>
          </cell>
          <cell r="AQ131">
            <v>41186265.926148534</v>
          </cell>
          <cell r="AR131">
            <v>48323934.314864732</v>
          </cell>
          <cell r="AS131">
            <v>55542372.336927071</v>
          </cell>
          <cell r="AT131">
            <v>63249410.212160915</v>
          </cell>
          <cell r="AU131">
            <v>72063546.346804947</v>
          </cell>
          <cell r="AV131">
            <v>81813147.443412408</v>
          </cell>
          <cell r="AW131">
            <v>95540516.335677609</v>
          </cell>
          <cell r="AX131">
            <v>119423999.38374698</v>
          </cell>
          <cell r="AY131">
            <v>174181051.28095645</v>
          </cell>
          <cell r="AZ131">
            <v>249990489.66196314</v>
          </cell>
          <cell r="BA131">
            <v>267386034.04952541</v>
          </cell>
          <cell r="BB131">
            <v>267386034.04952541</v>
          </cell>
        </row>
        <row r="132">
          <cell r="A132" t="str">
            <v>ytd</v>
          </cell>
          <cell r="B132">
            <v>7578808.4542307472</v>
          </cell>
          <cell r="C132">
            <v>14642529.056268979</v>
          </cell>
          <cell r="D132">
            <v>21491440.691785071</v>
          </cell>
          <cell r="E132">
            <v>28234802.348219082</v>
          </cell>
          <cell r="F132">
            <v>35224069.512911461</v>
          </cell>
          <cell r="G132">
            <v>43404948.602371417</v>
          </cell>
          <cell r="H132">
            <v>50158422.410387978</v>
          </cell>
          <cell r="I132">
            <v>57091552.681487888</v>
          </cell>
          <cell r="J132">
            <v>64234988.997275703</v>
          </cell>
          <cell r="K132">
            <v>71906144.129234314</v>
          </cell>
          <cell r="L132">
            <v>79354612.218660161</v>
          </cell>
          <cell r="M132">
            <v>86914896.636694908</v>
          </cell>
          <cell r="N132">
            <v>94149744.340817198</v>
          </cell>
          <cell r="O132">
            <v>103508167.30296533</v>
          </cell>
          <cell r="P132">
            <v>111136267.12566355</v>
          </cell>
          <cell r="Q132">
            <v>119656203.76103866</v>
          </cell>
          <cell r="R132">
            <v>128233211.39188094</v>
          </cell>
          <cell r="S132">
            <v>140444807.49774387</v>
          </cell>
          <cell r="T132">
            <v>151090671.33023313</v>
          </cell>
          <cell r="U132">
            <v>160838611.42421764</v>
          </cell>
          <cell r="V132">
            <v>171049068.2018916</v>
          </cell>
          <cell r="W132">
            <v>182678020.60833558</v>
          </cell>
          <cell r="X132">
            <v>197148915.52825868</v>
          </cell>
          <cell r="Y132">
            <v>210190572.17802167</v>
          </cell>
          <cell r="Z132">
            <v>218853668.76659575</v>
          </cell>
          <cell r="AA132">
            <v>225796668.90959165</v>
          </cell>
          <cell r="AB132">
            <v>232345422.20968536</v>
          </cell>
          <cell r="AC132">
            <v>238917011.62806383</v>
          </cell>
          <cell r="AD132">
            <v>245636713.60823163</v>
          </cell>
          <cell r="AE132">
            <v>252760659.42293903</v>
          </cell>
          <cell r="AF132">
            <v>259865846.06822303</v>
          </cell>
          <cell r="AG132">
            <v>267160034.92129627</v>
          </cell>
          <cell r="AH132">
            <v>274443467.33246416</v>
          </cell>
          <cell r="AI132">
            <v>281443955.08169264</v>
          </cell>
          <cell r="AJ132">
            <v>287934756.87380469</v>
          </cell>
          <cell r="AK132">
            <v>294322647.92679101</v>
          </cell>
          <cell r="AL132">
            <v>300897811.05281079</v>
          </cell>
          <cell r="AM132">
            <v>307736084.4008022</v>
          </cell>
          <cell r="AN132">
            <v>314636764.4990806</v>
          </cell>
          <cell r="AO132">
            <v>321363777.13206506</v>
          </cell>
          <cell r="AP132">
            <v>328398837.91916591</v>
          </cell>
          <cell r="AQ132">
            <v>335508913.85293949</v>
          </cell>
          <cell r="AR132">
            <v>342646582.24165571</v>
          </cell>
          <cell r="AS132">
            <v>349865020.26371807</v>
          </cell>
          <cell r="AT132">
            <v>357572058.1389519</v>
          </cell>
          <cell r="AU132">
            <v>366386194.27359593</v>
          </cell>
          <cell r="AV132">
            <v>376135795.37020338</v>
          </cell>
          <cell r="AW132">
            <v>389863164.26246858</v>
          </cell>
          <cell r="AX132">
            <v>413746647.31053793</v>
          </cell>
          <cell r="AY132">
            <v>468503699.2077474</v>
          </cell>
          <cell r="AZ132">
            <v>544313137.58875406</v>
          </cell>
          <cell r="BA132">
            <v>561708681.97631633</v>
          </cell>
          <cell r="BB132">
            <v>561708681.97631633</v>
          </cell>
        </row>
        <row r="133">
          <cell r="A133" t="str">
            <v>SPRT</v>
          </cell>
          <cell r="B133">
            <v>127793.42912180275</v>
          </cell>
          <cell r="C133">
            <v>128202.30954577115</v>
          </cell>
          <cell r="D133">
            <v>106511.79346190831</v>
          </cell>
          <cell r="E133">
            <v>100271.23573858323</v>
          </cell>
          <cell r="F133">
            <v>109140.91573762328</v>
          </cell>
          <cell r="G133">
            <v>194298.51694413793</v>
          </cell>
          <cell r="H133">
            <v>123145.46738306037</v>
          </cell>
          <cell r="I133">
            <v>101427.18872824589</v>
          </cell>
          <cell r="J133">
            <v>107870.81565437249</v>
          </cell>
          <cell r="K133">
            <v>108761.33925417169</v>
          </cell>
          <cell r="L133">
            <v>111617.31146925139</v>
          </cell>
          <cell r="M133">
            <v>121946.93314848978</v>
          </cell>
          <cell r="N133">
            <v>113843.55611391114</v>
          </cell>
          <cell r="O133">
            <v>196792.32536195419</v>
          </cell>
          <cell r="P133">
            <v>115206.65270974445</v>
          </cell>
          <cell r="Q133">
            <v>125567.31843607126</v>
          </cell>
          <cell r="R133">
            <v>129941.84953259125</v>
          </cell>
          <cell r="S133">
            <v>174412.92870679474</v>
          </cell>
          <cell r="T133">
            <v>162160.96771670683</v>
          </cell>
          <cell r="U133">
            <v>139539.48482262035</v>
          </cell>
          <cell r="V133">
            <v>165244.29938463098</v>
          </cell>
          <cell r="W133">
            <v>159482.8387775397</v>
          </cell>
          <cell r="X133">
            <v>197161.20800564068</v>
          </cell>
          <cell r="Y133">
            <v>419982.05197646556</v>
          </cell>
          <cell r="Z133">
            <v>296606.19439594861</v>
          </cell>
          <cell r="AA133">
            <v>149362.96228139431</v>
          </cell>
          <cell r="AB133">
            <v>113464.45513389977</v>
          </cell>
          <cell r="AC133">
            <v>123360.18233637828</v>
          </cell>
          <cell r="AD133">
            <v>119071.33535279923</v>
          </cell>
          <cell r="AE133">
            <v>113394.69453774946</v>
          </cell>
          <cell r="AF133">
            <v>119518.81222944496</v>
          </cell>
          <cell r="AG133">
            <v>123485.25995605695</v>
          </cell>
          <cell r="AH133">
            <v>129821.51802309202</v>
          </cell>
          <cell r="AI133">
            <v>127443.62536223559</v>
          </cell>
          <cell r="AJ133">
            <v>128677.20904756566</v>
          </cell>
          <cell r="AK133">
            <v>125529.81994127929</v>
          </cell>
          <cell r="AL133">
            <v>127326.43185981079</v>
          </cell>
          <cell r="AM133">
            <v>132701.92012796394</v>
          </cell>
          <cell r="AN133">
            <v>133643.64649044495</v>
          </cell>
          <cell r="AO133">
            <v>130738.58150850373</v>
          </cell>
          <cell r="AP133">
            <v>125813.85758889971</v>
          </cell>
          <cell r="AQ133">
            <v>141112.61782072234</v>
          </cell>
          <cell r="AR133">
            <v>122834.5455443119</v>
          </cell>
          <cell r="AS133">
            <v>2944315.6259663533</v>
          </cell>
          <cell r="AT133">
            <v>601648.06802775583</v>
          </cell>
          <cell r="AU133">
            <v>313172.18576789711</v>
          </cell>
          <cell r="AV133">
            <v>187451.49857522856</v>
          </cell>
          <cell r="AW133">
            <v>321112.88406887278</v>
          </cell>
          <cell r="AX133">
            <v>668844.98997575324</v>
          </cell>
          <cell r="AY133">
            <v>1321631.2423697868</v>
          </cell>
          <cell r="AZ133">
            <v>2204075.3088856027</v>
          </cell>
          <cell r="BA133">
            <v>335014.13666876667</v>
          </cell>
          <cell r="BB133">
            <v>0</v>
          </cell>
        </row>
        <row r="134">
          <cell r="A134" t="str">
            <v>ptd</v>
          </cell>
          <cell r="B134">
            <v>127793.42912180275</v>
          </cell>
          <cell r="C134">
            <v>255995.7386675739</v>
          </cell>
          <cell r="D134">
            <v>362507.53212948219</v>
          </cell>
          <cell r="E134">
            <v>462778.76786806539</v>
          </cell>
          <cell r="F134">
            <v>109140.91573762328</v>
          </cell>
          <cell r="G134">
            <v>303439.43268176122</v>
          </cell>
          <cell r="H134">
            <v>426584.90006482159</v>
          </cell>
          <cell r="I134">
            <v>528012.08879306749</v>
          </cell>
          <cell r="J134">
            <v>107870.81565437249</v>
          </cell>
          <cell r="K134">
            <v>216632.15490854418</v>
          </cell>
          <cell r="L134">
            <v>328249.46637779556</v>
          </cell>
          <cell r="M134">
            <v>450196.39952628536</v>
          </cell>
          <cell r="N134">
            <v>113843.55611391114</v>
          </cell>
          <cell r="O134">
            <v>310635.88147586532</v>
          </cell>
          <cell r="P134">
            <v>425842.53418560978</v>
          </cell>
          <cell r="Q134">
            <v>551409.85262168106</v>
          </cell>
          <cell r="R134">
            <v>129941.84953259125</v>
          </cell>
          <cell r="S134">
            <v>304354.77823938598</v>
          </cell>
          <cell r="T134">
            <v>466515.74595609284</v>
          </cell>
          <cell r="U134">
            <v>606055.23077871324</v>
          </cell>
          <cell r="V134">
            <v>165244.29938463098</v>
          </cell>
          <cell r="W134">
            <v>324727.13816217065</v>
          </cell>
          <cell r="X134">
            <v>521888.34616781131</v>
          </cell>
          <cell r="Y134">
            <v>941870.39814427681</v>
          </cell>
          <cell r="Z134">
            <v>296606.19439594861</v>
          </cell>
          <cell r="AA134">
            <v>445969.15667734295</v>
          </cell>
          <cell r="AB134">
            <v>559433.61181124276</v>
          </cell>
          <cell r="AC134">
            <v>682793.79414762103</v>
          </cell>
          <cell r="AD134">
            <v>119071.33535279923</v>
          </cell>
          <cell r="AE134">
            <v>232466.02989054867</v>
          </cell>
          <cell r="AF134">
            <v>351984.84211999364</v>
          </cell>
          <cell r="AG134">
            <v>475470.10207605059</v>
          </cell>
          <cell r="AH134">
            <v>129821.51802309202</v>
          </cell>
          <cell r="AI134">
            <v>257265.1433853276</v>
          </cell>
          <cell r="AJ134">
            <v>385942.35243289324</v>
          </cell>
          <cell r="AK134">
            <v>511472.17237417254</v>
          </cell>
          <cell r="AL134">
            <v>127326.43185981079</v>
          </cell>
          <cell r="AM134">
            <v>260028.35198777472</v>
          </cell>
          <cell r="AN134">
            <v>393671.99847821967</v>
          </cell>
          <cell r="AO134">
            <v>524410.57998672337</v>
          </cell>
          <cell r="AP134">
            <v>125813.85758889971</v>
          </cell>
          <cell r="AQ134">
            <v>266926.47540962207</v>
          </cell>
          <cell r="AR134">
            <v>389761.02095393394</v>
          </cell>
          <cell r="AS134">
            <v>3334076.6469202871</v>
          </cell>
          <cell r="AT134">
            <v>601648.06802775583</v>
          </cell>
          <cell r="AU134">
            <v>914820.25379565288</v>
          </cell>
          <cell r="AV134">
            <v>1102271.7523708814</v>
          </cell>
          <cell r="AW134">
            <v>1423384.6364397542</v>
          </cell>
          <cell r="AX134">
            <v>668844.98997575324</v>
          </cell>
          <cell r="AY134">
            <v>1990476.2323455401</v>
          </cell>
          <cell r="AZ134">
            <v>4194551.5412311424</v>
          </cell>
          <cell r="BA134">
            <v>4529565.6778999092</v>
          </cell>
          <cell r="BB134">
            <v>4529565.6778999092</v>
          </cell>
        </row>
        <row r="135">
          <cell r="A135" t="str">
            <v>qtd</v>
          </cell>
          <cell r="B135">
            <v>127793.42912180275</v>
          </cell>
          <cell r="C135">
            <v>255995.7386675739</v>
          </cell>
          <cell r="D135">
            <v>362507.53212948219</v>
          </cell>
          <cell r="E135">
            <v>462778.76786806539</v>
          </cell>
          <cell r="F135">
            <v>571919.68360568862</v>
          </cell>
          <cell r="G135">
            <v>766218.20054982649</v>
          </cell>
          <cell r="H135">
            <v>889363.66793288686</v>
          </cell>
          <cell r="I135">
            <v>990790.85666113277</v>
          </cell>
          <cell r="J135">
            <v>1098661.6723155053</v>
          </cell>
          <cell r="K135">
            <v>1207423.0115696769</v>
          </cell>
          <cell r="L135">
            <v>1319040.3230389282</v>
          </cell>
          <cell r="M135">
            <v>1440987.256187418</v>
          </cell>
          <cell r="N135">
            <v>113843.55611391114</v>
          </cell>
          <cell r="O135">
            <v>310635.88147586532</v>
          </cell>
          <cell r="P135">
            <v>425842.53418560978</v>
          </cell>
          <cell r="Q135">
            <v>551409.85262168106</v>
          </cell>
          <cell r="R135">
            <v>681351.70215427235</v>
          </cell>
          <cell r="S135">
            <v>855764.6308610671</v>
          </cell>
          <cell r="T135">
            <v>1017925.5985777739</v>
          </cell>
          <cell r="U135">
            <v>1157465.0834003943</v>
          </cell>
          <cell r="V135">
            <v>1322709.3827850253</v>
          </cell>
          <cell r="W135">
            <v>1482192.2215625651</v>
          </cell>
          <cell r="X135">
            <v>1679353.4295682057</v>
          </cell>
          <cell r="Y135">
            <v>2099335.4815446711</v>
          </cell>
          <cell r="Z135">
            <v>296606.19439594861</v>
          </cell>
          <cell r="AA135">
            <v>445969.15667734295</v>
          </cell>
          <cell r="AB135">
            <v>559433.61181124276</v>
          </cell>
          <cell r="AC135">
            <v>682793.79414762103</v>
          </cell>
          <cell r="AD135">
            <v>801865.1295004203</v>
          </cell>
          <cell r="AE135">
            <v>915259.82403816981</v>
          </cell>
          <cell r="AF135">
            <v>1034778.6362676148</v>
          </cell>
          <cell r="AG135">
            <v>1158263.8962236717</v>
          </cell>
          <cell r="AH135">
            <v>1288085.4142467638</v>
          </cell>
          <cell r="AI135">
            <v>1415529.0396089994</v>
          </cell>
          <cell r="AJ135">
            <v>1544206.2486565651</v>
          </cell>
          <cell r="AK135">
            <v>1669736.0685978443</v>
          </cell>
          <cell r="AL135">
            <v>127326.43185981079</v>
          </cell>
          <cell r="AM135">
            <v>260028.35198777472</v>
          </cell>
          <cell r="AN135">
            <v>393671.99847821967</v>
          </cell>
          <cell r="AO135">
            <v>524410.57998672337</v>
          </cell>
          <cell r="AP135">
            <v>650224.43757562304</v>
          </cell>
          <cell r="AQ135">
            <v>791337.05539634544</v>
          </cell>
          <cell r="AR135">
            <v>914171.60094065731</v>
          </cell>
          <cell r="AS135">
            <v>3858487.2269070107</v>
          </cell>
          <cell r="AT135">
            <v>4460135.2949347664</v>
          </cell>
          <cell r="AU135">
            <v>4773307.4807026638</v>
          </cell>
          <cell r="AV135">
            <v>4960758.979277892</v>
          </cell>
          <cell r="AW135">
            <v>5281871.8633467648</v>
          </cell>
          <cell r="AX135">
            <v>5950716.8533225181</v>
          </cell>
          <cell r="AY135">
            <v>7272348.0956923049</v>
          </cell>
          <cell r="AZ135">
            <v>9476423.4045779072</v>
          </cell>
          <cell r="BA135">
            <v>9811437.5412466731</v>
          </cell>
          <cell r="BB135">
            <v>9811437.5412466731</v>
          </cell>
        </row>
        <row r="136">
          <cell r="A136" t="str">
            <v>ytd</v>
          </cell>
          <cell r="B136">
            <v>127793.42912180275</v>
          </cell>
          <cell r="C136">
            <v>255995.7386675739</v>
          </cell>
          <cell r="D136">
            <v>362507.53212948219</v>
          </cell>
          <cell r="E136">
            <v>462778.76786806539</v>
          </cell>
          <cell r="F136">
            <v>571919.68360568862</v>
          </cell>
          <cell r="G136">
            <v>766218.20054982649</v>
          </cell>
          <cell r="H136">
            <v>889363.66793288686</v>
          </cell>
          <cell r="I136">
            <v>990790.85666113277</v>
          </cell>
          <cell r="J136">
            <v>1098661.6723155053</v>
          </cell>
          <cell r="K136">
            <v>1207423.0115696769</v>
          </cell>
          <cell r="L136">
            <v>1319040.3230389282</v>
          </cell>
          <cell r="M136">
            <v>1440987.256187418</v>
          </cell>
          <cell r="N136">
            <v>1554830.8123013291</v>
          </cell>
          <cell r="O136">
            <v>1751623.1376632834</v>
          </cell>
          <cell r="P136">
            <v>1866829.7903730278</v>
          </cell>
          <cell r="Q136">
            <v>1992397.1088090991</v>
          </cell>
          <cell r="R136">
            <v>2122338.9583416902</v>
          </cell>
          <cell r="S136">
            <v>2296751.8870484848</v>
          </cell>
          <cell r="T136">
            <v>2458912.8547651917</v>
          </cell>
          <cell r="U136">
            <v>2598452.3395878118</v>
          </cell>
          <cell r="V136">
            <v>2763696.6389724426</v>
          </cell>
          <cell r="W136">
            <v>2923179.4777499824</v>
          </cell>
          <cell r="X136">
            <v>3120340.685755623</v>
          </cell>
          <cell r="Y136">
            <v>3540322.7377320887</v>
          </cell>
          <cell r="Z136">
            <v>3836928.9321280373</v>
          </cell>
          <cell r="AA136">
            <v>3986291.8944094316</v>
          </cell>
          <cell r="AB136">
            <v>4099756.3495433312</v>
          </cell>
          <cell r="AC136">
            <v>4223116.5318797091</v>
          </cell>
          <cell r="AD136">
            <v>4342187.867232508</v>
          </cell>
          <cell r="AE136">
            <v>4455582.5617702575</v>
          </cell>
          <cell r="AF136">
            <v>4575101.3739997027</v>
          </cell>
          <cell r="AG136">
            <v>4698586.6339557599</v>
          </cell>
          <cell r="AH136">
            <v>4828408.1519788522</v>
          </cell>
          <cell r="AI136">
            <v>4955851.7773410883</v>
          </cell>
          <cell r="AJ136">
            <v>5084528.9863886535</v>
          </cell>
          <cell r="AK136">
            <v>5210058.806329933</v>
          </cell>
          <cell r="AL136">
            <v>5337385.2381897438</v>
          </cell>
          <cell r="AM136">
            <v>5470087.1583177075</v>
          </cell>
          <cell r="AN136">
            <v>5603730.8048081528</v>
          </cell>
          <cell r="AO136">
            <v>5734469.3863166561</v>
          </cell>
          <cell r="AP136">
            <v>5860283.2439055555</v>
          </cell>
          <cell r="AQ136">
            <v>6001395.8617262775</v>
          </cell>
          <cell r="AR136">
            <v>6124230.4072705898</v>
          </cell>
          <cell r="AS136">
            <v>9068546.0332369432</v>
          </cell>
          <cell r="AT136">
            <v>9670194.1012646984</v>
          </cell>
          <cell r="AU136">
            <v>9983366.2870325949</v>
          </cell>
          <cell r="AV136">
            <v>10170817.785607824</v>
          </cell>
          <cell r="AW136">
            <v>10491930.669676697</v>
          </cell>
          <cell r="AX136">
            <v>11160775.659652449</v>
          </cell>
          <cell r="AY136">
            <v>12482406.902022235</v>
          </cell>
          <cell r="AZ136">
            <v>14686482.210907837</v>
          </cell>
          <cell r="BA136">
            <v>15021496.347576603</v>
          </cell>
          <cell r="BB136">
            <v>15021496.347576603</v>
          </cell>
        </row>
        <row r="137">
          <cell r="A137" t="str">
            <v>TELE</v>
          </cell>
          <cell r="B137">
            <v>5083265.0316811651</v>
          </cell>
          <cell r="C137">
            <v>4909622.5605484787</v>
          </cell>
          <cell r="D137">
            <v>4845030.107136501</v>
          </cell>
          <cell r="E137">
            <v>4730037.525496101</v>
          </cell>
          <cell r="F137">
            <v>5291088.2062963508</v>
          </cell>
          <cell r="G137">
            <v>5092230.8121835496</v>
          </cell>
          <cell r="H137">
            <v>5200640.6532087661</v>
          </cell>
          <cell r="I137">
            <v>4788677.380552439</v>
          </cell>
          <cell r="J137">
            <v>4998280.2767744921</v>
          </cell>
          <cell r="K137">
            <v>5053995.4194579627</v>
          </cell>
          <cell r="L137">
            <v>4790631.8233852405</v>
          </cell>
          <cell r="M137">
            <v>5211129.2944671074</v>
          </cell>
          <cell r="N137">
            <v>4799457.8108536433</v>
          </cell>
          <cell r="O137">
            <v>5039590.3841545358</v>
          </cell>
          <cell r="P137">
            <v>4761919.4971872354</v>
          </cell>
          <cell r="Q137">
            <v>4820975.1901313551</v>
          </cell>
          <cell r="R137">
            <v>4772553.2797976583</v>
          </cell>
          <cell r="S137">
            <v>5141529.8105309494</v>
          </cell>
          <cell r="T137">
            <v>5152360.6919596661</v>
          </cell>
          <cell r="U137">
            <v>5186105.9279604461</v>
          </cell>
          <cell r="V137">
            <v>5268150.1520832619</v>
          </cell>
          <cell r="W137">
            <v>5144709.8604371632</v>
          </cell>
          <cell r="X137">
            <v>5746992.0690962384</v>
          </cell>
          <cell r="Y137">
            <v>5586136.1914959662</v>
          </cell>
          <cell r="Z137">
            <v>5668296.7561781555</v>
          </cell>
          <cell r="AA137">
            <v>5540794.3400610676</v>
          </cell>
          <cell r="AB137">
            <v>5901475.4222986717</v>
          </cell>
          <cell r="AC137">
            <v>5917665.3676184416</v>
          </cell>
          <cell r="AD137">
            <v>5615497.8614454009</v>
          </cell>
          <cell r="AE137">
            <v>5472040.92173013</v>
          </cell>
          <cell r="AF137">
            <v>5806380.7680299236</v>
          </cell>
          <cell r="AG137">
            <v>5610726.9262171071</v>
          </cell>
          <cell r="AH137">
            <v>5500773.7763971882</v>
          </cell>
          <cell r="AI137">
            <v>5519931.5163583299</v>
          </cell>
          <cell r="AJ137">
            <v>5694050.072319597</v>
          </cell>
          <cell r="AK137">
            <v>5806673.1366293449</v>
          </cell>
          <cell r="AL137">
            <v>5472661.3519106694</v>
          </cell>
          <cell r="AM137">
            <v>5569666.268829952</v>
          </cell>
          <cell r="AN137">
            <v>5460756.56184988</v>
          </cell>
          <cell r="AO137">
            <v>6171923.5009327158</v>
          </cell>
          <cell r="AP137">
            <v>5924276.0730809812</v>
          </cell>
          <cell r="AQ137">
            <v>5616731.9863097677</v>
          </cell>
          <cell r="AR137">
            <v>5601840.0175821502</v>
          </cell>
          <cell r="AS137">
            <v>5623358.6153094172</v>
          </cell>
          <cell r="AT137">
            <v>6100578.1191492006</v>
          </cell>
          <cell r="AU137">
            <v>5643231.451710307</v>
          </cell>
          <cell r="AV137">
            <v>5796828.7823617831</v>
          </cell>
          <cell r="AW137">
            <v>6389444.1429240759</v>
          </cell>
          <cell r="AX137">
            <v>6570526.3444990255</v>
          </cell>
          <cell r="AY137">
            <v>6717759.9382876894</v>
          </cell>
          <cell r="AZ137">
            <v>7746330.9819023255</v>
          </cell>
          <cell r="BA137">
            <v>7011060.7946036747</v>
          </cell>
          <cell r="BB137">
            <v>0</v>
          </cell>
        </row>
        <row r="138">
          <cell r="A138" t="str">
            <v>ptd</v>
          </cell>
          <cell r="B138">
            <v>5083265.0316811651</v>
          </cell>
          <cell r="C138">
            <v>9992887.5922296438</v>
          </cell>
          <cell r="D138">
            <v>14837917.699366145</v>
          </cell>
          <cell r="E138">
            <v>19567955.224862248</v>
          </cell>
          <cell r="F138">
            <v>5291088.2062963508</v>
          </cell>
          <cell r="G138">
            <v>10383319.0184799</v>
          </cell>
          <cell r="H138">
            <v>15583959.671688667</v>
          </cell>
          <cell r="I138">
            <v>20372637.052241106</v>
          </cell>
          <cell r="J138">
            <v>4998280.2767744921</v>
          </cell>
          <cell r="K138">
            <v>10052275.696232455</v>
          </cell>
          <cell r="L138">
            <v>14842907.519617695</v>
          </cell>
          <cell r="M138">
            <v>20054036.814084802</v>
          </cell>
          <cell r="N138">
            <v>4799457.8108536433</v>
          </cell>
          <cell r="O138">
            <v>9839048.1950081792</v>
          </cell>
          <cell r="P138">
            <v>14600967.692195415</v>
          </cell>
          <cell r="Q138">
            <v>19421942.882326771</v>
          </cell>
          <cell r="R138">
            <v>4772553.2797976583</v>
          </cell>
          <cell r="S138">
            <v>9914083.0903286077</v>
          </cell>
          <cell r="T138">
            <v>15066443.782288274</v>
          </cell>
          <cell r="U138">
            <v>20252549.71024872</v>
          </cell>
          <cell r="V138">
            <v>5268150.1520832619</v>
          </cell>
          <cell r="W138">
            <v>10412860.012520425</v>
          </cell>
          <cell r="X138">
            <v>16159852.081616662</v>
          </cell>
          <cell r="Y138">
            <v>21745988.273112629</v>
          </cell>
          <cell r="Z138">
            <v>5668296.7561781555</v>
          </cell>
          <cell r="AA138">
            <v>11209091.096239224</v>
          </cell>
          <cell r="AB138">
            <v>17110566.518537894</v>
          </cell>
          <cell r="AC138">
            <v>23028231.886156335</v>
          </cell>
          <cell r="AD138">
            <v>5615497.8614454009</v>
          </cell>
          <cell r="AE138">
            <v>11087538.783175532</v>
          </cell>
          <cell r="AF138">
            <v>16893919.551205456</v>
          </cell>
          <cell r="AG138">
            <v>22504646.477422565</v>
          </cell>
          <cell r="AH138">
            <v>5500773.7763971882</v>
          </cell>
          <cell r="AI138">
            <v>11020705.292755518</v>
          </cell>
          <cell r="AJ138">
            <v>16714755.365075115</v>
          </cell>
          <cell r="AK138">
            <v>22521428.501704462</v>
          </cell>
          <cell r="AL138">
            <v>5472661.3519106694</v>
          </cell>
          <cell r="AM138">
            <v>11042327.620740622</v>
          </cell>
          <cell r="AN138">
            <v>16503084.182590503</v>
          </cell>
          <cell r="AO138">
            <v>22675007.683523219</v>
          </cell>
          <cell r="AP138">
            <v>5924276.0730809812</v>
          </cell>
          <cell r="AQ138">
            <v>11541008.05939075</v>
          </cell>
          <cell r="AR138">
            <v>17142848.076972902</v>
          </cell>
          <cell r="AS138">
            <v>22766206.692282319</v>
          </cell>
          <cell r="AT138">
            <v>6100578.1191492006</v>
          </cell>
          <cell r="AU138">
            <v>11743809.570859507</v>
          </cell>
          <cell r="AV138">
            <v>17540638.35322129</v>
          </cell>
          <cell r="AW138">
            <v>23930082.496145368</v>
          </cell>
          <cell r="AX138">
            <v>6570526.3444990255</v>
          </cell>
          <cell r="AY138">
            <v>13288286.282786716</v>
          </cell>
          <cell r="AZ138">
            <v>21034617.264689043</v>
          </cell>
          <cell r="BA138">
            <v>28045678.059292719</v>
          </cell>
          <cell r="BB138">
            <v>28045678.059292719</v>
          </cell>
        </row>
        <row r="139">
          <cell r="A139" t="str">
            <v>qtd</v>
          </cell>
          <cell r="B139">
            <v>5083265.0316811651</v>
          </cell>
          <cell r="C139">
            <v>9992887.5922296438</v>
          </cell>
          <cell r="D139">
            <v>14837917.699366145</v>
          </cell>
          <cell r="E139">
            <v>19567955.224862248</v>
          </cell>
          <cell r="F139">
            <v>24859043.431158599</v>
          </cell>
          <cell r="G139">
            <v>29951274.243342146</v>
          </cell>
          <cell r="H139">
            <v>35151914.896550909</v>
          </cell>
          <cell r="I139">
            <v>39940592.27710335</v>
          </cell>
          <cell r="J139">
            <v>44938872.553877845</v>
          </cell>
          <cell r="K139">
            <v>49992867.97333581</v>
          </cell>
          <cell r="L139">
            <v>54783499.796721049</v>
          </cell>
          <cell r="M139">
            <v>59994629.091188155</v>
          </cell>
          <cell r="N139">
            <v>4799457.8108536433</v>
          </cell>
          <cell r="O139">
            <v>9839048.1950081792</v>
          </cell>
          <cell r="P139">
            <v>14600967.692195415</v>
          </cell>
          <cell r="Q139">
            <v>19421942.882326771</v>
          </cell>
          <cell r="R139">
            <v>24194496.162124429</v>
          </cell>
          <cell r="S139">
            <v>29336025.972655378</v>
          </cell>
          <cell r="T139">
            <v>34488386.664615043</v>
          </cell>
          <cell r="U139">
            <v>39674492.59257549</v>
          </cell>
          <cell r="V139">
            <v>44942642.744658753</v>
          </cell>
          <cell r="W139">
            <v>50087352.605095915</v>
          </cell>
          <cell r="X139">
            <v>55834344.674192153</v>
          </cell>
          <cell r="Y139">
            <v>61420480.865688115</v>
          </cell>
          <cell r="Z139">
            <v>5668296.7561781555</v>
          </cell>
          <cell r="AA139">
            <v>11209091.096239224</v>
          </cell>
          <cell r="AB139">
            <v>17110566.518537894</v>
          </cell>
          <cell r="AC139">
            <v>23028231.886156335</v>
          </cell>
          <cell r="AD139">
            <v>28643729.747601736</v>
          </cell>
          <cell r="AE139">
            <v>34115770.669331864</v>
          </cell>
          <cell r="AF139">
            <v>39922151.437361784</v>
          </cell>
          <cell r="AG139">
            <v>45532878.363578893</v>
          </cell>
          <cell r="AH139">
            <v>51033652.139976084</v>
          </cell>
          <cell r="AI139">
            <v>56553583.656334415</v>
          </cell>
          <cell r="AJ139">
            <v>62247633.728654012</v>
          </cell>
          <cell r="AK139">
            <v>68054306.865283355</v>
          </cell>
          <cell r="AL139">
            <v>5472661.3519106694</v>
          </cell>
          <cell r="AM139">
            <v>11042327.620740622</v>
          </cell>
          <cell r="AN139">
            <v>16503084.182590503</v>
          </cell>
          <cell r="AO139">
            <v>22675007.683523219</v>
          </cell>
          <cell r="AP139">
            <v>28599283.756604202</v>
          </cell>
          <cell r="AQ139">
            <v>34216015.742913969</v>
          </cell>
          <cell r="AR139">
            <v>39817855.760496117</v>
          </cell>
          <cell r="AS139">
            <v>45441214.375805534</v>
          </cell>
          <cell r="AT139">
            <v>51541792.494954735</v>
          </cell>
          <cell r="AU139">
            <v>57185023.946665041</v>
          </cell>
          <cell r="AV139">
            <v>62981852.729026824</v>
          </cell>
          <cell r="AW139">
            <v>69371296.871950895</v>
          </cell>
          <cell r="AX139">
            <v>75941823.216449916</v>
          </cell>
          <cell r="AY139">
            <v>82659583.154737607</v>
          </cell>
          <cell r="AZ139">
            <v>90405914.136639938</v>
          </cell>
          <cell r="BA139">
            <v>97416974.931243613</v>
          </cell>
          <cell r="BB139">
            <v>97416974.931243613</v>
          </cell>
        </row>
        <row r="140">
          <cell r="A140" t="str">
            <v>ytd</v>
          </cell>
          <cell r="B140">
            <v>5083265.0316811651</v>
          </cell>
          <cell r="C140">
            <v>9992887.5922296438</v>
          </cell>
          <cell r="D140">
            <v>14837917.699366145</v>
          </cell>
          <cell r="E140">
            <v>19567955.224862248</v>
          </cell>
          <cell r="F140">
            <v>24859043.431158599</v>
          </cell>
          <cell r="G140">
            <v>29951274.243342146</v>
          </cell>
          <cell r="H140">
            <v>35151914.896550909</v>
          </cell>
          <cell r="I140">
            <v>39940592.27710335</v>
          </cell>
          <cell r="J140">
            <v>44938872.553877845</v>
          </cell>
          <cell r="K140">
            <v>49992867.97333581</v>
          </cell>
          <cell r="L140">
            <v>54783499.796721049</v>
          </cell>
          <cell r="M140">
            <v>59994629.091188155</v>
          </cell>
          <cell r="N140">
            <v>64794086.9020418</v>
          </cell>
          <cell r="O140">
            <v>69833677.286196336</v>
          </cell>
          <cell r="P140">
            <v>74595596.783383578</v>
          </cell>
          <cell r="Q140">
            <v>79416571.973514929</v>
          </cell>
          <cell r="R140">
            <v>84189125.253312588</v>
          </cell>
          <cell r="S140">
            <v>89330655.063843533</v>
          </cell>
          <cell r="T140">
            <v>94483015.755803198</v>
          </cell>
          <cell r="U140">
            <v>99669121.683763638</v>
          </cell>
          <cell r="V140">
            <v>104937271.8358469</v>
          </cell>
          <cell r="W140">
            <v>110081981.69628407</v>
          </cell>
          <cell r="X140">
            <v>115828973.76538031</v>
          </cell>
          <cell r="Y140">
            <v>121415109.95687628</v>
          </cell>
          <cell r="Z140">
            <v>127083406.71305443</v>
          </cell>
          <cell r="AA140">
            <v>132624201.0531155</v>
          </cell>
          <cell r="AB140">
            <v>138525676.47541419</v>
          </cell>
          <cell r="AC140">
            <v>144443341.84303263</v>
          </cell>
          <cell r="AD140">
            <v>150058839.70447803</v>
          </cell>
          <cell r="AE140">
            <v>155530880.62620816</v>
          </cell>
          <cell r="AF140">
            <v>161337261.39423808</v>
          </cell>
          <cell r="AG140">
            <v>166947988.32045519</v>
          </cell>
          <cell r="AH140">
            <v>172448762.09685239</v>
          </cell>
          <cell r="AI140">
            <v>177968693.61321071</v>
          </cell>
          <cell r="AJ140">
            <v>183662743.6855303</v>
          </cell>
          <cell r="AK140">
            <v>189469416.82215965</v>
          </cell>
          <cell r="AL140">
            <v>194942078.17407033</v>
          </cell>
          <cell r="AM140">
            <v>200511744.44290027</v>
          </cell>
          <cell r="AN140">
            <v>205972501.00475016</v>
          </cell>
          <cell r="AO140">
            <v>212144424.50568289</v>
          </cell>
          <cell r="AP140">
            <v>218068700.57876387</v>
          </cell>
          <cell r="AQ140">
            <v>223685432.56507364</v>
          </cell>
          <cell r="AR140">
            <v>229287272.58265579</v>
          </cell>
          <cell r="AS140">
            <v>234910631.1979652</v>
          </cell>
          <cell r="AT140">
            <v>241011209.31711441</v>
          </cell>
          <cell r="AU140">
            <v>246654440.76882473</v>
          </cell>
          <cell r="AV140">
            <v>252451269.5511865</v>
          </cell>
          <cell r="AW140">
            <v>258840713.69411057</v>
          </cell>
          <cell r="AX140">
            <v>265411240.03860959</v>
          </cell>
          <cell r="AY140">
            <v>272128999.9768973</v>
          </cell>
          <cell r="AZ140">
            <v>279875330.9587996</v>
          </cell>
          <cell r="BA140">
            <v>286886391.75340325</v>
          </cell>
          <cell r="BB140">
            <v>286886391.75340325</v>
          </cell>
        </row>
        <row r="141">
          <cell r="A141" t="str">
            <v>TICK</v>
          </cell>
          <cell r="B141">
            <v>139058.94818288274</v>
          </cell>
          <cell r="C141">
            <v>142945.00289654831</v>
          </cell>
          <cell r="D141">
            <v>117294.93715179825</v>
          </cell>
          <cell r="E141">
            <v>104281.82576548417</v>
          </cell>
          <cell r="F141">
            <v>114696.4419412651</v>
          </cell>
          <cell r="G141">
            <v>276373.15354142955</v>
          </cell>
          <cell r="H141">
            <v>155955.41577434377</v>
          </cell>
          <cell r="I141">
            <v>210960.13082005086</v>
          </cell>
          <cell r="J141">
            <v>196126.92465671862</v>
          </cell>
          <cell r="K141">
            <v>220035.6751196695</v>
          </cell>
          <cell r="L141">
            <v>288183.87452018214</v>
          </cell>
          <cell r="M141">
            <v>460276.61257014237</v>
          </cell>
          <cell r="N141">
            <v>487444.73345773661</v>
          </cell>
          <cell r="O141">
            <v>399452.93030901696</v>
          </cell>
          <cell r="P141">
            <v>383012.44891799532</v>
          </cell>
          <cell r="Q141">
            <v>643613.82062031247</v>
          </cell>
          <cell r="R141">
            <v>817292.75614531117</v>
          </cell>
          <cell r="S141">
            <v>787251.90548688162</v>
          </cell>
          <cell r="T141">
            <v>779873.63339462469</v>
          </cell>
          <cell r="U141">
            <v>612963.77771371789</v>
          </cell>
          <cell r="V141">
            <v>1900130.7232824992</v>
          </cell>
          <cell r="W141">
            <v>1450893.3803882794</v>
          </cell>
          <cell r="X141">
            <v>1522345.866677562</v>
          </cell>
          <cell r="Y141">
            <v>2019233.7233595303</v>
          </cell>
          <cell r="Z141">
            <v>1831638.5358758371</v>
          </cell>
          <cell r="AA141">
            <v>1967323.2782659999</v>
          </cell>
          <cell r="AB141">
            <v>2522739.2861882579</v>
          </cell>
          <cell r="AC141">
            <v>2547326.6727358927</v>
          </cell>
          <cell r="AD141">
            <v>2753704.7085924372</v>
          </cell>
          <cell r="AE141">
            <v>2569328.3505008593</v>
          </cell>
          <cell r="AF141">
            <v>2686313.7173089003</v>
          </cell>
          <cell r="AG141">
            <v>2696183.2572115054</v>
          </cell>
          <cell r="AH141">
            <v>2244032.7858324209</v>
          </cell>
          <cell r="AI141">
            <v>1932025.7778835634</v>
          </cell>
          <cell r="AJ141">
            <v>1327367.1220164634</v>
          </cell>
          <cell r="AK141">
            <v>410390.45380440692</v>
          </cell>
          <cell r="AL141">
            <v>145001.90909589082</v>
          </cell>
          <cell r="AM141">
            <v>264936.56316980056</v>
          </cell>
          <cell r="AN141">
            <v>426641.8960990567</v>
          </cell>
          <cell r="AO141">
            <v>926038.50142994081</v>
          </cell>
          <cell r="AP141">
            <v>1627832.7940104539</v>
          </cell>
          <cell r="AQ141">
            <v>2533311.9474780234</v>
          </cell>
          <cell r="AR141">
            <v>1099166.7141282344</v>
          </cell>
          <cell r="AS141">
            <v>2627281.4994471548</v>
          </cell>
          <cell r="AT141">
            <v>133323.26025054094</v>
          </cell>
          <cell r="AU141">
            <v>131338.24627716414</v>
          </cell>
          <cell r="AV141">
            <v>151759.29442490492</v>
          </cell>
          <cell r="AW141">
            <v>225883.44657014465</v>
          </cell>
          <cell r="AX141">
            <v>256543.06546015787</v>
          </cell>
          <cell r="AY141">
            <v>489368.73822694528</v>
          </cell>
          <cell r="AZ141">
            <v>701364.03083417739</v>
          </cell>
          <cell r="BA141">
            <v>232101.05684334651</v>
          </cell>
          <cell r="BB141">
            <v>0</v>
          </cell>
        </row>
        <row r="142">
          <cell r="A142" t="str">
            <v>ptd</v>
          </cell>
          <cell r="B142">
            <v>139058.94818288274</v>
          </cell>
          <cell r="C142">
            <v>282003.95107943105</v>
          </cell>
          <cell r="D142">
            <v>399298.88823122927</v>
          </cell>
          <cell r="E142">
            <v>503580.71399671346</v>
          </cell>
          <cell r="F142">
            <v>114696.4419412651</v>
          </cell>
          <cell r="G142">
            <v>391069.59548269468</v>
          </cell>
          <cell r="H142">
            <v>547025.01125703845</v>
          </cell>
          <cell r="I142">
            <v>757985.14207708929</v>
          </cell>
          <cell r="J142">
            <v>196126.92465671862</v>
          </cell>
          <cell r="K142">
            <v>416162.59977638815</v>
          </cell>
          <cell r="L142">
            <v>704346.47429657029</v>
          </cell>
          <cell r="M142">
            <v>1164623.0868667127</v>
          </cell>
          <cell r="N142">
            <v>487444.73345773661</v>
          </cell>
          <cell r="O142">
            <v>886897.66376675363</v>
          </cell>
          <cell r="P142">
            <v>1269910.1126847491</v>
          </cell>
          <cell r="Q142">
            <v>1913523.9333050614</v>
          </cell>
          <cell r="R142">
            <v>817292.75614531117</v>
          </cell>
          <cell r="S142">
            <v>1604544.6616321928</v>
          </cell>
          <cell r="T142">
            <v>2384418.2950268174</v>
          </cell>
          <cell r="U142">
            <v>2997382.0727405353</v>
          </cell>
          <cell r="V142">
            <v>1900130.7232824992</v>
          </cell>
          <cell r="W142">
            <v>3351024.1036707787</v>
          </cell>
          <cell r="X142">
            <v>4873369.9703483405</v>
          </cell>
          <cell r="Y142">
            <v>6892603.6937078703</v>
          </cell>
          <cell r="Z142">
            <v>1831638.5358758371</v>
          </cell>
          <cell r="AA142">
            <v>3798961.8141418369</v>
          </cell>
          <cell r="AB142">
            <v>6321701.1003300948</v>
          </cell>
          <cell r="AC142">
            <v>8869027.773065988</v>
          </cell>
          <cell r="AD142">
            <v>2753704.7085924372</v>
          </cell>
          <cell r="AE142">
            <v>5323033.0590932965</v>
          </cell>
          <cell r="AF142">
            <v>8009346.7764021968</v>
          </cell>
          <cell r="AG142">
            <v>10705530.033613702</v>
          </cell>
          <cell r="AH142">
            <v>2244032.7858324209</v>
          </cell>
          <cell r="AI142">
            <v>4176058.5637159841</v>
          </cell>
          <cell r="AJ142">
            <v>5503425.6857324475</v>
          </cell>
          <cell r="AK142">
            <v>5913816.1395368548</v>
          </cell>
          <cell r="AL142">
            <v>145001.90909589082</v>
          </cell>
          <cell r="AM142">
            <v>409938.47226569138</v>
          </cell>
          <cell r="AN142">
            <v>836580.36836474808</v>
          </cell>
          <cell r="AO142">
            <v>1762618.8697946889</v>
          </cell>
          <cell r="AP142">
            <v>1627832.7940104539</v>
          </cell>
          <cell r="AQ142">
            <v>4161144.7414884772</v>
          </cell>
          <cell r="AR142">
            <v>5260311.4556167116</v>
          </cell>
          <cell r="AS142">
            <v>7887592.9550638665</v>
          </cell>
          <cell r="AT142">
            <v>133323.26025054094</v>
          </cell>
          <cell r="AU142">
            <v>264661.50652770512</v>
          </cell>
          <cell r="AV142">
            <v>416420.80095261004</v>
          </cell>
          <cell r="AW142">
            <v>642304.24752275471</v>
          </cell>
          <cell r="AX142">
            <v>256543.06546015787</v>
          </cell>
          <cell r="AY142">
            <v>745911.80368710309</v>
          </cell>
          <cell r="AZ142">
            <v>1447275.8345212806</v>
          </cell>
          <cell r="BA142">
            <v>1679376.8913646271</v>
          </cell>
          <cell r="BB142">
            <v>1679376.8913646271</v>
          </cell>
        </row>
        <row r="143">
          <cell r="A143" t="str">
            <v>qtd</v>
          </cell>
          <cell r="B143">
            <v>139058.94818288274</v>
          </cell>
          <cell r="C143">
            <v>282003.95107943105</v>
          </cell>
          <cell r="D143">
            <v>399298.88823122927</v>
          </cell>
          <cell r="E143">
            <v>503580.71399671346</v>
          </cell>
          <cell r="F143">
            <v>618277.15593797853</v>
          </cell>
          <cell r="G143">
            <v>894650.30947940808</v>
          </cell>
          <cell r="H143">
            <v>1050605.725253752</v>
          </cell>
          <cell r="I143">
            <v>1261565.8560738028</v>
          </cell>
          <cell r="J143">
            <v>1457692.7807305213</v>
          </cell>
          <cell r="K143">
            <v>1677728.4558501907</v>
          </cell>
          <cell r="L143">
            <v>1965912.3303703729</v>
          </cell>
          <cell r="M143">
            <v>2426188.9429405155</v>
          </cell>
          <cell r="N143">
            <v>487444.73345773661</v>
          </cell>
          <cell r="O143">
            <v>886897.66376675363</v>
          </cell>
          <cell r="P143">
            <v>1269910.1126847491</v>
          </cell>
          <cell r="Q143">
            <v>1913523.9333050614</v>
          </cell>
          <cell r="R143">
            <v>2730816.6894503725</v>
          </cell>
          <cell r="S143">
            <v>3518068.5949372542</v>
          </cell>
          <cell r="T143">
            <v>4297942.2283318788</v>
          </cell>
          <cell r="U143">
            <v>4910906.0060455967</v>
          </cell>
          <cell r="V143">
            <v>6811036.7293280959</v>
          </cell>
          <cell r="W143">
            <v>8261930.1097163754</v>
          </cell>
          <cell r="X143">
            <v>9784275.9763939381</v>
          </cell>
          <cell r="Y143">
            <v>11803509.699753469</v>
          </cell>
          <cell r="Z143">
            <v>1831638.5358758371</v>
          </cell>
          <cell r="AA143">
            <v>3798961.8141418369</v>
          </cell>
          <cell r="AB143">
            <v>6321701.1003300948</v>
          </cell>
          <cell r="AC143">
            <v>8869027.773065988</v>
          </cell>
          <cell r="AD143">
            <v>11622732.481658425</v>
          </cell>
          <cell r="AE143">
            <v>14192060.832159285</v>
          </cell>
          <cell r="AF143">
            <v>16878374.549468186</v>
          </cell>
          <cell r="AG143">
            <v>19574557.806679692</v>
          </cell>
          <cell r="AH143">
            <v>21818590.592512112</v>
          </cell>
          <cell r="AI143">
            <v>23750616.370395675</v>
          </cell>
          <cell r="AJ143">
            <v>25077983.492412139</v>
          </cell>
          <cell r="AK143">
            <v>25488373.946216546</v>
          </cell>
          <cell r="AL143">
            <v>145001.90909589082</v>
          </cell>
          <cell r="AM143">
            <v>409938.47226569138</v>
          </cell>
          <cell r="AN143">
            <v>836580.36836474808</v>
          </cell>
          <cell r="AO143">
            <v>1762618.8697946889</v>
          </cell>
          <cell r="AP143">
            <v>3390451.663805143</v>
          </cell>
          <cell r="AQ143">
            <v>5923763.6112831663</v>
          </cell>
          <cell r="AR143">
            <v>7022930.3254114008</v>
          </cell>
          <cell r="AS143">
            <v>9650211.8248585556</v>
          </cell>
          <cell r="AT143">
            <v>9783535.085109096</v>
          </cell>
          <cell r="AU143">
            <v>9914873.3313862607</v>
          </cell>
          <cell r="AV143">
            <v>10066632.625811165</v>
          </cell>
          <cell r="AW143">
            <v>10292516.07238131</v>
          </cell>
          <cell r="AX143">
            <v>10549059.137841469</v>
          </cell>
          <cell r="AY143">
            <v>11038427.876068413</v>
          </cell>
          <cell r="AZ143">
            <v>11739791.906902591</v>
          </cell>
          <cell r="BA143">
            <v>11971892.963745937</v>
          </cell>
          <cell r="BB143">
            <v>11971892.963745937</v>
          </cell>
        </row>
        <row r="144">
          <cell r="A144" t="str">
            <v>ytd</v>
          </cell>
          <cell r="B144">
            <v>139058.94818288274</v>
          </cell>
          <cell r="C144">
            <v>282003.95107943105</v>
          </cell>
          <cell r="D144">
            <v>399298.88823122927</v>
          </cell>
          <cell r="E144">
            <v>503580.71399671346</v>
          </cell>
          <cell r="F144">
            <v>618277.15593797853</v>
          </cell>
          <cell r="G144">
            <v>894650.30947940808</v>
          </cell>
          <cell r="H144">
            <v>1050605.725253752</v>
          </cell>
          <cell r="I144">
            <v>1261565.8560738028</v>
          </cell>
          <cell r="J144">
            <v>1457692.7807305213</v>
          </cell>
          <cell r="K144">
            <v>1677728.4558501907</v>
          </cell>
          <cell r="L144">
            <v>1965912.3303703729</v>
          </cell>
          <cell r="M144">
            <v>2426188.9429405155</v>
          </cell>
          <cell r="N144">
            <v>2913633.6763982521</v>
          </cell>
          <cell r="O144">
            <v>3313086.6067072693</v>
          </cell>
          <cell r="P144">
            <v>3696099.0556252645</v>
          </cell>
          <cell r="Q144">
            <v>4339712.8762455769</v>
          </cell>
          <cell r="R144">
            <v>5157005.6323908884</v>
          </cell>
          <cell r="S144">
            <v>5944257.5378777701</v>
          </cell>
          <cell r="T144">
            <v>6724131.1712723952</v>
          </cell>
          <cell r="U144">
            <v>7337094.9489861131</v>
          </cell>
          <cell r="V144">
            <v>9237225.6722686123</v>
          </cell>
          <cell r="W144">
            <v>10688119.052656893</v>
          </cell>
          <cell r="X144">
            <v>12210464.919334454</v>
          </cell>
          <cell r="Y144">
            <v>14229698.642693985</v>
          </cell>
          <cell r="Z144">
            <v>16061337.178569822</v>
          </cell>
          <cell r="AA144">
            <v>18028660.456835821</v>
          </cell>
          <cell r="AB144">
            <v>20551399.743024081</v>
          </cell>
          <cell r="AC144">
            <v>23098726.415759973</v>
          </cell>
          <cell r="AD144">
            <v>25852431.12435241</v>
          </cell>
          <cell r="AE144">
            <v>28421759.47485327</v>
          </cell>
          <cell r="AF144">
            <v>31108073.192162171</v>
          </cell>
          <cell r="AG144">
            <v>33804256.449373677</v>
          </cell>
          <cell r="AH144">
            <v>36048289.235206097</v>
          </cell>
          <cell r="AI144">
            <v>37980315.013089664</v>
          </cell>
          <cell r="AJ144">
            <v>39307682.135106131</v>
          </cell>
          <cell r="AK144">
            <v>39718072.588910535</v>
          </cell>
          <cell r="AL144">
            <v>39863074.498006426</v>
          </cell>
          <cell r="AM144">
            <v>40128011.061176226</v>
          </cell>
          <cell r="AN144">
            <v>40554652.957275279</v>
          </cell>
          <cell r="AO144">
            <v>41480691.458705217</v>
          </cell>
          <cell r="AP144">
            <v>43108524.25271567</v>
          </cell>
          <cell r="AQ144">
            <v>45641836.200193696</v>
          </cell>
          <cell r="AR144">
            <v>46741002.914321929</v>
          </cell>
          <cell r="AS144">
            <v>49368284.413769081</v>
          </cell>
          <cell r="AT144">
            <v>49501607.67401962</v>
          </cell>
          <cell r="AU144">
            <v>49632945.920296781</v>
          </cell>
          <cell r="AV144">
            <v>49784705.214721687</v>
          </cell>
          <cell r="AW144">
            <v>50010588.66129183</v>
          </cell>
          <cell r="AX144">
            <v>50267131.726751991</v>
          </cell>
          <cell r="AY144">
            <v>50756500.464978933</v>
          </cell>
          <cell r="AZ144">
            <v>51457864.495813109</v>
          </cell>
          <cell r="BA144">
            <v>51689965.552656457</v>
          </cell>
          <cell r="BB144">
            <v>51689965.552656457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All Other DISTRIBUTION</v>
          </cell>
          <cell r="B149">
            <v>29057631.53207479</v>
          </cell>
          <cell r="C149">
            <v>27855418.052224152</v>
          </cell>
          <cell r="D149">
            <v>25598231.044983</v>
          </cell>
          <cell r="E149">
            <v>25174588.602360006</v>
          </cell>
          <cell r="F149">
            <v>26559086.019656882</v>
          </cell>
          <cell r="G149">
            <v>36697264.500864975</v>
          </cell>
          <cell r="H149">
            <v>28207759.151210606</v>
          </cell>
          <cell r="I149">
            <v>26020354.224855553</v>
          </cell>
          <cell r="J149">
            <v>27260785.10734687</v>
          </cell>
          <cell r="K149">
            <v>28233310.382628255</v>
          </cell>
          <cell r="L149">
            <v>28733185.076295819</v>
          </cell>
          <cell r="M149">
            <v>28708561.559764381</v>
          </cell>
          <cell r="N149">
            <v>27439553.309155066</v>
          </cell>
          <cell r="O149">
            <v>38763868.765022889</v>
          </cell>
          <cell r="P149">
            <v>27754356.794699617</v>
          </cell>
          <cell r="Q149">
            <v>29741751.715814635</v>
          </cell>
          <cell r="R149">
            <v>32447085.394490279</v>
          </cell>
          <cell r="S149">
            <v>51321828.52530279</v>
          </cell>
          <cell r="T149">
            <v>41729687.23551888</v>
          </cell>
          <cell r="U149">
            <v>34851402.355290845</v>
          </cell>
          <cell r="V149">
            <v>38947993.842052832</v>
          </cell>
          <cell r="W149">
            <v>39735158.721653886</v>
          </cell>
          <cell r="X149">
            <v>47449097.174892262</v>
          </cell>
          <cell r="Y149">
            <v>62996910.24385792</v>
          </cell>
          <cell r="Z149">
            <v>46720511.076744929</v>
          </cell>
          <cell r="AA149">
            <v>34930015.473344825</v>
          </cell>
          <cell r="AB149">
            <v>32556389.755175594</v>
          </cell>
          <cell r="AC149">
            <v>32650328.133913394</v>
          </cell>
          <cell r="AD149">
            <v>32405612.723537978</v>
          </cell>
          <cell r="AE149">
            <v>32330543.087736789</v>
          </cell>
          <cell r="AF149">
            <v>33353794.143964462</v>
          </cell>
          <cell r="AG149">
            <v>33046168.624527559</v>
          </cell>
          <cell r="AH149">
            <v>32626335.77675787</v>
          </cell>
          <cell r="AI149">
            <v>32266265.727507539</v>
          </cell>
          <cell r="AJ149">
            <v>30595728.982447598</v>
          </cell>
          <cell r="AK149">
            <v>29457445.077678297</v>
          </cell>
          <cell r="AL149">
            <v>29814372.989101097</v>
          </cell>
          <cell r="AM149">
            <v>30480846.597262662</v>
          </cell>
          <cell r="AN149">
            <v>30601234.621317476</v>
          </cell>
          <cell r="AO149">
            <v>32432901.941416785</v>
          </cell>
          <cell r="AP149">
            <v>33343569.84926261</v>
          </cell>
          <cell r="AQ149">
            <v>35941807.066787556</v>
          </cell>
          <cell r="AR149">
            <v>34042824.707309492</v>
          </cell>
          <cell r="AS149">
            <v>38721881.518346868</v>
          </cell>
          <cell r="AT149">
            <v>37329663.718250483</v>
          </cell>
          <cell r="AU149">
            <v>40126076.988532551</v>
          </cell>
          <cell r="AV149">
            <v>46983243.893088706</v>
          </cell>
          <cell r="AW149">
            <v>75421440.15385966</v>
          </cell>
          <cell r="AX149">
            <v>128220018.29839844</v>
          </cell>
          <cell r="AY149">
            <v>265947146.39862335</v>
          </cell>
          <cell r="AZ149">
            <v>360887093.26099688</v>
          </cell>
          <cell r="BA149">
            <v>72918659.563587114</v>
          </cell>
          <cell r="BB149">
            <v>0</v>
          </cell>
        </row>
        <row r="150">
          <cell r="A150" t="str">
            <v>ptd</v>
          </cell>
          <cell r="B150">
            <v>29057631.53207479</v>
          </cell>
          <cell r="C150">
            <v>56913049.584298939</v>
          </cell>
          <cell r="D150">
            <v>82511280.629281938</v>
          </cell>
          <cell r="E150">
            <v>107685869.23164195</v>
          </cell>
          <cell r="F150">
            <v>26559086.019656882</v>
          </cell>
          <cell r="G150">
            <v>63256350.520521857</v>
          </cell>
          <cell r="H150">
            <v>91464109.671732455</v>
          </cell>
          <cell r="I150">
            <v>117484463.89658801</v>
          </cell>
          <cell r="J150">
            <v>27260785.10734687</v>
          </cell>
          <cell r="K150">
            <v>55494095.489975125</v>
          </cell>
          <cell r="L150">
            <v>84227280.566270947</v>
          </cell>
          <cell r="M150">
            <v>112935842.12603533</v>
          </cell>
          <cell r="N150">
            <v>27439553.309155066</v>
          </cell>
          <cell r="O150">
            <v>66203422.074177951</v>
          </cell>
          <cell r="P150">
            <v>93957778.86887756</v>
          </cell>
          <cell r="Q150">
            <v>123699530.5846922</v>
          </cell>
          <cell r="R150">
            <v>32447085.394490279</v>
          </cell>
          <cell r="S150">
            <v>83768913.919793069</v>
          </cell>
          <cell r="T150">
            <v>125498601.15531194</v>
          </cell>
          <cell r="U150">
            <v>160350003.51060277</v>
          </cell>
          <cell r="V150">
            <v>38947993.842052832</v>
          </cell>
          <cell r="W150">
            <v>78683152.563706726</v>
          </cell>
          <cell r="X150">
            <v>126132249.73859899</v>
          </cell>
          <cell r="Y150">
            <v>189129159.98245692</v>
          </cell>
          <cell r="Z150">
            <v>46720511.076744929</v>
          </cell>
          <cell r="AA150">
            <v>81650526.550089747</v>
          </cell>
          <cell r="AB150">
            <v>114206916.30526534</v>
          </cell>
          <cell r="AC150">
            <v>146857244.43917874</v>
          </cell>
          <cell r="AD150">
            <v>32405612.723537978</v>
          </cell>
          <cell r="AE150">
            <v>64736155.811274767</v>
          </cell>
          <cell r="AF150">
            <v>98089949.955239236</v>
          </cell>
          <cell r="AG150">
            <v>131136118.5797668</v>
          </cell>
          <cell r="AH150">
            <v>32626335.77675787</v>
          </cell>
          <cell r="AI150">
            <v>64892601.504265413</v>
          </cell>
          <cell r="AJ150">
            <v>95488330.486713007</v>
          </cell>
          <cell r="AK150">
            <v>124945775.5643913</v>
          </cell>
          <cell r="AL150">
            <v>29814372.989101097</v>
          </cell>
          <cell r="AM150">
            <v>60295219.586363763</v>
          </cell>
          <cell r="AN150">
            <v>90896454.207681239</v>
          </cell>
          <cell r="AO150">
            <v>123329356.14909802</v>
          </cell>
          <cell r="AP150">
            <v>33343569.84926261</v>
          </cell>
          <cell r="AQ150">
            <v>69285376.916050166</v>
          </cell>
          <cell r="AR150">
            <v>103328201.62335965</v>
          </cell>
          <cell r="AS150">
            <v>142050083.14170653</v>
          </cell>
          <cell r="AT150">
            <v>37329663.718250483</v>
          </cell>
          <cell r="AU150">
            <v>77455740.706783026</v>
          </cell>
          <cell r="AV150">
            <v>124438984.59987172</v>
          </cell>
          <cell r="AW150">
            <v>199860424.75373137</v>
          </cell>
          <cell r="AX150">
            <v>128220018.29839844</v>
          </cell>
          <cell r="AY150">
            <v>394167164.69702178</v>
          </cell>
          <cell r="AZ150">
            <v>755054257.95801866</v>
          </cell>
          <cell r="BA150">
            <v>827972917.52160573</v>
          </cell>
          <cell r="BB150">
            <v>827972917.52160573</v>
          </cell>
        </row>
        <row r="151">
          <cell r="A151" t="str">
            <v>qtd</v>
          </cell>
          <cell r="B151">
            <v>29057631.53207479</v>
          </cell>
          <cell r="C151">
            <v>56913049.584298939</v>
          </cell>
          <cell r="D151">
            <v>82511280.629281938</v>
          </cell>
          <cell r="E151">
            <v>107685869.23164195</v>
          </cell>
          <cell r="F151">
            <v>134244955.25129884</v>
          </cell>
          <cell r="G151">
            <v>170942219.75216383</v>
          </cell>
          <cell r="H151">
            <v>199149978.90337443</v>
          </cell>
          <cell r="I151">
            <v>225170333.12822998</v>
          </cell>
          <cell r="J151">
            <v>252431118.23557684</v>
          </cell>
          <cell r="K151">
            <v>280664428.61820507</v>
          </cell>
          <cell r="L151">
            <v>309397613.69450086</v>
          </cell>
          <cell r="M151">
            <v>338106175.25426525</v>
          </cell>
          <cell r="N151">
            <v>27439553.309155066</v>
          </cell>
          <cell r="O151">
            <v>66203422.074177951</v>
          </cell>
          <cell r="P151">
            <v>93957778.86887756</v>
          </cell>
          <cell r="Q151">
            <v>123699530.5846922</v>
          </cell>
          <cell r="R151">
            <v>156146615.97918248</v>
          </cell>
          <cell r="S151">
            <v>207468444.50448528</v>
          </cell>
          <cell r="T151">
            <v>249198131.74000415</v>
          </cell>
          <cell r="U151">
            <v>284049534.09529501</v>
          </cell>
          <cell r="V151">
            <v>322997527.93734783</v>
          </cell>
          <cell r="W151">
            <v>362732686.65900171</v>
          </cell>
          <cell r="X151">
            <v>410181783.83389395</v>
          </cell>
          <cell r="Y151">
            <v>473178694.07775187</v>
          </cell>
          <cell r="Z151">
            <v>46720511.076744929</v>
          </cell>
          <cell r="AA151">
            <v>81650526.550089747</v>
          </cell>
          <cell r="AB151">
            <v>114206916.30526534</v>
          </cell>
          <cell r="AC151">
            <v>146857244.43917874</v>
          </cell>
          <cell r="AD151">
            <v>179262857.16271672</v>
          </cell>
          <cell r="AE151">
            <v>211593400.2504535</v>
          </cell>
          <cell r="AF151">
            <v>244947194.39441797</v>
          </cell>
          <cell r="AG151">
            <v>277993363.01894552</v>
          </cell>
          <cell r="AH151">
            <v>310619698.79570341</v>
          </cell>
          <cell r="AI151">
            <v>342885964.52321094</v>
          </cell>
          <cell r="AJ151">
            <v>373481693.50565857</v>
          </cell>
          <cell r="AK151">
            <v>402939138.58333689</v>
          </cell>
          <cell r="AL151">
            <v>29814372.989101097</v>
          </cell>
          <cell r="AM151">
            <v>60295219.586363763</v>
          </cell>
          <cell r="AN151">
            <v>90896454.207681239</v>
          </cell>
          <cell r="AO151">
            <v>123329356.14909802</v>
          </cell>
          <cell r="AP151">
            <v>156672925.99836063</v>
          </cell>
          <cell r="AQ151">
            <v>192614733.06514817</v>
          </cell>
          <cell r="AR151">
            <v>226657557.77245766</v>
          </cell>
          <cell r="AS151">
            <v>265379439.29080454</v>
          </cell>
          <cell r="AT151">
            <v>302709103.00905502</v>
          </cell>
          <cell r="AU151">
            <v>342835179.99758756</v>
          </cell>
          <cell r="AV151">
            <v>389818423.89067626</v>
          </cell>
          <cell r="AW151">
            <v>465239864.04453593</v>
          </cell>
          <cell r="AX151">
            <v>593459882.34293437</v>
          </cell>
          <cell r="AY151">
            <v>859407028.74155772</v>
          </cell>
          <cell r="AZ151">
            <v>1220294122.0025547</v>
          </cell>
          <cell r="BA151">
            <v>1293212781.5661418</v>
          </cell>
          <cell r="BB151">
            <v>1293212781.5661418</v>
          </cell>
        </row>
        <row r="152">
          <cell r="A152" t="str">
            <v>ytd</v>
          </cell>
          <cell r="B152">
            <v>29057631.53207479</v>
          </cell>
          <cell r="C152">
            <v>56913049.584298939</v>
          </cell>
          <cell r="D152">
            <v>82511280.629281938</v>
          </cell>
          <cell r="E152">
            <v>107685869.23164195</v>
          </cell>
          <cell r="F152">
            <v>134244955.25129884</v>
          </cell>
          <cell r="G152">
            <v>170942219.75216383</v>
          </cell>
          <cell r="H152">
            <v>199149978.90337443</v>
          </cell>
          <cell r="I152">
            <v>225170333.12822998</v>
          </cell>
          <cell r="J152">
            <v>252431118.23557684</v>
          </cell>
          <cell r="K152">
            <v>280664428.61820507</v>
          </cell>
          <cell r="L152">
            <v>309397613.69450086</v>
          </cell>
          <cell r="M152">
            <v>338106175.25426525</v>
          </cell>
          <cell r="N152">
            <v>365545728.5634203</v>
          </cell>
          <cell r="O152">
            <v>404309597.32844317</v>
          </cell>
          <cell r="P152">
            <v>432063954.12314278</v>
          </cell>
          <cell r="Q152">
            <v>461805705.83895743</v>
          </cell>
          <cell r="R152">
            <v>494252791.23344773</v>
          </cell>
          <cell r="S152">
            <v>545574619.75875056</v>
          </cell>
          <cell r="T152">
            <v>587304306.99426949</v>
          </cell>
          <cell r="U152">
            <v>622155709.34956038</v>
          </cell>
          <cell r="V152">
            <v>661103703.1916132</v>
          </cell>
          <cell r="W152">
            <v>700838861.91326714</v>
          </cell>
          <cell r="X152">
            <v>748287959.08815944</v>
          </cell>
          <cell r="Y152">
            <v>811284869.33201742</v>
          </cell>
          <cell r="Z152">
            <v>858005380.40876234</v>
          </cell>
          <cell r="AA152">
            <v>892935395.88210714</v>
          </cell>
          <cell r="AB152">
            <v>925491785.63728273</v>
          </cell>
          <cell r="AC152">
            <v>958142113.77119613</v>
          </cell>
          <cell r="AD152">
            <v>990547726.49473405</v>
          </cell>
          <cell r="AE152">
            <v>1022878269.5824709</v>
          </cell>
          <cell r="AF152">
            <v>1056232063.7264353</v>
          </cell>
          <cell r="AG152">
            <v>1089278232.3509629</v>
          </cell>
          <cell r="AH152">
            <v>1121904568.1277208</v>
          </cell>
          <cell r="AI152">
            <v>1154170833.8552284</v>
          </cell>
          <cell r="AJ152">
            <v>1184766562.837676</v>
          </cell>
          <cell r="AK152">
            <v>1214224007.9153543</v>
          </cell>
          <cell r="AL152">
            <v>1244038380.9044554</v>
          </cell>
          <cell r="AM152">
            <v>1274519227.501718</v>
          </cell>
          <cell r="AN152">
            <v>1305120462.1230354</v>
          </cell>
          <cell r="AO152">
            <v>1337553364.0644522</v>
          </cell>
          <cell r="AP152">
            <v>1370896933.9137149</v>
          </cell>
          <cell r="AQ152">
            <v>1406838740.9805024</v>
          </cell>
          <cell r="AR152">
            <v>1440881565.6878119</v>
          </cell>
          <cell r="AS152">
            <v>1479603447.2061586</v>
          </cell>
          <cell r="AT152">
            <v>1516933110.9244092</v>
          </cell>
          <cell r="AU152">
            <v>1557059187.9129417</v>
          </cell>
          <cell r="AV152">
            <v>1604042431.8060305</v>
          </cell>
          <cell r="AW152">
            <v>1679463871.9598901</v>
          </cell>
          <cell r="AX152">
            <v>1807683890.2582886</v>
          </cell>
          <cell r="AY152">
            <v>2073631036.6569118</v>
          </cell>
          <cell r="AZ152">
            <v>2434518129.9179087</v>
          </cell>
          <cell r="BA152">
            <v>2507436789.4814959</v>
          </cell>
          <cell r="BB152">
            <v>2507436789.4814959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121986.4951531012</v>
          </cell>
          <cell r="C159">
            <v>127777.51641126383</v>
          </cell>
          <cell r="D159">
            <v>130313.60859545597</v>
          </cell>
          <cell r="E159">
            <v>133982.662118104</v>
          </cell>
          <cell r="F159">
            <v>152734.3058157317</v>
          </cell>
          <cell r="G159">
            <v>240607.17922978566</v>
          </cell>
          <cell r="H159">
            <v>168720.68584250781</v>
          </cell>
          <cell r="I159">
            <v>176605.3175146557</v>
          </cell>
          <cell r="J159">
            <v>393938.42979620036</v>
          </cell>
          <cell r="K159">
            <v>252343.19547803243</v>
          </cell>
          <cell r="L159">
            <v>222583.72688942819</v>
          </cell>
          <cell r="M159">
            <v>217095.35054206982</v>
          </cell>
          <cell r="N159">
            <v>208860.95966264847</v>
          </cell>
          <cell r="O159">
            <v>244355.40736619517</v>
          </cell>
          <cell r="P159">
            <v>193140.30080768483</v>
          </cell>
          <cell r="Q159">
            <v>197144.70361575403</v>
          </cell>
          <cell r="R159">
            <v>234061.31584089505</v>
          </cell>
          <cell r="S159">
            <v>328130.84593266586</v>
          </cell>
          <cell r="T159">
            <v>289239.1991029671</v>
          </cell>
          <cell r="U159">
            <v>311392.35803461401</v>
          </cell>
          <cell r="V159">
            <v>318202.23687196954</v>
          </cell>
          <cell r="W159">
            <v>285746.51354174782</v>
          </cell>
          <cell r="X159">
            <v>323454.11583411472</v>
          </cell>
          <cell r="Y159">
            <v>382188.92304529774</v>
          </cell>
          <cell r="Z159">
            <v>289587.20826157922</v>
          </cell>
          <cell r="AA159">
            <v>297780.04927299067</v>
          </cell>
          <cell r="AB159">
            <v>290423.71441525454</v>
          </cell>
          <cell r="AC159">
            <v>280444.59976386407</v>
          </cell>
          <cell r="AD159">
            <v>298242.41016795085</v>
          </cell>
          <cell r="AE159">
            <v>278974.38520179258</v>
          </cell>
          <cell r="AF159">
            <v>259031.64705488246</v>
          </cell>
          <cell r="AG159">
            <v>251763.80549345067</v>
          </cell>
          <cell r="AH159">
            <v>314764.46971624199</v>
          </cell>
          <cell r="AI159">
            <v>319559.83553150308</v>
          </cell>
          <cell r="AJ159">
            <v>307776.33388148271</v>
          </cell>
          <cell r="AK159">
            <v>413801.60127619345</v>
          </cell>
          <cell r="AL159">
            <v>538694.45147358649</v>
          </cell>
          <cell r="AM159">
            <v>498051.83980192483</v>
          </cell>
          <cell r="AN159">
            <v>489969.31628967996</v>
          </cell>
          <cell r="AO159">
            <v>508291.8602666239</v>
          </cell>
          <cell r="AP159">
            <v>488096.10746999859</v>
          </cell>
          <cell r="AQ159">
            <v>458603.94096248958</v>
          </cell>
          <cell r="AR159">
            <v>464095.72660481639</v>
          </cell>
          <cell r="AS159">
            <v>521616.31779855932</v>
          </cell>
          <cell r="AT159">
            <v>733982.85114347527</v>
          </cell>
          <cell r="AU159">
            <v>1133662.2206546986</v>
          </cell>
          <cell r="AV159">
            <v>912834.30069824518</v>
          </cell>
          <cell r="AW159">
            <v>921601.34945369943</v>
          </cell>
          <cell r="AX159">
            <v>1903233.1682066761</v>
          </cell>
          <cell r="AY159">
            <v>3828233.512078994</v>
          </cell>
          <cell r="AZ159">
            <v>9260266.8011510316</v>
          </cell>
          <cell r="BA159">
            <v>3275608.8652833477</v>
          </cell>
        </row>
        <row r="160">
          <cell r="A160" t="str">
            <v>ptd</v>
          </cell>
          <cell r="B160">
            <v>121986.4951531012</v>
          </cell>
          <cell r="C160">
            <v>249764.01156436504</v>
          </cell>
          <cell r="D160">
            <v>380077.620159821</v>
          </cell>
          <cell r="E160">
            <v>514060.282277925</v>
          </cell>
          <cell r="F160">
            <v>152734.3058157317</v>
          </cell>
          <cell r="G160">
            <v>393341.48504551733</v>
          </cell>
          <cell r="H160">
            <v>562062.17088802508</v>
          </cell>
          <cell r="I160">
            <v>738667.48840268073</v>
          </cell>
          <cell r="J160">
            <v>393938.42979620036</v>
          </cell>
          <cell r="K160">
            <v>646281.62527423282</v>
          </cell>
          <cell r="L160">
            <v>868865.35216366104</v>
          </cell>
          <cell r="M160">
            <v>1085960.7027057309</v>
          </cell>
          <cell r="N160">
            <v>208860.95966264847</v>
          </cell>
          <cell r="O160">
            <v>453216.36702884361</v>
          </cell>
          <cell r="P160">
            <v>646356.6678365285</v>
          </cell>
          <cell r="Q160">
            <v>843501.37145228253</v>
          </cell>
          <cell r="R160">
            <v>234061.31584089505</v>
          </cell>
          <cell r="S160">
            <v>562192.16177356092</v>
          </cell>
          <cell r="T160">
            <v>851431.36087652808</v>
          </cell>
          <cell r="U160">
            <v>1162823.7189111421</v>
          </cell>
          <cell r="V160">
            <v>318202.23687196954</v>
          </cell>
          <cell r="W160">
            <v>603948.75041371735</v>
          </cell>
          <cell r="X160">
            <v>927402.86624783208</v>
          </cell>
          <cell r="Y160">
            <v>1309591.7892931299</v>
          </cell>
          <cell r="Z160">
            <v>289587.20826157922</v>
          </cell>
          <cell r="AA160">
            <v>587367.25753456983</v>
          </cell>
          <cell r="AB160">
            <v>877790.97194982436</v>
          </cell>
          <cell r="AC160">
            <v>1158235.5717136883</v>
          </cell>
          <cell r="AD160">
            <v>298242.41016795085</v>
          </cell>
          <cell r="AE160">
            <v>577216.79536974337</v>
          </cell>
          <cell r="AF160">
            <v>836248.44242462586</v>
          </cell>
          <cell r="AG160">
            <v>1088012.2479180766</v>
          </cell>
          <cell r="AH160">
            <v>314764.46971624199</v>
          </cell>
          <cell r="AI160">
            <v>634324.30524774501</v>
          </cell>
          <cell r="AJ160">
            <v>942100.63912922773</v>
          </cell>
          <cell r="AK160">
            <v>1355902.2404054212</v>
          </cell>
          <cell r="AL160">
            <v>538694.45147358649</v>
          </cell>
          <cell r="AM160">
            <v>1036746.2912755113</v>
          </cell>
          <cell r="AN160">
            <v>1526715.6075651911</v>
          </cell>
          <cell r="AO160">
            <v>2035007.4678318151</v>
          </cell>
          <cell r="AP160">
            <v>488096.10746999859</v>
          </cell>
          <cell r="AQ160">
            <v>946700.04843248823</v>
          </cell>
          <cell r="AR160">
            <v>1410795.7750373045</v>
          </cell>
          <cell r="AS160">
            <v>1932412.0928358638</v>
          </cell>
          <cell r="AT160">
            <v>733982.85114347527</v>
          </cell>
          <cell r="AU160">
            <v>1867645.0717981737</v>
          </cell>
          <cell r="AV160">
            <v>2780479.3724964187</v>
          </cell>
          <cell r="AW160">
            <v>3702080.721950118</v>
          </cell>
          <cell r="AX160">
            <v>1903233.1682066761</v>
          </cell>
          <cell r="AY160">
            <v>5731466.6802856699</v>
          </cell>
          <cell r="AZ160">
            <v>14991733.481436701</v>
          </cell>
          <cell r="BA160">
            <v>18267342.346720047</v>
          </cell>
          <cell r="BB160">
            <v>18267342.346720047</v>
          </cell>
        </row>
        <row r="161">
          <cell r="A161" t="str">
            <v>qtd</v>
          </cell>
          <cell r="B161">
            <v>121986.4951531012</v>
          </cell>
          <cell r="C161">
            <v>249764.01156436504</v>
          </cell>
          <cell r="D161">
            <v>380077.620159821</v>
          </cell>
          <cell r="E161">
            <v>514060.282277925</v>
          </cell>
          <cell r="F161">
            <v>666794.5880936567</v>
          </cell>
          <cell r="G161">
            <v>907401.76732344239</v>
          </cell>
          <cell r="H161">
            <v>1076122.4531659503</v>
          </cell>
          <cell r="I161">
            <v>1252727.7706806059</v>
          </cell>
          <cell r="J161">
            <v>1646666.2004768061</v>
          </cell>
          <cell r="K161">
            <v>1899009.3959548385</v>
          </cell>
          <cell r="L161">
            <v>2121593.1228442667</v>
          </cell>
          <cell r="M161">
            <v>2338688.4733863366</v>
          </cell>
          <cell r="N161">
            <v>208860.95966264847</v>
          </cell>
          <cell r="O161">
            <v>453216.36702884361</v>
          </cell>
          <cell r="P161">
            <v>646356.6678365285</v>
          </cell>
          <cell r="Q161">
            <v>843501.37145228253</v>
          </cell>
          <cell r="R161">
            <v>1077562.6872931775</v>
          </cell>
          <cell r="S161">
            <v>1405693.5332258432</v>
          </cell>
          <cell r="T161">
            <v>1694932.7323288103</v>
          </cell>
          <cell r="U161">
            <v>2006325.0903634243</v>
          </cell>
          <cell r="V161">
            <v>2324527.3272353937</v>
          </cell>
          <cell r="W161">
            <v>2610273.8407771415</v>
          </cell>
          <cell r="X161">
            <v>2933727.9566112561</v>
          </cell>
          <cell r="Y161">
            <v>3315916.8796565537</v>
          </cell>
          <cell r="Z161">
            <v>289587.20826157922</v>
          </cell>
          <cell r="AA161">
            <v>587367.25753456983</v>
          </cell>
          <cell r="AB161">
            <v>877790.97194982436</v>
          </cell>
          <cell r="AC161">
            <v>1158235.5717136883</v>
          </cell>
          <cell r="AD161">
            <v>1456477.9818816392</v>
          </cell>
          <cell r="AE161">
            <v>1735452.3670834317</v>
          </cell>
          <cell r="AF161">
            <v>1994484.0141383142</v>
          </cell>
          <cell r="AG161">
            <v>2246247.8196317647</v>
          </cell>
          <cell r="AH161">
            <v>2561012.2893480067</v>
          </cell>
          <cell r="AI161">
            <v>2880572.1248795097</v>
          </cell>
          <cell r="AJ161">
            <v>3188348.4587609926</v>
          </cell>
          <cell r="AK161">
            <v>3602150.0600371859</v>
          </cell>
          <cell r="AL161">
            <v>538694.45147358649</v>
          </cell>
          <cell r="AM161">
            <v>1036746.2912755113</v>
          </cell>
          <cell r="AN161">
            <v>1526715.6075651911</v>
          </cell>
          <cell r="AO161">
            <v>2035007.4678318151</v>
          </cell>
          <cell r="AP161">
            <v>2523103.5753018139</v>
          </cell>
          <cell r="AQ161">
            <v>2981707.5162643036</v>
          </cell>
          <cell r="AR161">
            <v>3445803.2428691201</v>
          </cell>
          <cell r="AS161">
            <v>3967419.5606676796</v>
          </cell>
          <cell r="AT161">
            <v>4701402.4118111553</v>
          </cell>
          <cell r="AU161">
            <v>5835064.6324658543</v>
          </cell>
          <cell r="AV161">
            <v>6747898.9331640992</v>
          </cell>
          <cell r="AW161">
            <v>7669500.282617799</v>
          </cell>
          <cell r="AX161">
            <v>9572733.4508244749</v>
          </cell>
          <cell r="AY161">
            <v>13400966.96290347</v>
          </cell>
          <cell r="AZ161">
            <v>22661233.7640545</v>
          </cell>
          <cell r="BA161">
            <v>25936842.629337847</v>
          </cell>
          <cell r="BB161">
            <v>25936842.629337847</v>
          </cell>
        </row>
        <row r="162">
          <cell r="A162" t="str">
            <v>ytd</v>
          </cell>
          <cell r="B162">
            <v>121986.4951531012</v>
          </cell>
          <cell r="C162">
            <v>249764.01156436504</v>
          </cell>
          <cell r="D162">
            <v>380077.620159821</v>
          </cell>
          <cell r="E162">
            <v>514060.282277925</v>
          </cell>
          <cell r="F162">
            <v>666794.5880936567</v>
          </cell>
          <cell r="G162">
            <v>907401.76732344239</v>
          </cell>
          <cell r="H162">
            <v>1076122.4531659503</v>
          </cell>
          <cell r="I162">
            <v>1252727.7706806059</v>
          </cell>
          <cell r="J162">
            <v>1646666.2004768061</v>
          </cell>
          <cell r="K162">
            <v>1899009.3959548385</v>
          </cell>
          <cell r="L162">
            <v>2121593.1228442667</v>
          </cell>
          <cell r="M162">
            <v>2338688.4733863366</v>
          </cell>
          <cell r="N162">
            <v>2547549.433048985</v>
          </cell>
          <cell r="O162">
            <v>2791904.8404151802</v>
          </cell>
          <cell r="P162">
            <v>2985045.1412228649</v>
          </cell>
          <cell r="Q162">
            <v>3182189.8448386188</v>
          </cell>
          <cell r="R162">
            <v>3416251.1606795136</v>
          </cell>
          <cell r="S162">
            <v>3744382.0066121793</v>
          </cell>
          <cell r="T162">
            <v>4033621.2057151464</v>
          </cell>
          <cell r="U162">
            <v>4345013.5637497604</v>
          </cell>
          <cell r="V162">
            <v>4663215.8006217303</v>
          </cell>
          <cell r="W162">
            <v>4948962.3141634781</v>
          </cell>
          <cell r="X162">
            <v>5272416.4299975932</v>
          </cell>
          <cell r="Y162">
            <v>5654605.3530428912</v>
          </cell>
          <cell r="Z162">
            <v>5944192.5613044705</v>
          </cell>
          <cell r="AA162">
            <v>6241972.6105774613</v>
          </cell>
          <cell r="AB162">
            <v>6532396.3249927163</v>
          </cell>
          <cell r="AC162">
            <v>6812840.92475658</v>
          </cell>
          <cell r="AD162">
            <v>7111083.3349245312</v>
          </cell>
          <cell r="AE162">
            <v>7390057.7201263234</v>
          </cell>
          <cell r="AF162">
            <v>7649089.3671812061</v>
          </cell>
          <cell r="AG162">
            <v>7900853.1726746568</v>
          </cell>
          <cell r="AH162">
            <v>8215617.6423908984</v>
          </cell>
          <cell r="AI162">
            <v>8535177.4779224023</v>
          </cell>
          <cell r="AJ162">
            <v>8842953.8118038848</v>
          </cell>
          <cell r="AK162">
            <v>9256755.4130800776</v>
          </cell>
          <cell r="AL162">
            <v>9795449.8645536639</v>
          </cell>
          <cell r="AM162">
            <v>10293501.704355588</v>
          </cell>
          <cell r="AN162">
            <v>10783471.020645268</v>
          </cell>
          <cell r="AO162">
            <v>11291762.880911892</v>
          </cell>
          <cell r="AP162">
            <v>11779858.988381891</v>
          </cell>
          <cell r="AQ162">
            <v>12238462.92934438</v>
          </cell>
          <cell r="AR162">
            <v>12702558.655949196</v>
          </cell>
          <cell r="AS162">
            <v>13224174.973747754</v>
          </cell>
          <cell r="AT162">
            <v>13958157.82489123</v>
          </cell>
          <cell r="AU162">
            <v>15091820.045545928</v>
          </cell>
          <cell r="AV162">
            <v>16004654.346244173</v>
          </cell>
          <cell r="AW162">
            <v>16926255.695697874</v>
          </cell>
          <cell r="AX162">
            <v>18829488.863904551</v>
          </cell>
          <cell r="AY162">
            <v>22657722.375983544</v>
          </cell>
          <cell r="AZ162">
            <v>31917989.177134573</v>
          </cell>
          <cell r="BA162">
            <v>35193598.042417921</v>
          </cell>
          <cell r="BB162">
            <v>35193598.042417921</v>
          </cell>
        </row>
        <row r="163">
          <cell r="A163" t="str">
            <v>PRED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5861.7504311486191</v>
          </cell>
          <cell r="C171">
            <v>6140.023213018625</v>
          </cell>
          <cell r="D171">
            <v>6261.8886657104413</v>
          </cell>
          <cell r="E171">
            <v>6438.1956908552875</v>
          </cell>
          <cell r="F171">
            <v>7237.710797084681</v>
          </cell>
          <cell r="G171">
            <v>11401.794571734907</v>
          </cell>
          <cell r="H171">
            <v>7995.2668334193686</v>
          </cell>
          <cell r="I171">
            <v>8368.9005333255973</v>
          </cell>
          <cell r="J171">
            <v>15569.831549245739</v>
          </cell>
          <cell r="K171">
            <v>9973.4901421624363</v>
          </cell>
          <cell r="L171">
            <v>8797.2913306899281</v>
          </cell>
          <cell r="M171">
            <v>8580.3714042652755</v>
          </cell>
          <cell r="N171">
            <v>8192.8618410141153</v>
          </cell>
          <cell r="O171">
            <v>9585.1809543034524</v>
          </cell>
          <cell r="P171">
            <v>7576.1971169964463</v>
          </cell>
          <cell r="Q171">
            <v>7733.275390577448</v>
          </cell>
          <cell r="R171">
            <v>8451.2443647960881</v>
          </cell>
          <cell r="S171">
            <v>11847.809846926015</v>
          </cell>
          <cell r="T171">
            <v>10443.550412058288</v>
          </cell>
          <cell r="U171">
            <v>11243.433805479775</v>
          </cell>
          <cell r="V171">
            <v>11230.823462939699</v>
          </cell>
          <cell r="W171">
            <v>10085.311405366096</v>
          </cell>
          <cell r="X171">
            <v>11416.186476262295</v>
          </cell>
          <cell r="Y171">
            <v>13489.208518480074</v>
          </cell>
          <cell r="Z171">
            <v>11132.887481984224</v>
          </cell>
          <cell r="AA171">
            <v>11447.852972640298</v>
          </cell>
          <cell r="AB171">
            <v>11165.046115449979</v>
          </cell>
          <cell r="AC171">
            <v>10781.40914042379</v>
          </cell>
          <cell r="AD171">
            <v>11864.358091003298</v>
          </cell>
          <cell r="AE171">
            <v>11097.858290468026</v>
          </cell>
          <cell r="AF171">
            <v>10304.517777437666</v>
          </cell>
          <cell r="AG171">
            <v>10015.396338320592</v>
          </cell>
          <cell r="AH171">
            <v>10029.240655140886</v>
          </cell>
          <cell r="AI171">
            <v>10182.033878067368</v>
          </cell>
          <cell r="AJ171">
            <v>9806.5798952374716</v>
          </cell>
          <cell r="AK171">
            <v>13184.829426341857</v>
          </cell>
          <cell r="AL171">
            <v>20970.098235483503</v>
          </cell>
          <cell r="AM171">
            <v>19387.977690209718</v>
          </cell>
          <cell r="AN171">
            <v>19073.344206276961</v>
          </cell>
          <cell r="AO171">
            <v>19786.597417015328</v>
          </cell>
          <cell r="AP171">
            <v>19054.055269675307</v>
          </cell>
          <cell r="AQ171">
            <v>17902.754609710337</v>
          </cell>
          <cell r="AR171">
            <v>18117.140230813729</v>
          </cell>
          <cell r="AS171">
            <v>20362.600718976588</v>
          </cell>
          <cell r="AT171">
            <v>30939.846403894149</v>
          </cell>
          <cell r="AU171">
            <v>47787.676410027714</v>
          </cell>
          <cell r="AV171">
            <v>38479.036685680061</v>
          </cell>
          <cell r="AW171">
            <v>38848.597284387011</v>
          </cell>
          <cell r="AX171">
            <v>79399.331535008256</v>
          </cell>
          <cell r="AY171">
            <v>159706.74896623148</v>
          </cell>
          <cell r="AZ171">
            <v>386321.02788541658</v>
          </cell>
          <cell r="BA171">
            <v>136652.28129599403</v>
          </cell>
        </row>
        <row r="172">
          <cell r="A172" t="str">
            <v>ptd</v>
          </cell>
          <cell r="B172">
            <v>5861.7504311486191</v>
          </cell>
          <cell r="C172">
            <v>12001.773644167244</v>
          </cell>
          <cell r="D172">
            <v>18263.662309877684</v>
          </cell>
          <cell r="E172">
            <v>24701.858000732973</v>
          </cell>
          <cell r="F172">
            <v>7237.710797084681</v>
          </cell>
          <cell r="G172">
            <v>18639.505368819588</v>
          </cell>
          <cell r="H172">
            <v>26634.772202238957</v>
          </cell>
          <cell r="I172">
            <v>35003.672735564556</v>
          </cell>
          <cell r="J172">
            <v>15569.831549245739</v>
          </cell>
          <cell r="K172">
            <v>25543.321691408175</v>
          </cell>
          <cell r="L172">
            <v>34340.613022098099</v>
          </cell>
          <cell r="M172">
            <v>42920.984426363371</v>
          </cell>
          <cell r="N172">
            <v>8192.8618410141153</v>
          </cell>
          <cell r="O172">
            <v>17778.042795317568</v>
          </cell>
          <cell r="P172">
            <v>25354.239912314013</v>
          </cell>
          <cell r="Q172">
            <v>33087.515302891465</v>
          </cell>
          <cell r="R172">
            <v>8451.2443647960881</v>
          </cell>
          <cell r="S172">
            <v>20299.054211722105</v>
          </cell>
          <cell r="T172">
            <v>30742.604623780393</v>
          </cell>
          <cell r="U172">
            <v>41986.038429260167</v>
          </cell>
          <cell r="V172">
            <v>11230.823462939699</v>
          </cell>
          <cell r="W172">
            <v>21316.134868305795</v>
          </cell>
          <cell r="X172">
            <v>32732.321344568089</v>
          </cell>
          <cell r="Y172">
            <v>46221.529863048163</v>
          </cell>
          <cell r="Z172">
            <v>11132.887481984224</v>
          </cell>
          <cell r="AA172">
            <v>22580.740454624523</v>
          </cell>
          <cell r="AB172">
            <v>33745.786570074502</v>
          </cell>
          <cell r="AC172">
            <v>44527.195710498294</v>
          </cell>
          <cell r="AD172">
            <v>11864.358091003298</v>
          </cell>
          <cell r="AE172">
            <v>22962.216381471324</v>
          </cell>
          <cell r="AF172">
            <v>33266.734158908992</v>
          </cell>
          <cell r="AG172">
            <v>43282.130497229584</v>
          </cell>
          <cell r="AH172">
            <v>10029.240655140886</v>
          </cell>
          <cell r="AI172">
            <v>20211.274533208256</v>
          </cell>
          <cell r="AJ172">
            <v>30017.854428445728</v>
          </cell>
          <cell r="AK172">
            <v>43202.683854787581</v>
          </cell>
          <cell r="AL172">
            <v>20970.098235483503</v>
          </cell>
          <cell r="AM172">
            <v>40358.075925693222</v>
          </cell>
          <cell r="AN172">
            <v>59431.420131970182</v>
          </cell>
          <cell r="AO172">
            <v>79218.017548985517</v>
          </cell>
          <cell r="AP172">
            <v>19054.055269675307</v>
          </cell>
          <cell r="AQ172">
            <v>36956.809879385648</v>
          </cell>
          <cell r="AR172">
            <v>55073.950110199381</v>
          </cell>
          <cell r="AS172">
            <v>75436.550829175976</v>
          </cell>
          <cell r="AT172">
            <v>30939.846403894149</v>
          </cell>
          <cell r="AU172">
            <v>78727.522813921867</v>
          </cell>
          <cell r="AV172">
            <v>117206.55949960192</v>
          </cell>
          <cell r="AW172">
            <v>156055.15678398893</v>
          </cell>
          <cell r="AX172">
            <v>79399.331535008256</v>
          </cell>
          <cell r="AY172">
            <v>239106.08050123975</v>
          </cell>
          <cell r="AZ172">
            <v>625427.10838665627</v>
          </cell>
          <cell r="BA172">
            <v>762079.38968265033</v>
          </cell>
          <cell r="BB172">
            <v>762079.38968265033</v>
          </cell>
        </row>
        <row r="173">
          <cell r="A173" t="str">
            <v>qtd</v>
          </cell>
          <cell r="B173">
            <v>5861.7504311486191</v>
          </cell>
          <cell r="C173">
            <v>12001.773644167244</v>
          </cell>
          <cell r="D173">
            <v>18263.662309877684</v>
          </cell>
          <cell r="E173">
            <v>24701.858000732973</v>
          </cell>
          <cell r="F173">
            <v>31939.568797817654</v>
          </cell>
          <cell r="G173">
            <v>43341.363369552564</v>
          </cell>
          <cell r="H173">
            <v>51336.63020297193</v>
          </cell>
          <cell r="I173">
            <v>59705.530736297529</v>
          </cell>
          <cell r="J173">
            <v>75275.362285543262</v>
          </cell>
          <cell r="K173">
            <v>85248.8524277057</v>
          </cell>
          <cell r="L173">
            <v>94046.143758395629</v>
          </cell>
          <cell r="M173">
            <v>102626.5151626609</v>
          </cell>
          <cell r="N173">
            <v>8192.8618410141153</v>
          </cell>
          <cell r="O173">
            <v>17778.042795317568</v>
          </cell>
          <cell r="P173">
            <v>25354.239912314013</v>
          </cell>
          <cell r="Q173">
            <v>33087.515302891465</v>
          </cell>
          <cell r="R173">
            <v>41538.759667687555</v>
          </cell>
          <cell r="S173">
            <v>53386.569514613569</v>
          </cell>
          <cell r="T173">
            <v>63830.119926671861</v>
          </cell>
          <cell r="U173">
            <v>75073.553732151631</v>
          </cell>
          <cell r="V173">
            <v>86304.377195091336</v>
          </cell>
          <cell r="W173">
            <v>96389.688600457433</v>
          </cell>
          <cell r="X173">
            <v>107805.87507671973</v>
          </cell>
          <cell r="Y173">
            <v>121295.0835951998</v>
          </cell>
          <cell r="Z173">
            <v>11132.887481984224</v>
          </cell>
          <cell r="AA173">
            <v>22580.740454624523</v>
          </cell>
          <cell r="AB173">
            <v>33745.786570074502</v>
          </cell>
          <cell r="AC173">
            <v>44527.195710498294</v>
          </cell>
          <cell r="AD173">
            <v>56391.553801501592</v>
          </cell>
          <cell r="AE173">
            <v>67489.412091969614</v>
          </cell>
          <cell r="AF173">
            <v>77793.929869407279</v>
          </cell>
          <cell r="AG173">
            <v>87809.326207727863</v>
          </cell>
          <cell r="AH173">
            <v>97838.566862868756</v>
          </cell>
          <cell r="AI173">
            <v>108020.60074093612</v>
          </cell>
          <cell r="AJ173">
            <v>117827.18063617359</v>
          </cell>
          <cell r="AK173">
            <v>131012.01006251544</v>
          </cell>
          <cell r="AL173">
            <v>20970.098235483503</v>
          </cell>
          <cell r="AM173">
            <v>40358.075925693222</v>
          </cell>
          <cell r="AN173">
            <v>59431.420131970182</v>
          </cell>
          <cell r="AO173">
            <v>79218.017548985517</v>
          </cell>
          <cell r="AP173">
            <v>98272.072818660818</v>
          </cell>
          <cell r="AQ173">
            <v>116174.82742837115</v>
          </cell>
          <cell r="AR173">
            <v>134291.96765918488</v>
          </cell>
          <cell r="AS173">
            <v>154654.56837816146</v>
          </cell>
          <cell r="AT173">
            <v>185594.41478205562</v>
          </cell>
          <cell r="AU173">
            <v>233382.09119208335</v>
          </cell>
          <cell r="AV173">
            <v>271861.12787776341</v>
          </cell>
          <cell r="AW173">
            <v>310709.72516215045</v>
          </cell>
          <cell r="AX173">
            <v>390109.05669715873</v>
          </cell>
          <cell r="AY173">
            <v>549815.8056633902</v>
          </cell>
          <cell r="AZ173">
            <v>936136.83354880684</v>
          </cell>
          <cell r="BA173">
            <v>1072789.1148448009</v>
          </cell>
          <cell r="BB173">
            <v>1072789.1148448009</v>
          </cell>
        </row>
        <row r="174">
          <cell r="A174" t="str">
            <v>ytd</v>
          </cell>
          <cell r="B174">
            <v>5861.7504311486191</v>
          </cell>
          <cell r="C174">
            <v>12001.773644167244</v>
          </cell>
          <cell r="D174">
            <v>18263.662309877684</v>
          </cell>
          <cell r="E174">
            <v>24701.858000732973</v>
          </cell>
          <cell r="F174">
            <v>31939.568797817654</v>
          </cell>
          <cell r="G174">
            <v>43341.363369552564</v>
          </cell>
          <cell r="H174">
            <v>51336.63020297193</v>
          </cell>
          <cell r="I174">
            <v>59705.530736297529</v>
          </cell>
          <cell r="J174">
            <v>75275.362285543262</v>
          </cell>
          <cell r="K174">
            <v>85248.8524277057</v>
          </cell>
          <cell r="L174">
            <v>94046.143758395629</v>
          </cell>
          <cell r="M174">
            <v>102626.5151626609</v>
          </cell>
          <cell r="N174">
            <v>110819.37700367502</v>
          </cell>
          <cell r="O174">
            <v>120404.55795797847</v>
          </cell>
          <cell r="P174">
            <v>127980.75507497492</v>
          </cell>
          <cell r="Q174">
            <v>135714.03046555238</v>
          </cell>
          <cell r="R174">
            <v>144165.27483034847</v>
          </cell>
          <cell r="S174">
            <v>156013.08467727448</v>
          </cell>
          <cell r="T174">
            <v>166456.63508933276</v>
          </cell>
          <cell r="U174">
            <v>177700.06889481255</v>
          </cell>
          <cell r="V174">
            <v>188930.89235775225</v>
          </cell>
          <cell r="W174">
            <v>199016.20376311833</v>
          </cell>
          <cell r="X174">
            <v>210432.39023938062</v>
          </cell>
          <cell r="Y174">
            <v>223921.59875786069</v>
          </cell>
          <cell r="Z174">
            <v>235054.4862398449</v>
          </cell>
          <cell r="AA174">
            <v>246502.33921248521</v>
          </cell>
          <cell r="AB174">
            <v>257667.38532793519</v>
          </cell>
          <cell r="AC174">
            <v>268448.79446835897</v>
          </cell>
          <cell r="AD174">
            <v>280313.15255936229</v>
          </cell>
          <cell r="AE174">
            <v>291411.01084983035</v>
          </cell>
          <cell r="AF174">
            <v>301715.52862726804</v>
          </cell>
          <cell r="AG174">
            <v>311730.92496558861</v>
          </cell>
          <cell r="AH174">
            <v>321760.1656207295</v>
          </cell>
          <cell r="AI174">
            <v>331942.19949879689</v>
          </cell>
          <cell r="AJ174">
            <v>341748.77939403435</v>
          </cell>
          <cell r="AK174">
            <v>354933.60882037622</v>
          </cell>
          <cell r="AL174">
            <v>375903.70705585973</v>
          </cell>
          <cell r="AM174">
            <v>395291.68474606943</v>
          </cell>
          <cell r="AN174">
            <v>414365.02895234642</v>
          </cell>
          <cell r="AO174">
            <v>434151.62636936177</v>
          </cell>
          <cell r="AP174">
            <v>453205.6816390371</v>
          </cell>
          <cell r="AQ174">
            <v>471108.43624874746</v>
          </cell>
          <cell r="AR174">
            <v>489225.57647956116</v>
          </cell>
          <cell r="AS174">
            <v>509588.17719853774</v>
          </cell>
          <cell r="AT174">
            <v>540528.02360243187</v>
          </cell>
          <cell r="AU174">
            <v>588315.70001245954</v>
          </cell>
          <cell r="AV174">
            <v>626794.73669813958</v>
          </cell>
          <cell r="AW174">
            <v>665643.33398252656</v>
          </cell>
          <cell r="AX174">
            <v>745042.66551753483</v>
          </cell>
          <cell r="AY174">
            <v>904749.4144837663</v>
          </cell>
          <cell r="AZ174">
            <v>1291070.4423691828</v>
          </cell>
          <cell r="BA174">
            <v>1427722.7236651769</v>
          </cell>
          <cell r="BB174">
            <v>1427722.7236651769</v>
          </cell>
        </row>
        <row r="175">
          <cell r="A175" t="str">
            <v>TELE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127848.24558424982</v>
          </cell>
          <cell r="C187">
            <v>133917.53962428245</v>
          </cell>
          <cell r="D187">
            <v>136575.4972611664</v>
          </cell>
          <cell r="E187">
            <v>140420.85780895929</v>
          </cell>
          <cell r="F187">
            <v>159972.01661281637</v>
          </cell>
          <cell r="G187">
            <v>252008.97380152057</v>
          </cell>
          <cell r="H187">
            <v>176715.95267592717</v>
          </cell>
          <cell r="I187">
            <v>184974.2180479813</v>
          </cell>
          <cell r="J187">
            <v>409508.26134544611</v>
          </cell>
          <cell r="K187">
            <v>262316.68562019488</v>
          </cell>
          <cell r="L187">
            <v>231381.01822011813</v>
          </cell>
          <cell r="M187">
            <v>225675.72194633511</v>
          </cell>
          <cell r="N187">
            <v>217053.82150366259</v>
          </cell>
          <cell r="O187">
            <v>253940.58832049862</v>
          </cell>
          <cell r="P187">
            <v>200716.49792468129</v>
          </cell>
          <cell r="Q187">
            <v>204877.97900633147</v>
          </cell>
          <cell r="R187">
            <v>242512.56020569114</v>
          </cell>
          <cell r="S187">
            <v>339978.65577959188</v>
          </cell>
          <cell r="T187">
            <v>299682.74951502541</v>
          </cell>
          <cell r="U187">
            <v>322635.79184009379</v>
          </cell>
          <cell r="V187">
            <v>329433.06033490924</v>
          </cell>
          <cell r="W187">
            <v>295831.82494711393</v>
          </cell>
          <cell r="X187">
            <v>334870.30231037701</v>
          </cell>
          <cell r="Y187">
            <v>395678.1315637778</v>
          </cell>
          <cell r="Z187">
            <v>300720.09574356343</v>
          </cell>
          <cell r="AA187">
            <v>309227.90224563098</v>
          </cell>
          <cell r="AB187">
            <v>301588.76053070452</v>
          </cell>
          <cell r="AC187">
            <v>291226.00890428788</v>
          </cell>
          <cell r="AD187">
            <v>310106.76825895417</v>
          </cell>
          <cell r="AE187">
            <v>290072.24349226063</v>
          </cell>
          <cell r="AF187">
            <v>269336.16483232012</v>
          </cell>
          <cell r="AG187">
            <v>261779.20183177126</v>
          </cell>
          <cell r="AH187">
            <v>324793.71037138288</v>
          </cell>
          <cell r="AI187">
            <v>329741.86940957047</v>
          </cell>
          <cell r="AJ187">
            <v>317582.91377672018</v>
          </cell>
          <cell r="AK187">
            <v>426986.43070253532</v>
          </cell>
          <cell r="AL187">
            <v>559664.54970907001</v>
          </cell>
          <cell r="AM187">
            <v>517439.81749213452</v>
          </cell>
          <cell r="AN187">
            <v>509042.66049595689</v>
          </cell>
          <cell r="AO187">
            <v>528078.45768363925</v>
          </cell>
          <cell r="AP187">
            <v>507150.16273967392</v>
          </cell>
          <cell r="AQ187">
            <v>476506.69557219994</v>
          </cell>
          <cell r="AR187">
            <v>482212.86683563009</v>
          </cell>
          <cell r="AS187">
            <v>541978.9185175359</v>
          </cell>
          <cell r="AT187">
            <v>764922.6975473694</v>
          </cell>
          <cell r="AU187">
            <v>1181449.8970647263</v>
          </cell>
          <cell r="AV187">
            <v>951313.33738392522</v>
          </cell>
          <cell r="AW187">
            <v>960449.94673808641</v>
          </cell>
          <cell r="AX187">
            <v>1982632.4997416844</v>
          </cell>
          <cell r="AY187">
            <v>3987940.2610452254</v>
          </cell>
          <cell r="AZ187">
            <v>9646587.8290364482</v>
          </cell>
          <cell r="BA187">
            <v>3412261.1465793415</v>
          </cell>
          <cell r="BB187">
            <v>0</v>
          </cell>
        </row>
        <row r="188">
          <cell r="A188" t="str">
            <v>ptd</v>
          </cell>
          <cell r="B188">
            <v>127848.24558424982</v>
          </cell>
          <cell r="C188">
            <v>261765.78520853227</v>
          </cell>
          <cell r="D188">
            <v>398341.28246969869</v>
          </cell>
          <cell r="E188">
            <v>538762.14027865801</v>
          </cell>
          <cell r="F188">
            <v>159972.01661281637</v>
          </cell>
          <cell r="G188">
            <v>411980.99041433691</v>
          </cell>
          <cell r="H188">
            <v>588696.94309026399</v>
          </cell>
          <cell r="I188">
            <v>773671.16113824525</v>
          </cell>
          <cell r="J188">
            <v>409508.26134544611</v>
          </cell>
          <cell r="K188">
            <v>671824.94696564099</v>
          </cell>
          <cell r="L188">
            <v>903205.96518575912</v>
          </cell>
          <cell r="M188">
            <v>1128881.6871320943</v>
          </cell>
          <cell r="N188">
            <v>217053.82150366259</v>
          </cell>
          <cell r="O188">
            <v>470994.40982416121</v>
          </cell>
          <cell r="P188">
            <v>671710.9077488425</v>
          </cell>
          <cell r="Q188">
            <v>876588.88675517403</v>
          </cell>
          <cell r="R188">
            <v>242512.56020569114</v>
          </cell>
          <cell r="S188">
            <v>582491.21598528302</v>
          </cell>
          <cell r="T188">
            <v>882173.96550030843</v>
          </cell>
          <cell r="U188">
            <v>1204809.7573404023</v>
          </cell>
          <cell r="V188">
            <v>329433.06033490924</v>
          </cell>
          <cell r="W188">
            <v>625264.88528202311</v>
          </cell>
          <cell r="X188">
            <v>960135.18759240012</v>
          </cell>
          <cell r="Y188">
            <v>1355813.319156178</v>
          </cell>
          <cell r="Z188">
            <v>300720.09574356343</v>
          </cell>
          <cell r="AA188">
            <v>609947.99798919435</v>
          </cell>
          <cell r="AB188">
            <v>911536.75851989887</v>
          </cell>
          <cell r="AC188">
            <v>1202762.7674241867</v>
          </cell>
          <cell r="AD188">
            <v>310106.76825895417</v>
          </cell>
          <cell r="AE188">
            <v>600179.01175121474</v>
          </cell>
          <cell r="AF188">
            <v>869515.17658353481</v>
          </cell>
          <cell r="AG188">
            <v>1131294.3784153061</v>
          </cell>
          <cell r="AH188">
            <v>324793.71037138288</v>
          </cell>
          <cell r="AI188">
            <v>654535.57978095324</v>
          </cell>
          <cell r="AJ188">
            <v>972118.49355767341</v>
          </cell>
          <cell r="AK188">
            <v>1399104.9242602088</v>
          </cell>
          <cell r="AL188">
            <v>559664.54970907001</v>
          </cell>
          <cell r="AM188">
            <v>1077104.3672012044</v>
          </cell>
          <cell r="AN188">
            <v>1586147.0276971613</v>
          </cell>
          <cell r="AO188">
            <v>2114225.4853808004</v>
          </cell>
          <cell r="AP188">
            <v>507150.16273967392</v>
          </cell>
          <cell r="AQ188">
            <v>983656.85831187386</v>
          </cell>
          <cell r="AR188">
            <v>1465869.7251475039</v>
          </cell>
          <cell r="AS188">
            <v>2007848.6436650399</v>
          </cell>
          <cell r="AT188">
            <v>764922.6975473694</v>
          </cell>
          <cell r="AU188">
            <v>1946372.5946120955</v>
          </cell>
          <cell r="AV188">
            <v>2897685.9319960205</v>
          </cell>
          <cell r="AW188">
            <v>3858135.8787341071</v>
          </cell>
          <cell r="AX188">
            <v>1982632.4997416844</v>
          </cell>
          <cell r="AY188">
            <v>5970572.7607869096</v>
          </cell>
          <cell r="AZ188">
            <v>15617160.589823358</v>
          </cell>
          <cell r="BA188">
            <v>19029421.736402698</v>
          </cell>
          <cell r="BB188">
            <v>19029421.736402698</v>
          </cell>
        </row>
        <row r="189">
          <cell r="A189" t="str">
            <v>qtd</v>
          </cell>
          <cell r="B189">
            <v>127848.24558424982</v>
          </cell>
          <cell r="C189">
            <v>261765.78520853227</v>
          </cell>
          <cell r="D189">
            <v>398341.28246969869</v>
          </cell>
          <cell r="E189">
            <v>538762.14027865801</v>
          </cell>
          <cell r="F189">
            <v>698734.15689147438</v>
          </cell>
          <cell r="G189">
            <v>950743.13069299492</v>
          </cell>
          <cell r="H189">
            <v>1127459.0833689221</v>
          </cell>
          <cell r="I189">
            <v>1312433.3014169035</v>
          </cell>
          <cell r="J189">
            <v>1721941.5627623494</v>
          </cell>
          <cell r="K189">
            <v>1984258.2483825441</v>
          </cell>
          <cell r="L189">
            <v>2215639.2666026624</v>
          </cell>
          <cell r="M189">
            <v>2441314.9885489973</v>
          </cell>
          <cell r="N189">
            <v>217053.82150366259</v>
          </cell>
          <cell r="O189">
            <v>470994.40982416121</v>
          </cell>
          <cell r="P189">
            <v>671710.9077488425</v>
          </cell>
          <cell r="Q189">
            <v>876588.88675517403</v>
          </cell>
          <cell r="R189">
            <v>1119101.4469608651</v>
          </cell>
          <cell r="S189">
            <v>1459080.1027404568</v>
          </cell>
          <cell r="T189">
            <v>1758762.8522554822</v>
          </cell>
          <cell r="U189">
            <v>2081398.6440955759</v>
          </cell>
          <cell r="V189">
            <v>2410831.7044304851</v>
          </cell>
          <cell r="W189">
            <v>2706663.5293775988</v>
          </cell>
          <cell r="X189">
            <v>3041533.8316879757</v>
          </cell>
          <cell r="Y189">
            <v>3437211.9632517537</v>
          </cell>
          <cell r="Z189">
            <v>300720.09574356343</v>
          </cell>
          <cell r="AA189">
            <v>609947.99798919435</v>
          </cell>
          <cell r="AB189">
            <v>911536.75851989887</v>
          </cell>
          <cell r="AC189">
            <v>1202762.7674241867</v>
          </cell>
          <cell r="AD189">
            <v>1512869.5356831409</v>
          </cell>
          <cell r="AE189">
            <v>1802941.7791754012</v>
          </cell>
          <cell r="AF189">
            <v>2072277.9440077215</v>
          </cell>
          <cell r="AG189">
            <v>2334057.1458394923</v>
          </cell>
          <cell r="AH189">
            <v>2658850.8562108753</v>
          </cell>
          <cell r="AI189">
            <v>2988592.7256204458</v>
          </cell>
          <cell r="AJ189">
            <v>3306175.6393971662</v>
          </cell>
          <cell r="AK189">
            <v>3733162.0700997012</v>
          </cell>
          <cell r="AL189">
            <v>559664.54970907001</v>
          </cell>
          <cell r="AM189">
            <v>1077104.3672012044</v>
          </cell>
          <cell r="AN189">
            <v>1586147.0276971613</v>
          </cell>
          <cell r="AO189">
            <v>2114225.4853808004</v>
          </cell>
          <cell r="AP189">
            <v>2621375.6481204745</v>
          </cell>
          <cell r="AQ189">
            <v>3097882.3436926748</v>
          </cell>
          <cell r="AR189">
            <v>3580095.2105283048</v>
          </cell>
          <cell r="AS189">
            <v>4122074.1290458413</v>
          </cell>
          <cell r="AT189">
            <v>4886996.8265932109</v>
          </cell>
          <cell r="AU189">
            <v>6068446.7236579377</v>
          </cell>
          <cell r="AV189">
            <v>7019760.0610418627</v>
          </cell>
          <cell r="AW189">
            <v>7980210.0077799493</v>
          </cell>
          <cell r="AX189">
            <v>9962842.5075216331</v>
          </cell>
          <cell r="AY189">
            <v>13950782.76856686</v>
          </cell>
          <cell r="AZ189">
            <v>23597370.597603306</v>
          </cell>
          <cell r="BA189">
            <v>27009631.744182646</v>
          </cell>
          <cell r="BB189">
            <v>27009631.744182646</v>
          </cell>
        </row>
        <row r="190">
          <cell r="A190" t="str">
            <v>ytd</v>
          </cell>
          <cell r="B190">
            <v>127848.24558424982</v>
          </cell>
          <cell r="C190">
            <v>261765.78520853227</v>
          </cell>
          <cell r="D190">
            <v>398341.28246969869</v>
          </cell>
          <cell r="E190">
            <v>538762.14027865801</v>
          </cell>
          <cell r="F190">
            <v>698734.15689147438</v>
          </cell>
          <cell r="G190">
            <v>950743.13069299492</v>
          </cell>
          <cell r="H190">
            <v>1127459.0833689221</v>
          </cell>
          <cell r="I190">
            <v>1312433.3014169035</v>
          </cell>
          <cell r="J190">
            <v>1721941.5627623494</v>
          </cell>
          <cell r="K190">
            <v>1984258.2483825441</v>
          </cell>
          <cell r="L190">
            <v>2215639.2666026624</v>
          </cell>
          <cell r="M190">
            <v>2441314.9885489973</v>
          </cell>
          <cell r="N190">
            <v>2658368.8100526598</v>
          </cell>
          <cell r="O190">
            <v>2912309.3983731586</v>
          </cell>
          <cell r="P190">
            <v>3113025.8962978399</v>
          </cell>
          <cell r="Q190">
            <v>3317903.8753041713</v>
          </cell>
          <cell r="R190">
            <v>3560416.4355098619</v>
          </cell>
          <cell r="S190">
            <v>3900395.0912894537</v>
          </cell>
          <cell r="T190">
            <v>4200077.8408044791</v>
          </cell>
          <cell r="U190">
            <v>4522713.6326445732</v>
          </cell>
          <cell r="V190">
            <v>4852146.6929794829</v>
          </cell>
          <cell r="W190">
            <v>5147978.5179265961</v>
          </cell>
          <cell r="X190">
            <v>5482848.8202369735</v>
          </cell>
          <cell r="Y190">
            <v>5878526.9518007515</v>
          </cell>
          <cell r="Z190">
            <v>6179247.0475443155</v>
          </cell>
          <cell r="AA190">
            <v>6488474.9497899469</v>
          </cell>
          <cell r="AB190">
            <v>6790063.7103206515</v>
          </cell>
          <cell r="AC190">
            <v>7081289.7192249391</v>
          </cell>
          <cell r="AD190">
            <v>7391396.4874838935</v>
          </cell>
          <cell r="AE190">
            <v>7681468.7309761541</v>
          </cell>
          <cell r="AF190">
            <v>7950804.8958084742</v>
          </cell>
          <cell r="AG190">
            <v>8212584.0976402452</v>
          </cell>
          <cell r="AH190">
            <v>8537377.8080116287</v>
          </cell>
          <cell r="AI190">
            <v>8867119.6774211992</v>
          </cell>
          <cell r="AJ190">
            <v>9184702.5911979191</v>
          </cell>
          <cell r="AK190">
            <v>9611689.0219004545</v>
          </cell>
          <cell r="AL190">
            <v>10171353.571609523</v>
          </cell>
          <cell r="AM190">
            <v>10688793.389101658</v>
          </cell>
          <cell r="AN190">
            <v>11197836.049597615</v>
          </cell>
          <cell r="AO190">
            <v>11725914.507281255</v>
          </cell>
          <cell r="AP190">
            <v>12233064.670020927</v>
          </cell>
          <cell r="AQ190">
            <v>12709571.365593128</v>
          </cell>
          <cell r="AR190">
            <v>13191784.232428757</v>
          </cell>
          <cell r="AS190">
            <v>13733763.150946293</v>
          </cell>
          <cell r="AT190">
            <v>14498685.848493662</v>
          </cell>
          <cell r="AU190">
            <v>15680135.745558389</v>
          </cell>
          <cell r="AV190">
            <v>16631449.082942313</v>
          </cell>
          <cell r="AW190">
            <v>17591899.029680401</v>
          </cell>
          <cell r="AX190">
            <v>19574531.529422086</v>
          </cell>
          <cell r="AY190">
            <v>23562471.790467311</v>
          </cell>
          <cell r="AZ190">
            <v>33209059.619503755</v>
          </cell>
          <cell r="BA190">
            <v>36621320.766083099</v>
          </cell>
          <cell r="BB190">
            <v>36621320.766083099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245663.28415295022</v>
          </cell>
          <cell r="C235">
            <v>201575.13619479589</v>
          </cell>
          <cell r="D235">
            <v>168893.80324668801</v>
          </cell>
          <cell r="E235">
            <v>173800.52342271665</v>
          </cell>
          <cell r="F235">
            <v>192145.36264153221</v>
          </cell>
          <cell r="G235">
            <v>238650.43544830754</v>
          </cell>
          <cell r="H235">
            <v>306519.26260681386</v>
          </cell>
          <cell r="I235">
            <v>241871.23735249715</v>
          </cell>
          <cell r="J235">
            <v>232108.53470000246</v>
          </cell>
          <cell r="K235">
            <v>258395.71463337771</v>
          </cell>
          <cell r="L235">
            <v>303304.8210339623</v>
          </cell>
          <cell r="M235">
            <v>327115.77823940461</v>
          </cell>
          <cell r="N235">
            <v>340396.98477318272</v>
          </cell>
          <cell r="O235">
            <v>308876.88983180589</v>
          </cell>
          <cell r="P235">
            <v>524100.3458738646</v>
          </cell>
          <cell r="Q235">
            <v>283252.95296037692</v>
          </cell>
          <cell r="R235">
            <v>399091.44418773998</v>
          </cell>
          <cell r="S235">
            <v>389360.55209859117</v>
          </cell>
          <cell r="T235">
            <v>939373.67069711583</v>
          </cell>
          <cell r="U235">
            <v>449776.41025148385</v>
          </cell>
          <cell r="V235">
            <v>426135.23029352655</v>
          </cell>
          <cell r="W235">
            <v>481473.83259401005</v>
          </cell>
          <cell r="X235">
            <v>789795.46059143345</v>
          </cell>
          <cell r="Y235">
            <v>526882.71772153443</v>
          </cell>
          <cell r="Z235">
            <v>930170.3073870294</v>
          </cell>
          <cell r="AA235">
            <v>701834.46745662356</v>
          </cell>
          <cell r="AB235">
            <v>918750.1374522713</v>
          </cell>
          <cell r="AC235">
            <v>579202.33446028107</v>
          </cell>
          <cell r="AD235">
            <v>712148.98126686492</v>
          </cell>
          <cell r="AE235">
            <v>709498.88526742544</v>
          </cell>
          <cell r="AF235">
            <v>918261.8871535206</v>
          </cell>
          <cell r="AG235">
            <v>769651.41186151141</v>
          </cell>
          <cell r="AH235">
            <v>807373.93468053336</v>
          </cell>
          <cell r="AI235">
            <v>882052.42464592797</v>
          </cell>
          <cell r="AJ235">
            <v>1110735.6058759477</v>
          </cell>
          <cell r="AK235">
            <v>940291.18988308858</v>
          </cell>
          <cell r="AL235">
            <v>866736.89657503937</v>
          </cell>
          <cell r="AM235">
            <v>754686.12654506753</v>
          </cell>
          <cell r="AN235">
            <v>1096863.061007862</v>
          </cell>
          <cell r="AO235">
            <v>724045.14399063587</v>
          </cell>
          <cell r="AP235">
            <v>728228.06823593227</v>
          </cell>
          <cell r="AQ235">
            <v>786735.46264590858</v>
          </cell>
          <cell r="AR235">
            <v>1021496.5960665179</v>
          </cell>
          <cell r="AS235">
            <v>867136.94290001201</v>
          </cell>
          <cell r="AT235">
            <v>997192.77680152864</v>
          </cell>
          <cell r="AU235">
            <v>1047164.738161277</v>
          </cell>
          <cell r="AV235">
            <v>1562193.2697582687</v>
          </cell>
          <cell r="AW235">
            <v>1541192.3531597767</v>
          </cell>
          <cell r="AX235">
            <v>2196046.8499920825</v>
          </cell>
          <cell r="AY235">
            <v>6354247.3541346937</v>
          </cell>
          <cell r="AZ235">
            <v>13879682.939608296</v>
          </cell>
          <cell r="BA235">
            <v>7926242.1954726391</v>
          </cell>
        </row>
        <row r="236">
          <cell r="A236" t="str">
            <v>ptd</v>
          </cell>
          <cell r="B236">
            <v>245663.28415295022</v>
          </cell>
          <cell r="C236">
            <v>447238.42034774611</v>
          </cell>
          <cell r="D236">
            <v>616132.22359443409</v>
          </cell>
          <cell r="E236">
            <v>789932.74701715074</v>
          </cell>
          <cell r="F236">
            <v>192145.36264153221</v>
          </cell>
          <cell r="G236">
            <v>430795.79808983975</v>
          </cell>
          <cell r="H236">
            <v>737315.06069665356</v>
          </cell>
          <cell r="I236">
            <v>979186.29804915073</v>
          </cell>
          <cell r="J236">
            <v>232108.53470000246</v>
          </cell>
          <cell r="K236">
            <v>490504.24933338014</v>
          </cell>
          <cell r="L236">
            <v>793809.07036734244</v>
          </cell>
          <cell r="M236">
            <v>1120924.8486067471</v>
          </cell>
          <cell r="N236">
            <v>340396.98477318272</v>
          </cell>
          <cell r="O236">
            <v>649273.87460498861</v>
          </cell>
          <cell r="P236">
            <v>1173374.2204788532</v>
          </cell>
          <cell r="Q236">
            <v>1456627.1734392301</v>
          </cell>
          <cell r="R236">
            <v>399091.44418773998</v>
          </cell>
          <cell r="S236">
            <v>788451.99628633121</v>
          </cell>
          <cell r="T236">
            <v>1727825.666983447</v>
          </cell>
          <cell r="U236">
            <v>2177602.0772349308</v>
          </cell>
          <cell r="V236">
            <v>426135.23029352655</v>
          </cell>
          <cell r="W236">
            <v>907609.06288753659</v>
          </cell>
          <cell r="X236">
            <v>1697404.5234789699</v>
          </cell>
          <cell r="Y236">
            <v>2224287.2412005044</v>
          </cell>
          <cell r="Z236">
            <v>930170.3073870294</v>
          </cell>
          <cell r="AA236">
            <v>1632004.774843653</v>
          </cell>
          <cell r="AB236">
            <v>2550754.9122959245</v>
          </cell>
          <cell r="AC236">
            <v>3129957.2467562053</v>
          </cell>
          <cell r="AD236">
            <v>712148.98126686492</v>
          </cell>
          <cell r="AE236">
            <v>1421647.8665342904</v>
          </cell>
          <cell r="AF236">
            <v>2339909.7536878111</v>
          </cell>
          <cell r="AG236">
            <v>3109561.1655493225</v>
          </cell>
          <cell r="AH236">
            <v>807373.93468053336</v>
          </cell>
          <cell r="AI236">
            <v>1689426.3593264613</v>
          </cell>
          <cell r="AJ236">
            <v>2800161.9652024088</v>
          </cell>
          <cell r="AK236">
            <v>3740453.1550854975</v>
          </cell>
          <cell r="AL236">
            <v>866736.89657503937</v>
          </cell>
          <cell r="AM236">
            <v>1621423.0231201069</v>
          </cell>
          <cell r="AN236">
            <v>2718286.0841279691</v>
          </cell>
          <cell r="AO236">
            <v>3442331.228118605</v>
          </cell>
          <cell r="AP236">
            <v>728228.06823593227</v>
          </cell>
          <cell r="AQ236">
            <v>1514963.5308818407</v>
          </cell>
          <cell r="AR236">
            <v>2536460.1269483585</v>
          </cell>
          <cell r="AS236">
            <v>3403597.0698483707</v>
          </cell>
          <cell r="AT236">
            <v>997192.77680152864</v>
          </cell>
          <cell r="AU236">
            <v>2044357.5149628057</v>
          </cell>
          <cell r="AV236">
            <v>3606550.7847210746</v>
          </cell>
          <cell r="AW236">
            <v>5147743.1378808515</v>
          </cell>
          <cell r="AX236">
            <v>2196046.8499920825</v>
          </cell>
          <cell r="AY236">
            <v>8550294.2041267753</v>
          </cell>
          <cell r="AZ236">
            <v>22429977.143735074</v>
          </cell>
          <cell r="BA236">
            <v>30356219.339207713</v>
          </cell>
          <cell r="BB236">
            <v>30356219.339207713</v>
          </cell>
        </row>
        <row r="237">
          <cell r="A237" t="str">
            <v>qtd</v>
          </cell>
          <cell r="B237">
            <v>245663.28415295022</v>
          </cell>
          <cell r="C237">
            <v>447238.42034774611</v>
          </cell>
          <cell r="D237">
            <v>616132.22359443409</v>
          </cell>
          <cell r="E237">
            <v>789932.74701715074</v>
          </cell>
          <cell r="F237">
            <v>982078.10965868295</v>
          </cell>
          <cell r="G237">
            <v>1220728.5451069905</v>
          </cell>
          <cell r="H237">
            <v>1527247.8077138043</v>
          </cell>
          <cell r="I237">
            <v>1769119.0450663015</v>
          </cell>
          <cell r="J237">
            <v>2001227.579766304</v>
          </cell>
          <cell r="K237">
            <v>2259623.2943996815</v>
          </cell>
          <cell r="L237">
            <v>2562928.1154336436</v>
          </cell>
          <cell r="M237">
            <v>2890043.8936730484</v>
          </cell>
          <cell r="N237">
            <v>340396.98477318272</v>
          </cell>
          <cell r="O237">
            <v>649273.87460498861</v>
          </cell>
          <cell r="P237">
            <v>1173374.2204788532</v>
          </cell>
          <cell r="Q237">
            <v>1456627.1734392301</v>
          </cell>
          <cell r="R237">
            <v>1855718.6176269702</v>
          </cell>
          <cell r="S237">
            <v>2245079.1697255615</v>
          </cell>
          <cell r="T237">
            <v>3184452.8404226773</v>
          </cell>
          <cell r="U237">
            <v>3634229.2506741611</v>
          </cell>
          <cell r="V237">
            <v>4060364.4809676874</v>
          </cell>
          <cell r="W237">
            <v>4541838.3135616975</v>
          </cell>
          <cell r="X237">
            <v>5331633.7741531311</v>
          </cell>
          <cell r="Y237">
            <v>5858516.491874665</v>
          </cell>
          <cell r="Z237">
            <v>930170.3073870294</v>
          </cell>
          <cell r="AA237">
            <v>1632004.774843653</v>
          </cell>
          <cell r="AB237">
            <v>2550754.9122959245</v>
          </cell>
          <cell r="AC237">
            <v>3129957.2467562053</v>
          </cell>
          <cell r="AD237">
            <v>3842106.2280230704</v>
          </cell>
          <cell r="AE237">
            <v>4551605.1132904962</v>
          </cell>
          <cell r="AF237">
            <v>5469867.0004440164</v>
          </cell>
          <cell r="AG237">
            <v>6239518.4123055283</v>
          </cell>
          <cell r="AH237">
            <v>7046892.3469860619</v>
          </cell>
          <cell r="AI237">
            <v>7928944.7716319896</v>
          </cell>
          <cell r="AJ237">
            <v>9039680.3775079381</v>
          </cell>
          <cell r="AK237">
            <v>9979971.5673910268</v>
          </cell>
          <cell r="AL237">
            <v>866736.89657503937</v>
          </cell>
          <cell r="AM237">
            <v>1621423.0231201069</v>
          </cell>
          <cell r="AN237">
            <v>2718286.0841279691</v>
          </cell>
          <cell r="AO237">
            <v>3442331.228118605</v>
          </cell>
          <cell r="AP237">
            <v>4170559.2963545374</v>
          </cell>
          <cell r="AQ237">
            <v>4957294.7590004457</v>
          </cell>
          <cell r="AR237">
            <v>5978791.3550669635</v>
          </cell>
          <cell r="AS237">
            <v>6845928.2979669757</v>
          </cell>
          <cell r="AT237">
            <v>7843121.0747685041</v>
          </cell>
          <cell r="AU237">
            <v>8890285.8129297812</v>
          </cell>
          <cell r="AV237">
            <v>10452479.08268805</v>
          </cell>
          <cell r="AW237">
            <v>11993671.435847826</v>
          </cell>
          <cell r="AX237">
            <v>14189718.285839908</v>
          </cell>
          <cell r="AY237">
            <v>20543965.639974602</v>
          </cell>
          <cell r="AZ237">
            <v>34423648.5795829</v>
          </cell>
          <cell r="BA237">
            <v>42349890.775055543</v>
          </cell>
          <cell r="BB237">
            <v>42349890.775055543</v>
          </cell>
        </row>
        <row r="238">
          <cell r="A238" t="str">
            <v>ytd</v>
          </cell>
          <cell r="B238">
            <v>245663.28415295022</v>
          </cell>
          <cell r="C238">
            <v>447238.42034774611</v>
          </cell>
          <cell r="D238">
            <v>616132.22359443409</v>
          </cell>
          <cell r="E238">
            <v>789932.74701715074</v>
          </cell>
          <cell r="F238">
            <v>982078.10965868295</v>
          </cell>
          <cell r="G238">
            <v>1220728.5451069905</v>
          </cell>
          <cell r="H238">
            <v>1527247.8077138043</v>
          </cell>
          <cell r="I238">
            <v>1769119.0450663015</v>
          </cell>
          <cell r="J238">
            <v>2001227.579766304</v>
          </cell>
          <cell r="K238">
            <v>2259623.2943996815</v>
          </cell>
          <cell r="L238">
            <v>2562928.1154336436</v>
          </cell>
          <cell r="M238">
            <v>2890043.8936730484</v>
          </cell>
          <cell r="N238">
            <v>3230440.8784462311</v>
          </cell>
          <cell r="O238">
            <v>3539317.7682780372</v>
          </cell>
          <cell r="P238">
            <v>4063418.1141519016</v>
          </cell>
          <cell r="Q238">
            <v>4346671.0671122782</v>
          </cell>
          <cell r="R238">
            <v>4745762.5113000181</v>
          </cell>
          <cell r="S238">
            <v>5135123.0633986089</v>
          </cell>
          <cell r="T238">
            <v>6074496.7340957243</v>
          </cell>
          <cell r="U238">
            <v>6524273.1443472086</v>
          </cell>
          <cell r="V238">
            <v>6950408.3746407349</v>
          </cell>
          <cell r="W238">
            <v>7431882.2072347449</v>
          </cell>
          <cell r="X238">
            <v>8221677.6678261785</v>
          </cell>
          <cell r="Y238">
            <v>8748560.3855477124</v>
          </cell>
          <cell r="Z238">
            <v>9678730.6929347422</v>
          </cell>
          <cell r="AA238">
            <v>10380565.160391366</v>
          </cell>
          <cell r="AB238">
            <v>11299315.297843637</v>
          </cell>
          <cell r="AC238">
            <v>11878517.632303918</v>
          </cell>
          <cell r="AD238">
            <v>12590666.613570783</v>
          </cell>
          <cell r="AE238">
            <v>13300165.498838209</v>
          </cell>
          <cell r="AF238">
            <v>14218427.38599173</v>
          </cell>
          <cell r="AG238">
            <v>14988078.797853241</v>
          </cell>
          <cell r="AH238">
            <v>15795452.732533773</v>
          </cell>
          <cell r="AI238">
            <v>16677505.157179702</v>
          </cell>
          <cell r="AJ238">
            <v>17788240.763055649</v>
          </cell>
          <cell r="AK238">
            <v>18728531.952938735</v>
          </cell>
          <cell r="AL238">
            <v>19595268.849513777</v>
          </cell>
          <cell r="AM238">
            <v>20349954.976058844</v>
          </cell>
          <cell r="AN238">
            <v>21446818.037066706</v>
          </cell>
          <cell r="AO238">
            <v>22170863.181057341</v>
          </cell>
          <cell r="AP238">
            <v>22899091.249293275</v>
          </cell>
          <cell r="AQ238">
            <v>23685826.711939182</v>
          </cell>
          <cell r="AR238">
            <v>24707323.308005702</v>
          </cell>
          <cell r="AS238">
            <v>25574460.250905715</v>
          </cell>
          <cell r="AT238">
            <v>26571653.027707245</v>
          </cell>
          <cell r="AU238">
            <v>27618817.765868522</v>
          </cell>
          <cell r="AV238">
            <v>29181011.035626791</v>
          </cell>
          <cell r="AW238">
            <v>30722203.388786569</v>
          </cell>
          <cell r="AX238">
            <v>32918250.238778651</v>
          </cell>
          <cell r="AY238">
            <v>39272497.592913345</v>
          </cell>
          <cell r="AZ238">
            <v>53152180.532521643</v>
          </cell>
          <cell r="BA238">
            <v>61078422.727994278</v>
          </cell>
          <cell r="BB238">
            <v>61078422.727994278</v>
          </cell>
        </row>
        <row r="239">
          <cell r="A239" t="str">
            <v>PRED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154720.79713068012</v>
          </cell>
          <cell r="C243">
            <v>194076.84950012006</v>
          </cell>
          <cell r="D243">
            <v>159404.85582144535</v>
          </cell>
          <cell r="E243">
            <v>149502.11481078033</v>
          </cell>
          <cell r="F243">
            <v>157153.92663946532</v>
          </cell>
          <cell r="G243">
            <v>185682.57531584427</v>
          </cell>
          <cell r="H243">
            <v>188768.6739429161</v>
          </cell>
          <cell r="I243">
            <v>211296.47624476557</v>
          </cell>
          <cell r="J243">
            <v>238149.14702353126</v>
          </cell>
          <cell r="K243">
            <v>210731.20380673878</v>
          </cell>
          <cell r="L243">
            <v>219586.36288588771</v>
          </cell>
          <cell r="M243">
            <v>215193.77207656688</v>
          </cell>
          <cell r="N243">
            <v>204712.36010071111</v>
          </cell>
          <cell r="O243">
            <v>248840.97217742488</v>
          </cell>
          <cell r="P243">
            <v>381060.71057272906</v>
          </cell>
          <cell r="Q243">
            <v>236084.7732420814</v>
          </cell>
          <cell r="R243">
            <v>233549.93045153303</v>
          </cell>
          <cell r="S243">
            <v>262326.9108381492</v>
          </cell>
          <cell r="T243">
            <v>526431.45383458154</v>
          </cell>
          <cell r="U243">
            <v>269050.53767320147</v>
          </cell>
          <cell r="V243">
            <v>276884.43476350082</v>
          </cell>
          <cell r="W243">
            <v>317415.85557531728</v>
          </cell>
          <cell r="X243">
            <v>517760.7666833176</v>
          </cell>
          <cell r="Y243">
            <v>297742.64924462658</v>
          </cell>
          <cell r="Z243">
            <v>292101.68369073502</v>
          </cell>
          <cell r="AA243">
            <v>315823.33229754213</v>
          </cell>
          <cell r="AB243">
            <v>434700.49109763309</v>
          </cell>
          <cell r="AC243">
            <v>278535.47674899263</v>
          </cell>
          <cell r="AD243">
            <v>300999.86572017084</v>
          </cell>
          <cell r="AE243">
            <v>305456.05871833168</v>
          </cell>
          <cell r="AF243">
            <v>455345.24640894803</v>
          </cell>
          <cell r="AG243">
            <v>326443.78699144215</v>
          </cell>
          <cell r="AH243">
            <v>323558.26213760918</v>
          </cell>
          <cell r="AI243">
            <v>306701.82005658146</v>
          </cell>
          <cell r="AJ243">
            <v>438827.54680469196</v>
          </cell>
          <cell r="AK243">
            <v>459931.74923913722</v>
          </cell>
          <cell r="AL243">
            <v>395232.35020936327</v>
          </cell>
          <cell r="AM243">
            <v>397157.11748269503</v>
          </cell>
          <cell r="AN243">
            <v>539646.52210908139</v>
          </cell>
          <cell r="AO243">
            <v>410264.89457456023</v>
          </cell>
          <cell r="AP243">
            <v>393455.42454822944</v>
          </cell>
          <cell r="AQ243">
            <v>451111.32652237179</v>
          </cell>
          <cell r="AR243">
            <v>543155.62064246926</v>
          </cell>
          <cell r="AS243">
            <v>438575.82569392247</v>
          </cell>
          <cell r="AT243">
            <v>458353.46208171669</v>
          </cell>
          <cell r="AU243">
            <v>535624.63778714545</v>
          </cell>
          <cell r="AV243">
            <v>806870.74540192913</v>
          </cell>
          <cell r="AW243">
            <v>767904.30411063822</v>
          </cell>
          <cell r="AX243">
            <v>1188927.9411876951</v>
          </cell>
          <cell r="AY243">
            <v>3343911.383085629</v>
          </cell>
          <cell r="AZ243">
            <v>6470094.3485014029</v>
          </cell>
          <cell r="BA243">
            <v>2647671.2139579616</v>
          </cell>
        </row>
        <row r="244">
          <cell r="A244" t="str">
            <v>ptd</v>
          </cell>
          <cell r="B244">
            <v>154720.79713068012</v>
          </cell>
          <cell r="C244">
            <v>348797.64663080021</v>
          </cell>
          <cell r="D244">
            <v>508202.50245224556</v>
          </cell>
          <cell r="E244">
            <v>657704.61726302584</v>
          </cell>
          <cell r="F244">
            <v>157153.92663946532</v>
          </cell>
          <cell r="G244">
            <v>342836.50195530959</v>
          </cell>
          <cell r="H244">
            <v>531605.17589822575</v>
          </cell>
          <cell r="I244">
            <v>742901.65214299131</v>
          </cell>
          <cell r="J244">
            <v>238149.14702353126</v>
          </cell>
          <cell r="K244">
            <v>448880.35083027004</v>
          </cell>
          <cell r="L244">
            <v>668466.71371615771</v>
          </cell>
          <cell r="M244">
            <v>883660.48579272465</v>
          </cell>
          <cell r="N244">
            <v>204712.36010071111</v>
          </cell>
          <cell r="O244">
            <v>453553.33227813599</v>
          </cell>
          <cell r="P244">
            <v>834614.04285086505</v>
          </cell>
          <cell r="Q244">
            <v>1070698.8160929466</v>
          </cell>
          <cell r="R244">
            <v>233549.93045153303</v>
          </cell>
          <cell r="S244">
            <v>495876.8412896822</v>
          </cell>
          <cell r="T244">
            <v>1022308.2951242637</v>
          </cell>
          <cell r="U244">
            <v>1291358.8327974651</v>
          </cell>
          <cell r="V244">
            <v>276884.43476350082</v>
          </cell>
          <cell r="W244">
            <v>594300.2903388181</v>
          </cell>
          <cell r="X244">
            <v>1112061.0570221357</v>
          </cell>
          <cell r="Y244">
            <v>1409803.7062667622</v>
          </cell>
          <cell r="Z244">
            <v>292101.68369073502</v>
          </cell>
          <cell r="AA244">
            <v>607925.01598827715</v>
          </cell>
          <cell r="AB244">
            <v>1042625.5070859103</v>
          </cell>
          <cell r="AC244">
            <v>1321160.983834903</v>
          </cell>
          <cell r="AD244">
            <v>300999.86572017084</v>
          </cell>
          <cell r="AE244">
            <v>606455.92443850252</v>
          </cell>
          <cell r="AF244">
            <v>1061801.1708474506</v>
          </cell>
          <cell r="AG244">
            <v>1388244.9578388927</v>
          </cell>
          <cell r="AH244">
            <v>323558.26213760918</v>
          </cell>
          <cell r="AI244">
            <v>630260.08219419071</v>
          </cell>
          <cell r="AJ244">
            <v>1069087.6289988826</v>
          </cell>
          <cell r="AK244">
            <v>1529019.3782380198</v>
          </cell>
          <cell r="AL244">
            <v>395232.35020936327</v>
          </cell>
          <cell r="AM244">
            <v>792389.4676920583</v>
          </cell>
          <cell r="AN244">
            <v>1332035.9898011396</v>
          </cell>
          <cell r="AO244">
            <v>1742300.8843756998</v>
          </cell>
          <cell r="AP244">
            <v>393455.42454822944</v>
          </cell>
          <cell r="AQ244">
            <v>844566.75107060117</v>
          </cell>
          <cell r="AR244">
            <v>1387722.3717130704</v>
          </cell>
          <cell r="AS244">
            <v>1826298.1974069928</v>
          </cell>
          <cell r="AT244">
            <v>458353.46208171669</v>
          </cell>
          <cell r="AU244">
            <v>993978.09986886219</v>
          </cell>
          <cell r="AV244">
            <v>1800848.8452707913</v>
          </cell>
          <cell r="AW244">
            <v>2568753.1493814294</v>
          </cell>
          <cell r="AX244">
            <v>1188927.9411876951</v>
          </cell>
          <cell r="AY244">
            <v>4532839.3242733236</v>
          </cell>
          <cell r="AZ244">
            <v>11002933.672774727</v>
          </cell>
          <cell r="BA244">
            <v>13650604.886732688</v>
          </cell>
          <cell r="BB244">
            <v>13650604.886732688</v>
          </cell>
        </row>
        <row r="245">
          <cell r="A245" t="str">
            <v>qtd</v>
          </cell>
          <cell r="B245">
            <v>154720.79713068012</v>
          </cell>
          <cell r="C245">
            <v>348797.64663080021</v>
          </cell>
          <cell r="D245">
            <v>508202.50245224556</v>
          </cell>
          <cell r="E245">
            <v>657704.61726302584</v>
          </cell>
          <cell r="F245">
            <v>814858.54390249122</v>
          </cell>
          <cell r="G245">
            <v>1000541.1192183355</v>
          </cell>
          <cell r="H245">
            <v>1189309.7931612516</v>
          </cell>
          <cell r="I245">
            <v>1400606.2694060171</v>
          </cell>
          <cell r="J245">
            <v>1638755.4164295485</v>
          </cell>
          <cell r="K245">
            <v>1849486.6202362874</v>
          </cell>
          <cell r="L245">
            <v>2069072.9831221751</v>
          </cell>
          <cell r="M245">
            <v>2284266.7551987418</v>
          </cell>
          <cell r="N245">
            <v>204712.36010071111</v>
          </cell>
          <cell r="O245">
            <v>453553.33227813599</v>
          </cell>
          <cell r="P245">
            <v>834614.04285086505</v>
          </cell>
          <cell r="Q245">
            <v>1070698.8160929466</v>
          </cell>
          <cell r="R245">
            <v>1304248.7465444796</v>
          </cell>
          <cell r="S245">
            <v>1566575.6573826289</v>
          </cell>
          <cell r="T245">
            <v>2093007.1112172105</v>
          </cell>
          <cell r="U245">
            <v>2362057.6488904119</v>
          </cell>
          <cell r="V245">
            <v>2638942.0836539129</v>
          </cell>
          <cell r="W245">
            <v>2956357.9392292304</v>
          </cell>
          <cell r="X245">
            <v>3474118.7059125481</v>
          </cell>
          <cell r="Y245">
            <v>3771861.3551571746</v>
          </cell>
          <cell r="Z245">
            <v>292101.68369073502</v>
          </cell>
          <cell r="AA245">
            <v>607925.01598827715</v>
          </cell>
          <cell r="AB245">
            <v>1042625.5070859103</v>
          </cell>
          <cell r="AC245">
            <v>1321160.983834903</v>
          </cell>
          <cell r="AD245">
            <v>1622160.8495550738</v>
          </cell>
          <cell r="AE245">
            <v>1927616.9082734054</v>
          </cell>
          <cell r="AF245">
            <v>2382962.1546823536</v>
          </cell>
          <cell r="AG245">
            <v>2709405.9416737957</v>
          </cell>
          <cell r="AH245">
            <v>3032964.2038114048</v>
          </cell>
          <cell r="AI245">
            <v>3339666.0238679862</v>
          </cell>
          <cell r="AJ245">
            <v>3778493.5706726783</v>
          </cell>
          <cell r="AK245">
            <v>4238425.3199118152</v>
          </cell>
          <cell r="AL245">
            <v>395232.35020936327</v>
          </cell>
          <cell r="AM245">
            <v>792389.4676920583</v>
          </cell>
          <cell r="AN245">
            <v>1332035.9898011396</v>
          </cell>
          <cell r="AO245">
            <v>1742300.8843756998</v>
          </cell>
          <cell r="AP245">
            <v>2135756.308923929</v>
          </cell>
          <cell r="AQ245">
            <v>2586867.6354463007</v>
          </cell>
          <cell r="AR245">
            <v>3130023.25608877</v>
          </cell>
          <cell r="AS245">
            <v>3568599.0817826926</v>
          </cell>
          <cell r="AT245">
            <v>4026952.5438644094</v>
          </cell>
          <cell r="AU245">
            <v>4562577.181651555</v>
          </cell>
          <cell r="AV245">
            <v>5369447.9270534841</v>
          </cell>
          <cell r="AW245">
            <v>6137352.231164122</v>
          </cell>
          <cell r="AX245">
            <v>7326280.1723518167</v>
          </cell>
          <cell r="AY245">
            <v>10670191.555437446</v>
          </cell>
          <cell r="AZ245">
            <v>17140285.903938849</v>
          </cell>
          <cell r="BA245">
            <v>19787957.11789681</v>
          </cell>
          <cell r="BB245">
            <v>19787957.11789681</v>
          </cell>
        </row>
        <row r="246">
          <cell r="A246" t="str">
            <v>ytd</v>
          </cell>
          <cell r="B246">
            <v>154720.79713068012</v>
          </cell>
          <cell r="C246">
            <v>348797.64663080021</v>
          </cell>
          <cell r="D246">
            <v>508202.50245224556</v>
          </cell>
          <cell r="E246">
            <v>657704.61726302584</v>
          </cell>
          <cell r="F246">
            <v>814858.54390249122</v>
          </cell>
          <cell r="G246">
            <v>1000541.1192183355</v>
          </cell>
          <cell r="H246">
            <v>1189309.7931612516</v>
          </cell>
          <cell r="I246">
            <v>1400606.2694060171</v>
          </cell>
          <cell r="J246">
            <v>1638755.4164295485</v>
          </cell>
          <cell r="K246">
            <v>1849486.6202362874</v>
          </cell>
          <cell r="L246">
            <v>2069072.9831221751</v>
          </cell>
          <cell r="M246">
            <v>2284266.7551987418</v>
          </cell>
          <cell r="N246">
            <v>2488979.115299453</v>
          </cell>
          <cell r="O246">
            <v>2737820.087476878</v>
          </cell>
          <cell r="P246">
            <v>3118880.7980496068</v>
          </cell>
          <cell r="Q246">
            <v>3354965.5712916884</v>
          </cell>
          <cell r="R246">
            <v>3588515.5017432212</v>
          </cell>
          <cell r="S246">
            <v>3850842.4125813702</v>
          </cell>
          <cell r="T246">
            <v>4377273.8664159514</v>
          </cell>
          <cell r="U246">
            <v>4646324.4040891528</v>
          </cell>
          <cell r="V246">
            <v>4923208.8388526533</v>
          </cell>
          <cell r="W246">
            <v>5240624.6944279708</v>
          </cell>
          <cell r="X246">
            <v>5758385.4611112885</v>
          </cell>
          <cell r="Y246">
            <v>6056128.1103559155</v>
          </cell>
          <cell r="Z246">
            <v>6348229.7940466506</v>
          </cell>
          <cell r="AA246">
            <v>6664053.1263441928</v>
          </cell>
          <cell r="AB246">
            <v>7098753.6174418256</v>
          </cell>
          <cell r="AC246">
            <v>7377289.0941908183</v>
          </cell>
          <cell r="AD246">
            <v>7678288.9599109888</v>
          </cell>
          <cell r="AE246">
            <v>7983745.0186293209</v>
          </cell>
          <cell r="AF246">
            <v>8439090.2650382686</v>
          </cell>
          <cell r="AG246">
            <v>8765534.0520297103</v>
          </cell>
          <cell r="AH246">
            <v>9089092.3141673189</v>
          </cell>
          <cell r="AI246">
            <v>9395794.1342239007</v>
          </cell>
          <cell r="AJ246">
            <v>9834621.6810285933</v>
          </cell>
          <cell r="AK246">
            <v>10294553.430267731</v>
          </cell>
          <cell r="AL246">
            <v>10689785.780477094</v>
          </cell>
          <cell r="AM246">
            <v>11086942.897959789</v>
          </cell>
          <cell r="AN246">
            <v>11626589.420068871</v>
          </cell>
          <cell r="AO246">
            <v>12036854.314643431</v>
          </cell>
          <cell r="AP246">
            <v>12430309.739191661</v>
          </cell>
          <cell r="AQ246">
            <v>12881421.065714033</v>
          </cell>
          <cell r="AR246">
            <v>13424576.686356504</v>
          </cell>
          <cell r="AS246">
            <v>13863152.512050426</v>
          </cell>
          <cell r="AT246">
            <v>14321505.974132143</v>
          </cell>
          <cell r="AU246">
            <v>14857130.611919288</v>
          </cell>
          <cell r="AV246">
            <v>15664001.357321218</v>
          </cell>
          <cell r="AW246">
            <v>16431905.661431856</v>
          </cell>
          <cell r="AX246">
            <v>17620833.602619551</v>
          </cell>
          <cell r="AY246">
            <v>20964744.985705182</v>
          </cell>
          <cell r="AZ246">
            <v>27434839.334206585</v>
          </cell>
          <cell r="BA246">
            <v>30082510.548164546</v>
          </cell>
          <cell r="BB246">
            <v>30082510.548164546</v>
          </cell>
        </row>
        <row r="247">
          <cell r="A247" t="str">
            <v>SPRT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1543.1799429139271</v>
          </cell>
          <cell r="C251">
            <v>1433.9022166794803</v>
          </cell>
          <cell r="D251">
            <v>1434.9467462052555</v>
          </cell>
          <cell r="E251">
            <v>1383.4256396558824</v>
          </cell>
          <cell r="F251">
            <v>1550.9223592438057</v>
          </cell>
          <cell r="G251">
            <v>1537.8841203574043</v>
          </cell>
          <cell r="H251">
            <v>1510.0451459235105</v>
          </cell>
          <cell r="I251">
            <v>1440.1094134363184</v>
          </cell>
          <cell r="J251">
            <v>1115.606453769178</v>
          </cell>
          <cell r="K251">
            <v>1124.4604489607514</v>
          </cell>
          <cell r="L251">
            <v>1060.9088667654205</v>
          </cell>
          <cell r="M251">
            <v>1106.4917629721824</v>
          </cell>
          <cell r="N251">
            <v>1187.7713337169344</v>
          </cell>
          <cell r="O251">
            <v>1322.6031906416581</v>
          </cell>
          <cell r="P251">
            <v>1211.0094579418851</v>
          </cell>
          <cell r="Q251">
            <v>1197.4471865306909</v>
          </cell>
          <cell r="R251">
            <v>902.5343160458666</v>
          </cell>
          <cell r="S251">
            <v>1007.0924126382484</v>
          </cell>
          <cell r="T251">
            <v>998.11675212323166</v>
          </cell>
          <cell r="U251">
            <v>964.0097659459002</v>
          </cell>
          <cell r="V251">
            <v>898.95270102643963</v>
          </cell>
          <cell r="W251">
            <v>891.0407446599188</v>
          </cell>
          <cell r="X251">
            <v>986.50449172016988</v>
          </cell>
          <cell r="Y251">
            <v>924.80076389217299</v>
          </cell>
          <cell r="Z251">
            <v>621.97180743050001</v>
          </cell>
          <cell r="AA251">
            <v>638.714630218411</v>
          </cell>
          <cell r="AB251">
            <v>663.76946863034448</v>
          </cell>
          <cell r="AC251">
            <v>632.36227553892616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4765.2912284274498</v>
          </cell>
          <cell r="AM251">
            <v>4639.2951336171836</v>
          </cell>
          <cell r="AN251">
            <v>4448.14418016745</v>
          </cell>
          <cell r="AO251">
            <v>4977.5444282275575</v>
          </cell>
          <cell r="AP251">
            <v>4412.5939449272182</v>
          </cell>
          <cell r="AQ251">
            <v>4392.7689033429524</v>
          </cell>
          <cell r="AR251">
            <v>4358.8587109948612</v>
          </cell>
          <cell r="AS251">
            <v>4901.1040550353891</v>
          </cell>
          <cell r="AT251">
            <v>4649.3354283927856</v>
          </cell>
          <cell r="AU251">
            <v>4460.8592554117686</v>
          </cell>
          <cell r="AV251">
            <v>4670.1851265452433</v>
          </cell>
          <cell r="AW251">
            <v>4674.1296469892632</v>
          </cell>
          <cell r="AX251">
            <v>4891.2545998715532</v>
          </cell>
          <cell r="AY251">
            <v>4911.2698127264548</v>
          </cell>
          <cell r="AZ251">
            <v>8469.0895598498864</v>
          </cell>
          <cell r="BA251">
            <v>3381.0151944094746</v>
          </cell>
        </row>
        <row r="252">
          <cell r="A252" t="str">
            <v>ptd</v>
          </cell>
          <cell r="B252">
            <v>1543.1799429139271</v>
          </cell>
          <cell r="C252">
            <v>2977.0821595934076</v>
          </cell>
          <cell r="D252">
            <v>4412.0289057986629</v>
          </cell>
          <cell r="E252">
            <v>5795.454545454545</v>
          </cell>
          <cell r="F252">
            <v>1550.9223592438057</v>
          </cell>
          <cell r="G252">
            <v>3088.80647960121</v>
          </cell>
          <cell r="H252">
            <v>4598.8516255247205</v>
          </cell>
          <cell r="I252">
            <v>6038.9610389610389</v>
          </cell>
          <cell r="J252">
            <v>1115.606453769178</v>
          </cell>
          <cell r="K252">
            <v>2240.0669027299291</v>
          </cell>
          <cell r="L252">
            <v>3300.9757694953496</v>
          </cell>
          <cell r="M252">
            <v>4407.4675324675318</v>
          </cell>
          <cell r="N252">
            <v>1187.7713337169344</v>
          </cell>
          <cell r="O252">
            <v>2510.3745243585927</v>
          </cell>
          <cell r="P252">
            <v>3721.3839823004778</v>
          </cell>
          <cell r="Q252">
            <v>4918.8311688311687</v>
          </cell>
          <cell r="R252">
            <v>902.5343160458666</v>
          </cell>
          <cell r="S252">
            <v>1909.6267286841151</v>
          </cell>
          <cell r="T252">
            <v>2907.7434808073467</v>
          </cell>
          <cell r="U252">
            <v>3871.7532467532469</v>
          </cell>
          <cell r="V252">
            <v>898.95270102643963</v>
          </cell>
          <cell r="W252">
            <v>1789.9934456863584</v>
          </cell>
          <cell r="X252">
            <v>2776.4979374065283</v>
          </cell>
          <cell r="Y252">
            <v>3701.2987012987014</v>
          </cell>
          <cell r="Z252">
            <v>621.97180743050001</v>
          </cell>
          <cell r="AA252">
            <v>1260.6864376489111</v>
          </cell>
          <cell r="AB252">
            <v>1924.4559062792555</v>
          </cell>
          <cell r="AC252">
            <v>2556.8181818181815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4765.2912284274498</v>
          </cell>
          <cell r="AM252">
            <v>9404.5863620446326</v>
          </cell>
          <cell r="AN252">
            <v>13852.730542212083</v>
          </cell>
          <cell r="AO252">
            <v>18830.274970439641</v>
          </cell>
          <cell r="AP252">
            <v>4412.5939449272182</v>
          </cell>
          <cell r="AQ252">
            <v>8805.3628482701715</v>
          </cell>
          <cell r="AR252">
            <v>13164.221559265032</v>
          </cell>
          <cell r="AS252">
            <v>18065.325614300422</v>
          </cell>
          <cell r="AT252">
            <v>4649.3354283927856</v>
          </cell>
          <cell r="AU252">
            <v>9110.1946838045551</v>
          </cell>
          <cell r="AV252">
            <v>13780.379810349797</v>
          </cell>
          <cell r="AW252">
            <v>18454.50945733906</v>
          </cell>
          <cell r="AX252">
            <v>4891.2545998715532</v>
          </cell>
          <cell r="AY252">
            <v>9802.524412598008</v>
          </cell>
          <cell r="AZ252">
            <v>18271.613972447893</v>
          </cell>
          <cell r="BA252">
            <v>21652.629166857369</v>
          </cell>
          <cell r="BB252">
            <v>21652.629166857369</v>
          </cell>
        </row>
        <row r="253">
          <cell r="A253" t="str">
            <v>qtd</v>
          </cell>
          <cell r="B253">
            <v>1543.1799429139271</v>
          </cell>
          <cell r="C253">
            <v>2977.0821595934076</v>
          </cell>
          <cell r="D253">
            <v>4412.0289057986629</v>
          </cell>
          <cell r="E253">
            <v>5795.454545454545</v>
          </cell>
          <cell r="F253">
            <v>7346.3769046983507</v>
          </cell>
          <cell r="G253">
            <v>8884.2610250557555</v>
          </cell>
          <cell r="H253">
            <v>10394.306170979266</v>
          </cell>
          <cell r="I253">
            <v>11834.415584415583</v>
          </cell>
          <cell r="J253">
            <v>12950.022038184761</v>
          </cell>
          <cell r="K253">
            <v>14074.482487145513</v>
          </cell>
          <cell r="L253">
            <v>15135.391353910934</v>
          </cell>
          <cell r="M253">
            <v>16241.883116883117</v>
          </cell>
          <cell r="N253">
            <v>1187.7713337169344</v>
          </cell>
          <cell r="O253">
            <v>2510.3745243585927</v>
          </cell>
          <cell r="P253">
            <v>3721.3839823004778</v>
          </cell>
          <cell r="Q253">
            <v>4918.8311688311687</v>
          </cell>
          <cell r="R253">
            <v>5821.3654848770357</v>
          </cell>
          <cell r="S253">
            <v>6828.4578975152845</v>
          </cell>
          <cell r="T253">
            <v>7826.5746496385163</v>
          </cell>
          <cell r="U253">
            <v>8790.584415584417</v>
          </cell>
          <cell r="V253">
            <v>9689.5371166108562</v>
          </cell>
          <cell r="W253">
            <v>10580.577861270775</v>
          </cell>
          <cell r="X253">
            <v>11567.082352990945</v>
          </cell>
          <cell r="Y253">
            <v>12491.883116883118</v>
          </cell>
          <cell r="Z253">
            <v>621.97180743050001</v>
          </cell>
          <cell r="AA253">
            <v>1260.6864376489111</v>
          </cell>
          <cell r="AB253">
            <v>1924.4559062792555</v>
          </cell>
          <cell r="AC253">
            <v>2556.8181818181815</v>
          </cell>
          <cell r="AD253">
            <v>2556.8181818181815</v>
          </cell>
          <cell r="AE253">
            <v>2556.8181818181815</v>
          </cell>
          <cell r="AF253">
            <v>2556.8181818181815</v>
          </cell>
          <cell r="AG253">
            <v>2556.8181818181815</v>
          </cell>
          <cell r="AH253">
            <v>2556.8181818181815</v>
          </cell>
          <cell r="AI253">
            <v>2556.8181818181815</v>
          </cell>
          <cell r="AJ253">
            <v>2556.8181818181815</v>
          </cell>
          <cell r="AK253">
            <v>2556.8181818181815</v>
          </cell>
          <cell r="AL253">
            <v>4765.2912284274498</v>
          </cell>
          <cell r="AM253">
            <v>9404.5863620446326</v>
          </cell>
          <cell r="AN253">
            <v>13852.730542212083</v>
          </cell>
          <cell r="AO253">
            <v>18830.274970439641</v>
          </cell>
          <cell r="AP253">
            <v>23242.86891536686</v>
          </cell>
          <cell r="AQ253">
            <v>27635.637818709813</v>
          </cell>
          <cell r="AR253">
            <v>31994.496529704673</v>
          </cell>
          <cell r="AS253">
            <v>36895.600584740059</v>
          </cell>
          <cell r="AT253">
            <v>41544.936013132843</v>
          </cell>
          <cell r="AU253">
            <v>46005.795268544614</v>
          </cell>
          <cell r="AV253">
            <v>50675.980395089857</v>
          </cell>
          <cell r="AW253">
            <v>55350.110042079119</v>
          </cell>
          <cell r="AX253">
            <v>60241.364641950669</v>
          </cell>
          <cell r="AY253">
            <v>65152.634454677122</v>
          </cell>
          <cell r="AZ253">
            <v>73621.724014527004</v>
          </cell>
          <cell r="BA253">
            <v>77002.739208936473</v>
          </cell>
          <cell r="BB253">
            <v>77002.739208936473</v>
          </cell>
        </row>
        <row r="254">
          <cell r="A254" t="str">
            <v>ytd</v>
          </cell>
          <cell r="B254">
            <v>1543.1799429139271</v>
          </cell>
          <cell r="C254">
            <v>2977.0821595934076</v>
          </cell>
          <cell r="D254">
            <v>4412.0289057986629</v>
          </cell>
          <cell r="E254">
            <v>5795.454545454545</v>
          </cell>
          <cell r="F254">
            <v>7346.3769046983507</v>
          </cell>
          <cell r="G254">
            <v>8884.2610250557555</v>
          </cell>
          <cell r="H254">
            <v>10394.306170979266</v>
          </cell>
          <cell r="I254">
            <v>11834.415584415583</v>
          </cell>
          <cell r="J254">
            <v>12950.022038184761</v>
          </cell>
          <cell r="K254">
            <v>14074.482487145513</v>
          </cell>
          <cell r="L254">
            <v>15135.391353910934</v>
          </cell>
          <cell r="M254">
            <v>16241.883116883117</v>
          </cell>
          <cell r="N254">
            <v>17429.65445060005</v>
          </cell>
          <cell r="O254">
            <v>18752.257641241707</v>
          </cell>
          <cell r="P254">
            <v>19963.267099183591</v>
          </cell>
          <cell r="Q254">
            <v>21160.714285714283</v>
          </cell>
          <cell r="R254">
            <v>22063.248601760148</v>
          </cell>
          <cell r="S254">
            <v>23070.341014398397</v>
          </cell>
          <cell r="T254">
            <v>24068.457766521627</v>
          </cell>
          <cell r="U254">
            <v>25032.467532467526</v>
          </cell>
          <cell r="V254">
            <v>25931.420233493965</v>
          </cell>
          <cell r="W254">
            <v>26822.460978153886</v>
          </cell>
          <cell r="X254">
            <v>27808.965469874056</v>
          </cell>
          <cell r="Y254">
            <v>28733.76623376623</v>
          </cell>
          <cell r="Z254">
            <v>29355.738041196728</v>
          </cell>
          <cell r="AA254">
            <v>29994.45267141514</v>
          </cell>
          <cell r="AB254">
            <v>30658.222140045484</v>
          </cell>
          <cell r="AC254">
            <v>31290.58441558441</v>
          </cell>
          <cell r="AD254">
            <v>31290.58441558441</v>
          </cell>
          <cell r="AE254">
            <v>31290.58441558441</v>
          </cell>
          <cell r="AF254">
            <v>31290.58441558441</v>
          </cell>
          <cell r="AG254">
            <v>31290.58441558441</v>
          </cell>
          <cell r="AH254">
            <v>31290.58441558441</v>
          </cell>
          <cell r="AI254">
            <v>31290.58441558441</v>
          </cell>
          <cell r="AJ254">
            <v>31290.58441558441</v>
          </cell>
          <cell r="AK254">
            <v>31290.58441558441</v>
          </cell>
          <cell r="AL254">
            <v>36055.87564401186</v>
          </cell>
          <cell r="AM254">
            <v>40695.170777629042</v>
          </cell>
          <cell r="AN254">
            <v>45143.314957796494</v>
          </cell>
          <cell r="AO254">
            <v>50120.859386024051</v>
          </cell>
          <cell r="AP254">
            <v>54533.45333095127</v>
          </cell>
          <cell r="AQ254">
            <v>58926.222234294226</v>
          </cell>
          <cell r="AR254">
            <v>63285.08094528909</v>
          </cell>
          <cell r="AS254">
            <v>68186.185000324476</v>
          </cell>
          <cell r="AT254">
            <v>72835.520428717267</v>
          </cell>
          <cell r="AU254">
            <v>77296.379684129031</v>
          </cell>
          <cell r="AV254">
            <v>81966.564810674274</v>
          </cell>
          <cell r="AW254">
            <v>86640.694457663543</v>
          </cell>
          <cell r="AX254">
            <v>91531.949057535094</v>
          </cell>
          <cell r="AY254">
            <v>96443.218870261553</v>
          </cell>
          <cell r="AZ254">
            <v>104912.30843011144</v>
          </cell>
          <cell r="BA254">
            <v>108293.32362452091</v>
          </cell>
          <cell r="BB254">
            <v>108293.32362452091</v>
          </cell>
        </row>
        <row r="255">
          <cell r="A255" t="str">
            <v>TICK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401927.26122654427</v>
          </cell>
          <cell r="C263">
            <v>397085.8879115954</v>
          </cell>
          <cell r="D263">
            <v>329733.6058143386</v>
          </cell>
          <cell r="E263">
            <v>324686.06387315283</v>
          </cell>
          <cell r="F263">
            <v>350850.21164024132</v>
          </cell>
          <cell r="G263">
            <v>425870.89488450921</v>
          </cell>
          <cell r="H263">
            <v>496797.98169565346</v>
          </cell>
          <cell r="I263">
            <v>454607.82301069901</v>
          </cell>
          <cell r="J263">
            <v>471373.28817730292</v>
          </cell>
          <cell r="K263">
            <v>470251.37888907723</v>
          </cell>
          <cell r="L263">
            <v>523952.09278661542</v>
          </cell>
          <cell r="M263">
            <v>543416.04207894369</v>
          </cell>
          <cell r="N263">
            <v>546297.11620761082</v>
          </cell>
          <cell r="O263">
            <v>559040.46519987239</v>
          </cell>
          <cell r="P263">
            <v>906372.06590453559</v>
          </cell>
          <cell r="Q263">
            <v>520535.173388989</v>
          </cell>
          <cell r="R263">
            <v>633543.90895531885</v>
          </cell>
          <cell r="S263">
            <v>652694.55534937861</v>
          </cell>
          <cell r="T263">
            <v>1466803.2412838205</v>
          </cell>
          <cell r="U263">
            <v>719790.95769063127</v>
          </cell>
          <cell r="V263">
            <v>703918.61775805382</v>
          </cell>
          <cell r="W263">
            <v>799780.72891398729</v>
          </cell>
          <cell r="X263">
            <v>1308542.7317664712</v>
          </cell>
          <cell r="Y263">
            <v>825550.16773005319</v>
          </cell>
          <cell r="Z263">
            <v>1222893.9628851949</v>
          </cell>
          <cell r="AA263">
            <v>1018296.514384384</v>
          </cell>
          <cell r="AB263">
            <v>1354114.3980185348</v>
          </cell>
          <cell r="AC263">
            <v>858370.17348481261</v>
          </cell>
          <cell r="AD263">
            <v>1013148.8469870358</v>
          </cell>
          <cell r="AE263">
            <v>1014954.9439857572</v>
          </cell>
          <cell r="AF263">
            <v>1373607.1335624687</v>
          </cell>
          <cell r="AG263">
            <v>1096095.1988529535</v>
          </cell>
          <cell r="AH263">
            <v>1130932.1968181427</v>
          </cell>
          <cell r="AI263">
            <v>1188754.2447025094</v>
          </cell>
          <cell r="AJ263">
            <v>1549563.1526806396</v>
          </cell>
          <cell r="AK263">
            <v>1400222.9391222259</v>
          </cell>
          <cell r="AL263">
            <v>1266734.5380128301</v>
          </cell>
          <cell r="AM263">
            <v>1156482.5391613797</v>
          </cell>
          <cell r="AN263">
            <v>1640957.7272971109</v>
          </cell>
          <cell r="AO263">
            <v>1139287.5829934236</v>
          </cell>
          <cell r="AP263">
            <v>1126096.0867290888</v>
          </cell>
          <cell r="AQ263">
            <v>1242239.5580716233</v>
          </cell>
          <cell r="AR263">
            <v>1569011.075419982</v>
          </cell>
          <cell r="AS263">
            <v>1310613.8726489698</v>
          </cell>
          <cell r="AT263">
            <v>1460195.5743116383</v>
          </cell>
          <cell r="AU263">
            <v>1587250.2352038343</v>
          </cell>
          <cell r="AV263">
            <v>2373734.2002867432</v>
          </cell>
          <cell r="AW263">
            <v>2313770.7869174043</v>
          </cell>
          <cell r="AX263">
            <v>3389866.0457796492</v>
          </cell>
          <cell r="AY263">
            <v>9703070.0070330501</v>
          </cell>
          <cell r="AZ263">
            <v>20358246.37766955</v>
          </cell>
          <cell r="BA263">
            <v>10577294.424625009</v>
          </cell>
          <cell r="BB263">
            <v>0</v>
          </cell>
        </row>
        <row r="264">
          <cell r="A264" t="str">
            <v>ptd</v>
          </cell>
          <cell r="B264">
            <v>401927.26122654427</v>
          </cell>
          <cell r="C264">
            <v>799013.14913813979</v>
          </cell>
          <cell r="D264">
            <v>1128746.7549524782</v>
          </cell>
          <cell r="E264">
            <v>1453432.8188256312</v>
          </cell>
          <cell r="F264">
            <v>350850.21164024132</v>
          </cell>
          <cell r="G264">
            <v>776721.10652475059</v>
          </cell>
          <cell r="H264">
            <v>1273519.088220404</v>
          </cell>
          <cell r="I264">
            <v>1728126.9112311031</v>
          </cell>
          <cell r="J264">
            <v>471373.28817730292</v>
          </cell>
          <cell r="K264">
            <v>941624.66706638015</v>
          </cell>
          <cell r="L264">
            <v>1465576.7598529956</v>
          </cell>
          <cell r="M264">
            <v>2008992.8019319393</v>
          </cell>
          <cell r="N264">
            <v>546297.11620761082</v>
          </cell>
          <cell r="O264">
            <v>1105337.5814074832</v>
          </cell>
          <cell r="P264">
            <v>2011709.6473120188</v>
          </cell>
          <cell r="Q264">
            <v>2532244.8207010077</v>
          </cell>
          <cell r="R264">
            <v>633543.90895531885</v>
          </cell>
          <cell r="S264">
            <v>1286238.4643046975</v>
          </cell>
          <cell r="T264">
            <v>2753041.7055885182</v>
          </cell>
          <cell r="U264">
            <v>3472832.6632791492</v>
          </cell>
          <cell r="V264">
            <v>703918.61775805382</v>
          </cell>
          <cell r="W264">
            <v>1503699.3466720411</v>
          </cell>
          <cell r="X264">
            <v>2812242.078438512</v>
          </cell>
          <cell r="Y264">
            <v>3637792.246168565</v>
          </cell>
          <cell r="Z264">
            <v>1222893.9628851949</v>
          </cell>
          <cell r="AA264">
            <v>2241190.4772695792</v>
          </cell>
          <cell r="AB264">
            <v>3595304.875288114</v>
          </cell>
          <cell r="AC264">
            <v>4453675.0487729264</v>
          </cell>
          <cell r="AD264">
            <v>1013148.8469870358</v>
          </cell>
          <cell r="AE264">
            <v>2028103.790972793</v>
          </cell>
          <cell r="AF264">
            <v>3401710.9245352615</v>
          </cell>
          <cell r="AG264">
            <v>4497806.123388215</v>
          </cell>
          <cell r="AH264">
            <v>1130932.1968181427</v>
          </cell>
          <cell r="AI264">
            <v>2319686.4415206518</v>
          </cell>
          <cell r="AJ264">
            <v>3869249.5942012914</v>
          </cell>
          <cell r="AK264">
            <v>5269472.5333235171</v>
          </cell>
          <cell r="AL264">
            <v>1266734.5380128301</v>
          </cell>
          <cell r="AM264">
            <v>2423217.07717421</v>
          </cell>
          <cell r="AN264">
            <v>4064174.8044713205</v>
          </cell>
          <cell r="AO264">
            <v>5203462.387464745</v>
          </cell>
          <cell r="AP264">
            <v>1126096.0867290888</v>
          </cell>
          <cell r="AQ264">
            <v>2368335.6448007124</v>
          </cell>
          <cell r="AR264">
            <v>3937346.7202206939</v>
          </cell>
          <cell r="AS264">
            <v>5247960.5928696636</v>
          </cell>
          <cell r="AT264">
            <v>1460195.5743116383</v>
          </cell>
          <cell r="AU264">
            <v>3047445.8095154725</v>
          </cell>
          <cell r="AV264">
            <v>5421180.0098022157</v>
          </cell>
          <cell r="AW264">
            <v>7734950.79671962</v>
          </cell>
          <cell r="AX264">
            <v>3389866.0457796492</v>
          </cell>
          <cell r="AY264">
            <v>13092936.052812697</v>
          </cell>
          <cell r="AZ264">
            <v>33451182.430482246</v>
          </cell>
          <cell r="BA264">
            <v>44028476.855107263</v>
          </cell>
          <cell r="BB264">
            <v>44028476.855107263</v>
          </cell>
        </row>
        <row r="265">
          <cell r="A265" t="str">
            <v>qtd</v>
          </cell>
          <cell r="B265">
            <v>401927.26122654427</v>
          </cell>
          <cell r="C265">
            <v>799013.14913813979</v>
          </cell>
          <cell r="D265">
            <v>1128746.7549524782</v>
          </cell>
          <cell r="E265">
            <v>1453432.8188256312</v>
          </cell>
          <cell r="F265">
            <v>1804283.0304658725</v>
          </cell>
          <cell r="G265">
            <v>2230153.925350382</v>
          </cell>
          <cell r="H265">
            <v>2726951.9070460349</v>
          </cell>
          <cell r="I265">
            <v>3181559.7300567343</v>
          </cell>
          <cell r="J265">
            <v>3652933.0182340373</v>
          </cell>
          <cell r="K265">
            <v>4123184.3971231142</v>
          </cell>
          <cell r="L265">
            <v>4647136.4899097299</v>
          </cell>
          <cell r="M265">
            <v>5190552.5319886729</v>
          </cell>
          <cell r="N265">
            <v>546297.11620761082</v>
          </cell>
          <cell r="O265">
            <v>1105337.5814074832</v>
          </cell>
          <cell r="P265">
            <v>2011709.6473120188</v>
          </cell>
          <cell r="Q265">
            <v>2532244.8207010077</v>
          </cell>
          <cell r="R265">
            <v>3165788.7296563266</v>
          </cell>
          <cell r="S265">
            <v>3818483.2850057054</v>
          </cell>
          <cell r="T265">
            <v>5285286.5262895264</v>
          </cell>
          <cell r="U265">
            <v>6005077.4839801574</v>
          </cell>
          <cell r="V265">
            <v>6708996.1017382108</v>
          </cell>
          <cell r="W265">
            <v>7508776.8306521988</v>
          </cell>
          <cell r="X265">
            <v>8817319.5624186695</v>
          </cell>
          <cell r="Y265">
            <v>9642869.7301487233</v>
          </cell>
          <cell r="Z265">
            <v>1222893.9628851949</v>
          </cell>
          <cell r="AA265">
            <v>2241190.4772695792</v>
          </cell>
          <cell r="AB265">
            <v>3595304.875288114</v>
          </cell>
          <cell r="AC265">
            <v>4453675.0487729264</v>
          </cell>
          <cell r="AD265">
            <v>5466823.8957599625</v>
          </cell>
          <cell r="AE265">
            <v>6481778.8397457199</v>
          </cell>
          <cell r="AF265">
            <v>7855385.9733081888</v>
          </cell>
          <cell r="AG265">
            <v>8951481.1721611433</v>
          </cell>
          <cell r="AH265">
            <v>10082413.368979285</v>
          </cell>
          <cell r="AI265">
            <v>11271167.613681793</v>
          </cell>
          <cell r="AJ265">
            <v>12820730.766362434</v>
          </cell>
          <cell r="AK265">
            <v>14220953.70548466</v>
          </cell>
          <cell r="AL265">
            <v>1266734.5380128301</v>
          </cell>
          <cell r="AM265">
            <v>2423217.07717421</v>
          </cell>
          <cell r="AN265">
            <v>4064174.8044713205</v>
          </cell>
          <cell r="AO265">
            <v>5203462.387464745</v>
          </cell>
          <cell r="AP265">
            <v>6329558.4741938338</v>
          </cell>
          <cell r="AQ265">
            <v>7571798.0322654564</v>
          </cell>
          <cell r="AR265">
            <v>9140809.1076854393</v>
          </cell>
          <cell r="AS265">
            <v>10451422.980334409</v>
          </cell>
          <cell r="AT265">
            <v>11911618.554646047</v>
          </cell>
          <cell r="AU265">
            <v>13498868.789849881</v>
          </cell>
          <cell r="AV265">
            <v>15872602.990136623</v>
          </cell>
          <cell r="AW265">
            <v>18186373.777054027</v>
          </cell>
          <cell r="AX265">
            <v>21576239.822833676</v>
          </cell>
          <cell r="AY265">
            <v>31279309.829866722</v>
          </cell>
          <cell r="AZ265">
            <v>51637556.20753628</v>
          </cell>
          <cell r="BA265">
            <v>62214850.632161289</v>
          </cell>
          <cell r="BB265">
            <v>62214850.632161289</v>
          </cell>
        </row>
        <row r="266">
          <cell r="A266" t="str">
            <v>ytd</v>
          </cell>
          <cell r="B266">
            <v>401927.26122654427</v>
          </cell>
          <cell r="C266">
            <v>799013.14913813979</v>
          </cell>
          <cell r="D266">
            <v>1128746.7549524782</v>
          </cell>
          <cell r="E266">
            <v>1453432.8188256312</v>
          </cell>
          <cell r="F266">
            <v>1804283.0304658725</v>
          </cell>
          <cell r="G266">
            <v>2230153.925350382</v>
          </cell>
          <cell r="H266">
            <v>2726951.9070460349</v>
          </cell>
          <cell r="I266">
            <v>3181559.7300567343</v>
          </cell>
          <cell r="J266">
            <v>3652933.0182340373</v>
          </cell>
          <cell r="K266">
            <v>4123184.3971231142</v>
          </cell>
          <cell r="L266">
            <v>4647136.4899097299</v>
          </cell>
          <cell r="M266">
            <v>5190552.5319886729</v>
          </cell>
          <cell r="N266">
            <v>5736849.6481962837</v>
          </cell>
          <cell r="O266">
            <v>6295890.1133961566</v>
          </cell>
          <cell r="P266">
            <v>7202262.1793006919</v>
          </cell>
          <cell r="Q266">
            <v>7722797.3526896806</v>
          </cell>
          <cell r="R266">
            <v>8356341.2616449995</v>
          </cell>
          <cell r="S266">
            <v>9009035.8169943765</v>
          </cell>
          <cell r="T266">
            <v>10475839.058278197</v>
          </cell>
          <cell r="U266">
            <v>11195630.015968829</v>
          </cell>
          <cell r="V266">
            <v>11899548.633726882</v>
          </cell>
          <cell r="W266">
            <v>12699329.362640869</v>
          </cell>
          <cell r="X266">
            <v>14007872.094407342</v>
          </cell>
          <cell r="Y266">
            <v>14833422.262137394</v>
          </cell>
          <cell r="Z266">
            <v>16056316.22502259</v>
          </cell>
          <cell r="AA266">
            <v>17074612.739406973</v>
          </cell>
          <cell r="AB266">
            <v>18428727.137425508</v>
          </cell>
          <cell r="AC266">
            <v>19287097.310910322</v>
          </cell>
          <cell r="AD266">
            <v>20300246.157897357</v>
          </cell>
          <cell r="AE266">
            <v>21315201.101883113</v>
          </cell>
          <cell r="AF266">
            <v>22688808.235445581</v>
          </cell>
          <cell r="AG266">
            <v>23784903.434298538</v>
          </cell>
          <cell r="AH266">
            <v>24915835.631116677</v>
          </cell>
          <cell r="AI266">
            <v>26104589.875819188</v>
          </cell>
          <cell r="AJ266">
            <v>27654153.028499827</v>
          </cell>
          <cell r="AK266">
            <v>29054375.967622049</v>
          </cell>
          <cell r="AL266">
            <v>30321110.505634882</v>
          </cell>
          <cell r="AM266">
            <v>31477593.044796262</v>
          </cell>
          <cell r="AN266">
            <v>33118550.772093371</v>
          </cell>
          <cell r="AO266">
            <v>34257838.355086796</v>
          </cell>
          <cell r="AP266">
            <v>35383934.441815883</v>
          </cell>
          <cell r="AQ266">
            <v>36626173.999887511</v>
          </cell>
          <cell r="AR266">
            <v>38195185.075307496</v>
          </cell>
          <cell r="AS266">
            <v>39505798.947956465</v>
          </cell>
          <cell r="AT266">
            <v>40965994.522268102</v>
          </cell>
          <cell r="AU266">
            <v>42553244.757471941</v>
          </cell>
          <cell r="AV266">
            <v>44926978.95775868</v>
          </cell>
          <cell r="AW266">
            <v>47240749.744676091</v>
          </cell>
          <cell r="AX266">
            <v>50630615.790455736</v>
          </cell>
          <cell r="AY266">
            <v>60333685.797488786</v>
          </cell>
          <cell r="AZ266">
            <v>80691932.175158337</v>
          </cell>
          <cell r="BA266">
            <v>91269226.599783346</v>
          </cell>
          <cell r="BB266">
            <v>91269226.599783346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20705.464374905547</v>
          </cell>
          <cell r="C273">
            <v>21688.407480244521</v>
          </cell>
          <cell r="D273">
            <v>22118.872887955113</v>
          </cell>
          <cell r="E273">
            <v>22741.642292941</v>
          </cell>
          <cell r="F273">
            <v>26646.22791410267</v>
          </cell>
          <cell r="G273">
            <v>41976.645006402054</v>
          </cell>
          <cell r="H273">
            <v>29435.232803605737</v>
          </cell>
          <cell r="I273">
            <v>30810.79601733639</v>
          </cell>
          <cell r="J273">
            <v>56699.607239128709</v>
          </cell>
          <cell r="K273">
            <v>36319.78753754255</v>
          </cell>
          <cell r="L273">
            <v>32036.503519042551</v>
          </cell>
          <cell r="M273">
            <v>31246.560828158767</v>
          </cell>
          <cell r="N273">
            <v>30788.928517887645</v>
          </cell>
          <cell r="O273">
            <v>36021.289869149965</v>
          </cell>
          <cell r="P273">
            <v>28471.490914798185</v>
          </cell>
          <cell r="Q273">
            <v>29061.794014111776</v>
          </cell>
          <cell r="R273">
            <v>32943.165729276909</v>
          </cell>
          <cell r="S273">
            <v>46183.064465875243</v>
          </cell>
          <cell r="T273">
            <v>40709.22543189241</v>
          </cell>
          <cell r="U273">
            <v>43827.191267000082</v>
          </cell>
          <cell r="V273">
            <v>43841.106345508852</v>
          </cell>
          <cell r="W273">
            <v>39369.438163574705</v>
          </cell>
          <cell r="X273">
            <v>44564.697060509978</v>
          </cell>
          <cell r="Y273">
            <v>52657.031528179054</v>
          </cell>
          <cell r="Z273">
            <v>75402.392699984106</v>
          </cell>
          <cell r="AA273">
            <v>77535.63545949501</v>
          </cell>
          <cell r="AB273">
            <v>75620.201234670501</v>
          </cell>
          <cell r="AC273">
            <v>73021.850546947331</v>
          </cell>
          <cell r="AD273">
            <v>79614.640938896671</v>
          </cell>
          <cell r="AE273">
            <v>74471.117291744915</v>
          </cell>
          <cell r="AF273">
            <v>69147.481608910355</v>
          </cell>
          <cell r="AG273">
            <v>67207.359826805885</v>
          </cell>
          <cell r="AH273">
            <v>66920.091784273944</v>
          </cell>
          <cell r="AI273">
            <v>67939.604313072821</v>
          </cell>
          <cell r="AJ273">
            <v>65434.388229852324</v>
          </cell>
          <cell r="AK273">
            <v>87975.752672613336</v>
          </cell>
          <cell r="AL273">
            <v>156177.41610664219</v>
          </cell>
          <cell r="AM273">
            <v>144394.37646823039</v>
          </cell>
          <cell r="AN273">
            <v>142051.10444396766</v>
          </cell>
          <cell r="AO273">
            <v>147363.14648745203</v>
          </cell>
          <cell r="AP273">
            <v>132961.50849844323</v>
          </cell>
          <cell r="AQ273">
            <v>124927.59286643483</v>
          </cell>
          <cell r="AR273">
            <v>126423.60173062916</v>
          </cell>
          <cell r="AS273">
            <v>142092.69734068259</v>
          </cell>
          <cell r="AT273">
            <v>260388.22444032569</v>
          </cell>
          <cell r="AU273">
            <v>402178.73250236333</v>
          </cell>
          <cell r="AV273">
            <v>323837.67876421381</v>
          </cell>
          <cell r="AW273">
            <v>326947.88257273345</v>
          </cell>
          <cell r="AX273">
            <v>509599.71656515764</v>
          </cell>
          <cell r="AY273">
            <v>1025027.6977564971</v>
          </cell>
          <cell r="AZ273">
            <v>2479480.3999926159</v>
          </cell>
          <cell r="BA273">
            <v>877059.82493966504</v>
          </cell>
        </row>
        <row r="274">
          <cell r="A274" t="str">
            <v>ptd</v>
          </cell>
          <cell r="B274">
            <v>20705.464374905547</v>
          </cell>
          <cell r="C274">
            <v>42393.871855150064</v>
          </cell>
          <cell r="D274">
            <v>64512.744743105177</v>
          </cell>
          <cell r="E274">
            <v>87254.387036046173</v>
          </cell>
          <cell r="F274">
            <v>26646.22791410267</v>
          </cell>
          <cell r="G274">
            <v>68622.872920504728</v>
          </cell>
          <cell r="H274">
            <v>98058.105724110472</v>
          </cell>
          <cell r="I274">
            <v>128868.90174144687</v>
          </cell>
          <cell r="J274">
            <v>56699.607239128709</v>
          </cell>
          <cell r="K274">
            <v>93019.394776671252</v>
          </cell>
          <cell r="L274">
            <v>125055.89829571381</v>
          </cell>
          <cell r="M274">
            <v>156302.45912387257</v>
          </cell>
          <cell r="N274">
            <v>30788.928517887645</v>
          </cell>
          <cell r="O274">
            <v>66810.218387037603</v>
          </cell>
          <cell r="P274">
            <v>95281.709301835785</v>
          </cell>
          <cell r="Q274">
            <v>124343.50331594756</v>
          </cell>
          <cell r="R274">
            <v>32943.165729276909</v>
          </cell>
          <cell r="S274">
            <v>79126.230195152151</v>
          </cell>
          <cell r="T274">
            <v>119835.45562704456</v>
          </cell>
          <cell r="U274">
            <v>163662.64689404465</v>
          </cell>
          <cell r="V274">
            <v>43841.106345508852</v>
          </cell>
          <cell r="W274">
            <v>83210.544509083556</v>
          </cell>
          <cell r="X274">
            <v>127775.24156959353</v>
          </cell>
          <cell r="Y274">
            <v>180432.27309777259</v>
          </cell>
          <cell r="Z274">
            <v>75402.392699984106</v>
          </cell>
          <cell r="AA274">
            <v>152938.02815947912</v>
          </cell>
          <cell r="AB274">
            <v>228558.22939414962</v>
          </cell>
          <cell r="AC274">
            <v>301580.07994109695</v>
          </cell>
          <cell r="AD274">
            <v>79614.640938896671</v>
          </cell>
          <cell r="AE274">
            <v>154085.7582306416</v>
          </cell>
          <cell r="AF274">
            <v>223233.23983955197</v>
          </cell>
          <cell r="AG274">
            <v>290440.59966635786</v>
          </cell>
          <cell r="AH274">
            <v>66920.091784273944</v>
          </cell>
          <cell r="AI274">
            <v>134859.69609734678</v>
          </cell>
          <cell r="AJ274">
            <v>200294.08432719909</v>
          </cell>
          <cell r="AK274">
            <v>288269.8369998124</v>
          </cell>
          <cell r="AL274">
            <v>156177.41610664219</v>
          </cell>
          <cell r="AM274">
            <v>300571.79257487261</v>
          </cell>
          <cell r="AN274">
            <v>442622.8970188403</v>
          </cell>
          <cell r="AO274">
            <v>589986.04350629239</v>
          </cell>
          <cell r="AP274">
            <v>132961.50849844323</v>
          </cell>
          <cell r="AQ274">
            <v>257889.10136487806</v>
          </cell>
          <cell r="AR274">
            <v>384312.70309550723</v>
          </cell>
          <cell r="AS274">
            <v>526405.40043618984</v>
          </cell>
          <cell r="AT274">
            <v>260388.22444032569</v>
          </cell>
          <cell r="AU274">
            <v>662566.95694268902</v>
          </cell>
          <cell r="AV274">
            <v>986404.63570690283</v>
          </cell>
          <cell r="AW274">
            <v>1313352.5182796363</v>
          </cell>
          <cell r="AX274">
            <v>509599.71656515764</v>
          </cell>
          <cell r="AY274">
            <v>1534627.4143216547</v>
          </cell>
          <cell r="AZ274">
            <v>4014107.8143142704</v>
          </cell>
          <cell r="BA274">
            <v>4891167.6392539358</v>
          </cell>
          <cell r="BB274">
            <v>4891167.6392539358</v>
          </cell>
        </row>
        <row r="275">
          <cell r="A275" t="str">
            <v>qtd</v>
          </cell>
          <cell r="B275">
            <v>20705.464374905547</v>
          </cell>
          <cell r="C275">
            <v>42393.871855150064</v>
          </cell>
          <cell r="D275">
            <v>64512.744743105177</v>
          </cell>
          <cell r="E275">
            <v>87254.387036046173</v>
          </cell>
          <cell r="F275">
            <v>113900.61495014884</v>
          </cell>
          <cell r="G275">
            <v>155877.2599565509</v>
          </cell>
          <cell r="H275">
            <v>185312.49276015663</v>
          </cell>
          <cell r="I275">
            <v>216123.28877749303</v>
          </cell>
          <cell r="J275">
            <v>272822.89601662173</v>
          </cell>
          <cell r="K275">
            <v>309142.68355416425</v>
          </cell>
          <cell r="L275">
            <v>341179.18707320682</v>
          </cell>
          <cell r="M275">
            <v>372425.74790136557</v>
          </cell>
          <cell r="N275">
            <v>30788.928517887645</v>
          </cell>
          <cell r="O275">
            <v>66810.218387037603</v>
          </cell>
          <cell r="P275">
            <v>95281.709301835785</v>
          </cell>
          <cell r="Q275">
            <v>124343.50331594756</v>
          </cell>
          <cell r="R275">
            <v>157286.66904522447</v>
          </cell>
          <cell r="S275">
            <v>203469.73351109971</v>
          </cell>
          <cell r="T275">
            <v>244178.95894299212</v>
          </cell>
          <cell r="U275">
            <v>288006.15020999219</v>
          </cell>
          <cell r="V275">
            <v>331847.25655550102</v>
          </cell>
          <cell r="W275">
            <v>371216.69471907575</v>
          </cell>
          <cell r="X275">
            <v>415781.39177958574</v>
          </cell>
          <cell r="Y275">
            <v>468438.42330776481</v>
          </cell>
          <cell r="Z275">
            <v>75402.392699984106</v>
          </cell>
          <cell r="AA275">
            <v>152938.02815947912</v>
          </cell>
          <cell r="AB275">
            <v>228558.22939414962</v>
          </cell>
          <cell r="AC275">
            <v>301580.07994109695</v>
          </cell>
          <cell r="AD275">
            <v>381194.72087999363</v>
          </cell>
          <cell r="AE275">
            <v>455665.83817173855</v>
          </cell>
          <cell r="AF275">
            <v>524813.31978064892</v>
          </cell>
          <cell r="AG275">
            <v>592020.6796074548</v>
          </cell>
          <cell r="AH275">
            <v>658940.77139172878</v>
          </cell>
          <cell r="AI275">
            <v>726880.37570480164</v>
          </cell>
          <cell r="AJ275">
            <v>792314.76393465395</v>
          </cell>
          <cell r="AK275">
            <v>880290.51660726732</v>
          </cell>
          <cell r="AL275">
            <v>156177.41610664219</v>
          </cell>
          <cell r="AM275">
            <v>300571.79257487261</v>
          </cell>
          <cell r="AN275">
            <v>442622.8970188403</v>
          </cell>
          <cell r="AO275">
            <v>589986.04350629239</v>
          </cell>
          <cell r="AP275">
            <v>722947.55200473568</v>
          </cell>
          <cell r="AQ275">
            <v>847875.14487117052</v>
          </cell>
          <cell r="AR275">
            <v>974298.74660179974</v>
          </cell>
          <cell r="AS275">
            <v>1116391.4439424824</v>
          </cell>
          <cell r="AT275">
            <v>1376779.6683828081</v>
          </cell>
          <cell r="AU275">
            <v>1778958.4008851715</v>
          </cell>
          <cell r="AV275">
            <v>2102796.0796493851</v>
          </cell>
          <cell r="AW275">
            <v>2429743.9622221184</v>
          </cell>
          <cell r="AX275">
            <v>2939343.6787872761</v>
          </cell>
          <cell r="AY275">
            <v>3964371.3765437733</v>
          </cell>
          <cell r="AZ275">
            <v>6443851.7765363893</v>
          </cell>
          <cell r="BA275">
            <v>7320911.6014760546</v>
          </cell>
          <cell r="BB275">
            <v>7320911.6014760546</v>
          </cell>
        </row>
        <row r="276">
          <cell r="A276" t="str">
            <v>ytd</v>
          </cell>
          <cell r="B276">
            <v>20705.464374905547</v>
          </cell>
          <cell r="C276">
            <v>42393.871855150064</v>
          </cell>
          <cell r="D276">
            <v>64512.744743105177</v>
          </cell>
          <cell r="E276">
            <v>87254.387036046173</v>
          </cell>
          <cell r="F276">
            <v>113900.61495014884</v>
          </cell>
          <cell r="G276">
            <v>155877.2599565509</v>
          </cell>
          <cell r="H276">
            <v>185312.49276015663</v>
          </cell>
          <cell r="I276">
            <v>216123.28877749303</v>
          </cell>
          <cell r="J276">
            <v>272822.89601662173</v>
          </cell>
          <cell r="K276">
            <v>309142.68355416425</v>
          </cell>
          <cell r="L276">
            <v>341179.18707320682</v>
          </cell>
          <cell r="M276">
            <v>372425.74790136557</v>
          </cell>
          <cell r="N276">
            <v>403214.67641925323</v>
          </cell>
          <cell r="O276">
            <v>439235.9662884032</v>
          </cell>
          <cell r="P276">
            <v>467707.45720320137</v>
          </cell>
          <cell r="Q276">
            <v>496769.25121731317</v>
          </cell>
          <cell r="R276">
            <v>529712.41694659006</v>
          </cell>
          <cell r="S276">
            <v>575895.48141246533</v>
          </cell>
          <cell r="T276">
            <v>616604.70684435777</v>
          </cell>
          <cell r="U276">
            <v>660431.89811135782</v>
          </cell>
          <cell r="V276">
            <v>704273.00445686665</v>
          </cell>
          <cell r="W276">
            <v>743642.44262044132</v>
          </cell>
          <cell r="X276">
            <v>788207.13968095125</v>
          </cell>
          <cell r="Y276">
            <v>840864.17120913032</v>
          </cell>
          <cell r="Z276">
            <v>916266.56390911445</v>
          </cell>
          <cell r="AA276">
            <v>993802.19936860946</v>
          </cell>
          <cell r="AB276">
            <v>1069422.4006032799</v>
          </cell>
          <cell r="AC276">
            <v>1142444.2511502272</v>
          </cell>
          <cell r="AD276">
            <v>1222058.8920891238</v>
          </cell>
          <cell r="AE276">
            <v>1296530.0093808686</v>
          </cell>
          <cell r="AF276">
            <v>1365677.4909897789</v>
          </cell>
          <cell r="AG276">
            <v>1432884.8508165847</v>
          </cell>
          <cell r="AH276">
            <v>1499804.9426008586</v>
          </cell>
          <cell r="AI276">
            <v>1567744.5469139314</v>
          </cell>
          <cell r="AJ276">
            <v>1633178.9351437837</v>
          </cell>
          <cell r="AK276">
            <v>1721154.6878163971</v>
          </cell>
          <cell r="AL276">
            <v>1877332.1039230393</v>
          </cell>
          <cell r="AM276">
            <v>2021726.4803912695</v>
          </cell>
          <cell r="AN276">
            <v>2163777.5848352374</v>
          </cell>
          <cell r="AO276">
            <v>2311140.7313226894</v>
          </cell>
          <cell r="AP276">
            <v>2444102.2398211327</v>
          </cell>
          <cell r="AQ276">
            <v>2569029.8326875675</v>
          </cell>
          <cell r="AR276">
            <v>2695453.4344181968</v>
          </cell>
          <cell r="AS276">
            <v>2837546.1317588794</v>
          </cell>
          <cell r="AT276">
            <v>3097934.3561992049</v>
          </cell>
          <cell r="AU276">
            <v>3500113.0887015681</v>
          </cell>
          <cell r="AV276">
            <v>3823950.7674657819</v>
          </cell>
          <cell r="AW276">
            <v>4150898.6500385152</v>
          </cell>
          <cell r="AX276">
            <v>4660498.3666036725</v>
          </cell>
          <cell r="AY276">
            <v>5685526.0643601697</v>
          </cell>
          <cell r="AZ276">
            <v>8165006.4643527856</v>
          </cell>
          <cell r="BA276">
            <v>9042066.289292451</v>
          </cell>
          <cell r="BB276">
            <v>9042066.289292451</v>
          </cell>
        </row>
        <row r="277">
          <cell r="A277" t="str">
            <v>PRED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  <cell r="B285">
            <v>205.70418627552286</v>
          </cell>
          <cell r="C285">
            <v>215.46950754423804</v>
          </cell>
          <cell r="D285">
            <v>219.74608568851707</v>
          </cell>
          <cell r="E285">
            <v>225.93316130152164</v>
          </cell>
          <cell r="F285">
            <v>264.72435155937512</v>
          </cell>
          <cell r="G285">
            <v>417.02863781618589</v>
          </cell>
          <cell r="H285">
            <v>292.43249521294149</v>
          </cell>
          <cell r="I285">
            <v>306.09840998923335</v>
          </cell>
          <cell r="J285">
            <v>563.29799506464451</v>
          </cell>
          <cell r="K285">
            <v>360.82901623616192</v>
          </cell>
          <cell r="L285">
            <v>318.27554157561053</v>
          </cell>
          <cell r="M285">
            <v>310.42763652550769</v>
          </cell>
          <cell r="N285">
            <v>305.88116124278957</v>
          </cell>
          <cell r="O285">
            <v>357.86350824899239</v>
          </cell>
          <cell r="P285">
            <v>282.85793376253218</v>
          </cell>
          <cell r="Q285">
            <v>288.72246384510242</v>
          </cell>
          <cell r="R285">
            <v>327.28302910673131</v>
          </cell>
          <cell r="S285">
            <v>458.8184801678093</v>
          </cell>
          <cell r="T285">
            <v>404.43710605802102</v>
          </cell>
          <cell r="U285">
            <v>435.41340358665974</v>
          </cell>
          <cell r="V285">
            <v>435.55164679868238</v>
          </cell>
          <cell r="W285">
            <v>391.12661734733945</v>
          </cell>
          <cell r="X285">
            <v>442.74035971671907</v>
          </cell>
          <cell r="Y285">
            <v>523.13590393637514</v>
          </cell>
          <cell r="Z285">
            <v>422.03043273430768</v>
          </cell>
          <cell r="AA285">
            <v>433.97028414599777</v>
          </cell>
          <cell r="AB285">
            <v>423.24951646435153</v>
          </cell>
          <cell r="AC285">
            <v>408.70643598813302</v>
          </cell>
          <cell r="AD285">
            <v>445.60656716979975</v>
          </cell>
          <cell r="AE285">
            <v>416.81804424820473</v>
          </cell>
          <cell r="AF285">
            <v>387.0214265216834</v>
          </cell>
          <cell r="AG285">
            <v>376.1624815208707</v>
          </cell>
          <cell r="AH285">
            <v>374.55462994004796</v>
          </cell>
          <cell r="AI285">
            <v>380.26088538235206</v>
          </cell>
          <cell r="AJ285">
            <v>366.23908329045742</v>
          </cell>
          <cell r="AK285">
            <v>492.40406890373453</v>
          </cell>
          <cell r="AL285">
            <v>480.44451552808147</v>
          </cell>
          <cell r="AM285">
            <v>444.19665772859406</v>
          </cell>
          <cell r="AN285">
            <v>436.98811106088209</v>
          </cell>
          <cell r="AO285">
            <v>453.3294075790929</v>
          </cell>
          <cell r="AP285">
            <v>400.00910613050644</v>
          </cell>
          <cell r="AQ285">
            <v>375.83940884758789</v>
          </cell>
          <cell r="AR285">
            <v>380.34008859534123</v>
          </cell>
          <cell r="AS285">
            <v>427.47990371652952</v>
          </cell>
          <cell r="AT285">
            <v>783.36702164073222</v>
          </cell>
          <cell r="AU285">
            <v>1209.937801622144</v>
          </cell>
          <cell r="AV285">
            <v>974.25203637312757</v>
          </cell>
          <cell r="AW285">
            <v>983.60895371995673</v>
          </cell>
          <cell r="AX285">
            <v>1533.1093141890369</v>
          </cell>
          <cell r="AY285">
            <v>3083.752717376758</v>
          </cell>
          <cell r="AZ285">
            <v>7459.4124996766977</v>
          </cell>
          <cell r="BA285">
            <v>2638.5975953424258</v>
          </cell>
        </row>
        <row r="286">
          <cell r="A286" t="str">
            <v>ptd</v>
          </cell>
          <cell r="B286">
            <v>205.70418627552286</v>
          </cell>
          <cell r="C286">
            <v>421.1736938197609</v>
          </cell>
          <cell r="D286">
            <v>640.919779508278</v>
          </cell>
          <cell r="E286">
            <v>866.85294080979963</v>
          </cell>
          <cell r="F286">
            <v>264.72435155937512</v>
          </cell>
          <cell r="G286">
            <v>681.75298937556101</v>
          </cell>
          <cell r="H286">
            <v>974.1854845885025</v>
          </cell>
          <cell r="I286">
            <v>1280.2838945777357</v>
          </cell>
          <cell r="J286">
            <v>563.29799506464451</v>
          </cell>
          <cell r="K286">
            <v>924.12701130080643</v>
          </cell>
          <cell r="L286">
            <v>1242.4025528764168</v>
          </cell>
          <cell r="M286">
            <v>1552.8301894019246</v>
          </cell>
          <cell r="N286">
            <v>305.88116124278957</v>
          </cell>
          <cell r="O286">
            <v>663.74466949178191</v>
          </cell>
          <cell r="P286">
            <v>946.60260325431409</v>
          </cell>
          <cell r="Q286">
            <v>1235.3250670994166</v>
          </cell>
          <cell r="R286">
            <v>327.28302910673131</v>
          </cell>
          <cell r="S286">
            <v>786.1015092745406</v>
          </cell>
          <cell r="T286">
            <v>1190.5386153325617</v>
          </cell>
          <cell r="U286">
            <v>1625.9520189192215</v>
          </cell>
          <cell r="V286">
            <v>435.55164679868238</v>
          </cell>
          <cell r="W286">
            <v>826.67826414602177</v>
          </cell>
          <cell r="X286">
            <v>1269.4186238627408</v>
          </cell>
          <cell r="Y286">
            <v>1792.5545277991159</v>
          </cell>
          <cell r="Z286">
            <v>422.03043273430768</v>
          </cell>
          <cell r="AA286">
            <v>856.00071688030539</v>
          </cell>
          <cell r="AB286">
            <v>1279.2502333446569</v>
          </cell>
          <cell r="AC286">
            <v>1687.9566693327899</v>
          </cell>
          <cell r="AD286">
            <v>445.60656716979975</v>
          </cell>
          <cell r="AE286">
            <v>862.42461141800447</v>
          </cell>
          <cell r="AF286">
            <v>1249.4460379396878</v>
          </cell>
          <cell r="AG286">
            <v>1625.6085194605585</v>
          </cell>
          <cell r="AH286">
            <v>374.55462994004796</v>
          </cell>
          <cell r="AI286">
            <v>754.81551532239996</v>
          </cell>
          <cell r="AJ286">
            <v>1121.0545986128573</v>
          </cell>
          <cell r="AK286">
            <v>1613.4586675165917</v>
          </cell>
          <cell r="AL286">
            <v>480.44451552808147</v>
          </cell>
          <cell r="AM286">
            <v>924.64117325667553</v>
          </cell>
          <cell r="AN286">
            <v>1361.6292843175577</v>
          </cell>
          <cell r="AO286">
            <v>1814.9586918966506</v>
          </cell>
          <cell r="AP286">
            <v>400.00910613050644</v>
          </cell>
          <cell r="AQ286">
            <v>775.84851497809427</v>
          </cell>
          <cell r="AR286">
            <v>1156.1886035734356</v>
          </cell>
          <cell r="AS286">
            <v>1583.668507289965</v>
          </cell>
          <cell r="AT286">
            <v>783.36702164073222</v>
          </cell>
          <cell r="AU286">
            <v>1993.3048232628762</v>
          </cell>
          <cell r="AV286">
            <v>2967.5568596360035</v>
          </cell>
          <cell r="AW286">
            <v>3951.1658133559604</v>
          </cell>
          <cell r="AX286">
            <v>1533.1093141890369</v>
          </cell>
          <cell r="AY286">
            <v>4616.8620315657954</v>
          </cell>
          <cell r="AZ286">
            <v>12076.274531242492</v>
          </cell>
          <cell r="BA286">
            <v>14714.872126584918</v>
          </cell>
          <cell r="BB286">
            <v>14714.872126584918</v>
          </cell>
        </row>
        <row r="287">
          <cell r="A287" t="str">
            <v>qtd</v>
          </cell>
          <cell r="B287">
            <v>205.70418627552286</v>
          </cell>
          <cell r="C287">
            <v>421.1736938197609</v>
          </cell>
          <cell r="D287">
            <v>640.919779508278</v>
          </cell>
          <cell r="E287">
            <v>866.85294080979963</v>
          </cell>
          <cell r="F287">
            <v>1131.5772923691748</v>
          </cell>
          <cell r="G287">
            <v>1548.6059301853606</v>
          </cell>
          <cell r="H287">
            <v>1841.038425398302</v>
          </cell>
          <cell r="I287">
            <v>2147.1368353875355</v>
          </cell>
          <cell r="J287">
            <v>2710.43483045218</v>
          </cell>
          <cell r="K287">
            <v>3071.2638466883418</v>
          </cell>
          <cell r="L287">
            <v>3389.5393882639523</v>
          </cell>
          <cell r="M287">
            <v>3699.9670247894601</v>
          </cell>
          <cell r="N287">
            <v>305.88116124278957</v>
          </cell>
          <cell r="O287">
            <v>663.74466949178191</v>
          </cell>
          <cell r="P287">
            <v>946.60260325431409</v>
          </cell>
          <cell r="Q287">
            <v>1235.3250670994166</v>
          </cell>
          <cell r="R287">
            <v>1562.6080962061478</v>
          </cell>
          <cell r="S287">
            <v>2021.4265763739572</v>
          </cell>
          <cell r="T287">
            <v>2425.8636824319783</v>
          </cell>
          <cell r="U287">
            <v>2861.2770860186379</v>
          </cell>
          <cell r="V287">
            <v>3296.8287328173201</v>
          </cell>
          <cell r="W287">
            <v>3687.9553501646596</v>
          </cell>
          <cell r="X287">
            <v>4130.6957098813791</v>
          </cell>
          <cell r="Y287">
            <v>4653.8316138177543</v>
          </cell>
          <cell r="Z287">
            <v>422.03043273430768</v>
          </cell>
          <cell r="AA287">
            <v>856.00071688030539</v>
          </cell>
          <cell r="AB287">
            <v>1279.2502333446569</v>
          </cell>
          <cell r="AC287">
            <v>1687.9566693327899</v>
          </cell>
          <cell r="AD287">
            <v>2133.5632365025895</v>
          </cell>
          <cell r="AE287">
            <v>2550.3812807507943</v>
          </cell>
          <cell r="AF287">
            <v>2937.4027072724775</v>
          </cell>
          <cell r="AG287">
            <v>3313.5651887933482</v>
          </cell>
          <cell r="AH287">
            <v>3688.1198187333962</v>
          </cell>
          <cell r="AI287">
            <v>4068.3807041157484</v>
          </cell>
          <cell r="AJ287">
            <v>4434.6197874062054</v>
          </cell>
          <cell r="AK287">
            <v>4927.0238563099401</v>
          </cell>
          <cell r="AL287">
            <v>480.44451552808147</v>
          </cell>
          <cell r="AM287">
            <v>924.64117325667553</v>
          </cell>
          <cell r="AN287">
            <v>1361.6292843175577</v>
          </cell>
          <cell r="AO287">
            <v>1814.9586918966506</v>
          </cell>
          <cell r="AP287">
            <v>2214.9677980271572</v>
          </cell>
          <cell r="AQ287">
            <v>2590.8072068747451</v>
          </cell>
          <cell r="AR287">
            <v>2971.1472954700862</v>
          </cell>
          <cell r="AS287">
            <v>3398.6271991866156</v>
          </cell>
          <cell r="AT287">
            <v>4181.9942208273478</v>
          </cell>
          <cell r="AU287">
            <v>5391.9320224494913</v>
          </cell>
          <cell r="AV287">
            <v>6366.1840588226187</v>
          </cell>
          <cell r="AW287">
            <v>7349.7930125425755</v>
          </cell>
          <cell r="AX287">
            <v>8882.9023267316115</v>
          </cell>
          <cell r="AY287">
            <v>11966.655044108369</v>
          </cell>
          <cell r="AZ287">
            <v>19426.067543785066</v>
          </cell>
          <cell r="BA287">
            <v>22064.665139127494</v>
          </cell>
          <cell r="BB287">
            <v>22064.665139127494</v>
          </cell>
        </row>
        <row r="288">
          <cell r="A288" t="str">
            <v>ytd</v>
          </cell>
          <cell r="B288">
            <v>205.70418627552286</v>
          </cell>
          <cell r="C288">
            <v>421.1736938197609</v>
          </cell>
          <cell r="D288">
            <v>640.919779508278</v>
          </cell>
          <cell r="E288">
            <v>866.85294080979963</v>
          </cell>
          <cell r="F288">
            <v>1131.5772923691748</v>
          </cell>
          <cell r="G288">
            <v>1548.6059301853606</v>
          </cell>
          <cell r="H288">
            <v>1841.038425398302</v>
          </cell>
          <cell r="I288">
            <v>2147.1368353875355</v>
          </cell>
          <cell r="J288">
            <v>2710.43483045218</v>
          </cell>
          <cell r="K288">
            <v>3071.2638466883418</v>
          </cell>
          <cell r="L288">
            <v>3389.5393882639523</v>
          </cell>
          <cell r="M288">
            <v>3699.9670247894601</v>
          </cell>
          <cell r="N288">
            <v>4005.8481860322495</v>
          </cell>
          <cell r="O288">
            <v>4363.7116942812418</v>
          </cell>
          <cell r="P288">
            <v>4646.5696280437742</v>
          </cell>
          <cell r="Q288">
            <v>4935.2920918888767</v>
          </cell>
          <cell r="R288">
            <v>5262.5751209956079</v>
          </cell>
          <cell r="S288">
            <v>5721.3936011634169</v>
          </cell>
          <cell r="T288">
            <v>6125.8307072214375</v>
          </cell>
          <cell r="U288">
            <v>6561.2441108080975</v>
          </cell>
          <cell r="V288">
            <v>6996.7957576067802</v>
          </cell>
          <cell r="W288">
            <v>7387.9223749541197</v>
          </cell>
          <cell r="X288">
            <v>7830.6627346708392</v>
          </cell>
          <cell r="Y288">
            <v>8353.7986386072153</v>
          </cell>
          <cell r="Z288">
            <v>8775.8290713415226</v>
          </cell>
          <cell r="AA288">
            <v>9209.7993554875211</v>
          </cell>
          <cell r="AB288">
            <v>9633.0488719518726</v>
          </cell>
          <cell r="AC288">
            <v>10041.755307940006</v>
          </cell>
          <cell r="AD288">
            <v>10487.361875109806</v>
          </cell>
          <cell r="AE288">
            <v>10904.17991935801</v>
          </cell>
          <cell r="AF288">
            <v>11291.201345879694</v>
          </cell>
          <cell r="AG288">
            <v>11667.363827400564</v>
          </cell>
          <cell r="AH288">
            <v>12041.918457340613</v>
          </cell>
          <cell r="AI288">
            <v>12422.179342722964</v>
          </cell>
          <cell r="AJ288">
            <v>12788.418426013421</v>
          </cell>
          <cell r="AK288">
            <v>13280.822494917154</v>
          </cell>
          <cell r="AL288">
            <v>13761.267010445235</v>
          </cell>
          <cell r="AM288">
            <v>14205.46366817383</v>
          </cell>
          <cell r="AN288">
            <v>14642.451779234712</v>
          </cell>
          <cell r="AO288">
            <v>15095.781186813805</v>
          </cell>
          <cell r="AP288">
            <v>15495.790292944312</v>
          </cell>
          <cell r="AQ288">
            <v>15871.629701791899</v>
          </cell>
          <cell r="AR288">
            <v>16251.96979038724</v>
          </cell>
          <cell r="AS288">
            <v>16679.449694103769</v>
          </cell>
          <cell r="AT288">
            <v>17462.816715744502</v>
          </cell>
          <cell r="AU288">
            <v>18672.754517366648</v>
          </cell>
          <cell r="AV288">
            <v>19647.006553739775</v>
          </cell>
          <cell r="AW288">
            <v>20630.61550745973</v>
          </cell>
          <cell r="AX288">
            <v>22163.724821648768</v>
          </cell>
          <cell r="AY288">
            <v>25247.477539025527</v>
          </cell>
          <cell r="AZ288">
            <v>32706.890038702226</v>
          </cell>
          <cell r="BA288">
            <v>35345.48763404465</v>
          </cell>
          <cell r="BB288">
            <v>35345.48763404465</v>
          </cell>
        </row>
        <row r="289">
          <cell r="A289" t="str">
            <v>TELE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20911.168561181068</v>
          </cell>
          <cell r="C301">
            <v>21903.876987788761</v>
          </cell>
          <cell r="D301">
            <v>22338.618973643628</v>
          </cell>
          <cell r="E301">
            <v>22967.57545424252</v>
          </cell>
          <cell r="F301">
            <v>26910.952265662047</v>
          </cell>
          <cell r="G301">
            <v>42393.673644218237</v>
          </cell>
          <cell r="H301">
            <v>29727.66529881868</v>
          </cell>
          <cell r="I301">
            <v>31116.894427325624</v>
          </cell>
          <cell r="J301">
            <v>57262.905234193357</v>
          </cell>
          <cell r="K301">
            <v>36680.616553778709</v>
          </cell>
          <cell r="L301">
            <v>32354.779060618162</v>
          </cell>
          <cell r="M301">
            <v>31556.988464684273</v>
          </cell>
          <cell r="N301">
            <v>31094.809679130434</v>
          </cell>
          <cell r="O301">
            <v>36379.153377398958</v>
          </cell>
          <cell r="P301">
            <v>28754.348848560716</v>
          </cell>
          <cell r="Q301">
            <v>29350.516477956877</v>
          </cell>
          <cell r="R301">
            <v>33270.448758383638</v>
          </cell>
          <cell r="S301">
            <v>46641.88294604305</v>
          </cell>
          <cell r="T301">
            <v>41113.662537950433</v>
          </cell>
          <cell r="U301">
            <v>44262.604670586741</v>
          </cell>
          <cell r="V301">
            <v>44276.657992307533</v>
          </cell>
          <cell r="W301">
            <v>39760.564780922046</v>
          </cell>
          <cell r="X301">
            <v>45007.437420226699</v>
          </cell>
          <cell r="Y301">
            <v>53180.167432115428</v>
          </cell>
          <cell r="Z301">
            <v>75824.42313271841</v>
          </cell>
          <cell r="AA301">
            <v>77969.605743641005</v>
          </cell>
          <cell r="AB301">
            <v>76043.450751134849</v>
          </cell>
          <cell r="AC301">
            <v>73430.556982935464</v>
          </cell>
          <cell r="AD301">
            <v>80060.247506066473</v>
          </cell>
          <cell r="AE301">
            <v>74887.935335993127</v>
          </cell>
          <cell r="AF301">
            <v>69534.503035432033</v>
          </cell>
          <cell r="AG301">
            <v>67583.522308326763</v>
          </cell>
          <cell r="AH301">
            <v>67294.646414213988</v>
          </cell>
          <cell r="AI301">
            <v>68319.865198455169</v>
          </cell>
          <cell r="AJ301">
            <v>65800.627313142788</v>
          </cell>
          <cell r="AK301">
            <v>88468.156741517072</v>
          </cell>
          <cell r="AL301">
            <v>156657.86062217026</v>
          </cell>
          <cell r="AM301">
            <v>144838.573125959</v>
          </cell>
          <cell r="AN301">
            <v>142488.09255502853</v>
          </cell>
          <cell r="AO301">
            <v>147816.47589503112</v>
          </cell>
          <cell r="AP301">
            <v>133361.51760457375</v>
          </cell>
          <cell r="AQ301">
            <v>125303.43227528242</v>
          </cell>
          <cell r="AR301">
            <v>126803.94181922451</v>
          </cell>
          <cell r="AS301">
            <v>142520.17724439912</v>
          </cell>
          <cell r="AT301">
            <v>261171.59146196643</v>
          </cell>
          <cell r="AU301">
            <v>403388.67030398548</v>
          </cell>
          <cell r="AV301">
            <v>324811.93080058694</v>
          </cell>
          <cell r="AW301">
            <v>327931.49152645341</v>
          </cell>
          <cell r="AX301">
            <v>511132.8258793467</v>
          </cell>
          <cell r="AY301">
            <v>1028111.4504738739</v>
          </cell>
          <cell r="AZ301">
            <v>2486939.8124922928</v>
          </cell>
          <cell r="BA301">
            <v>879698.42253500747</v>
          </cell>
          <cell r="BB301">
            <v>0</v>
          </cell>
        </row>
        <row r="302">
          <cell r="A302" t="str">
            <v>ptd</v>
          </cell>
          <cell r="B302">
            <v>20911.168561181068</v>
          </cell>
          <cell r="C302">
            <v>42815.045548969822</v>
          </cell>
          <cell r="D302">
            <v>65153.664522613457</v>
          </cell>
          <cell r="E302">
            <v>88121.23997685597</v>
          </cell>
          <cell r="F302">
            <v>26910.952265662047</v>
          </cell>
          <cell r="G302">
            <v>69304.625909880284</v>
          </cell>
          <cell r="H302">
            <v>99032.291208698967</v>
          </cell>
          <cell r="I302">
            <v>130149.1856360246</v>
          </cell>
          <cell r="J302">
            <v>57262.905234193357</v>
          </cell>
          <cell r="K302">
            <v>93943.521787972059</v>
          </cell>
          <cell r="L302">
            <v>126298.30084859022</v>
          </cell>
          <cell r="M302">
            <v>157855.28931327449</v>
          </cell>
          <cell r="N302">
            <v>31094.809679130434</v>
          </cell>
          <cell r="O302">
            <v>67473.963056529392</v>
          </cell>
          <cell r="P302">
            <v>96228.3119050901</v>
          </cell>
          <cell r="Q302">
            <v>125578.82838304697</v>
          </cell>
          <cell r="R302">
            <v>33270.448758383638</v>
          </cell>
          <cell r="S302">
            <v>79912.331704426688</v>
          </cell>
          <cell r="T302">
            <v>121025.99424237713</v>
          </cell>
          <cell r="U302">
            <v>165288.59891296388</v>
          </cell>
          <cell r="V302">
            <v>44276.657992307533</v>
          </cell>
          <cell r="W302">
            <v>84037.222773229572</v>
          </cell>
          <cell r="X302">
            <v>129044.66019345628</v>
          </cell>
          <cell r="Y302">
            <v>182224.82762557169</v>
          </cell>
          <cell r="Z302">
            <v>75824.42313271841</v>
          </cell>
          <cell r="AA302">
            <v>153794.02887635943</v>
          </cell>
          <cell r="AB302">
            <v>229837.47962749426</v>
          </cell>
          <cell r="AC302">
            <v>303268.03661042976</v>
          </cell>
          <cell r="AD302">
            <v>80060.247506066473</v>
          </cell>
          <cell r="AE302">
            <v>154948.18284205961</v>
          </cell>
          <cell r="AF302">
            <v>224482.68587749166</v>
          </cell>
          <cell r="AG302">
            <v>292066.2081858184</v>
          </cell>
          <cell r="AH302">
            <v>67294.646414213988</v>
          </cell>
          <cell r="AI302">
            <v>135614.51161266919</v>
          </cell>
          <cell r="AJ302">
            <v>201415.13892581195</v>
          </cell>
          <cell r="AK302">
            <v>289883.29566732899</v>
          </cell>
          <cell r="AL302">
            <v>156657.86062217026</v>
          </cell>
          <cell r="AM302">
            <v>301496.43374812929</v>
          </cell>
          <cell r="AN302">
            <v>443984.52630315785</v>
          </cell>
          <cell r="AO302">
            <v>591801.00219818903</v>
          </cell>
          <cell r="AP302">
            <v>133361.51760457375</v>
          </cell>
          <cell r="AQ302">
            <v>258664.94987985617</v>
          </cell>
          <cell r="AR302">
            <v>385468.89169908065</v>
          </cell>
          <cell r="AS302">
            <v>527989.0689434798</v>
          </cell>
          <cell r="AT302">
            <v>261171.59146196643</v>
          </cell>
          <cell r="AU302">
            <v>664560.26176595187</v>
          </cell>
          <cell r="AV302">
            <v>989372.19256653881</v>
          </cell>
          <cell r="AW302">
            <v>1317303.6840929922</v>
          </cell>
          <cell r="AX302">
            <v>511132.8258793467</v>
          </cell>
          <cell r="AY302">
            <v>1539244.2763532205</v>
          </cell>
          <cell r="AZ302">
            <v>4026184.0888455128</v>
          </cell>
          <cell r="BA302">
            <v>4905882.5113805206</v>
          </cell>
          <cell r="BB302">
            <v>4905882.5113805206</v>
          </cell>
        </row>
        <row r="303">
          <cell r="A303" t="str">
            <v>qtd</v>
          </cell>
          <cell r="B303">
            <v>20911.168561181068</v>
          </cell>
          <cell r="C303">
            <v>42815.045548969822</v>
          </cell>
          <cell r="D303">
            <v>65153.664522613457</v>
          </cell>
          <cell r="E303">
            <v>88121.23997685597</v>
          </cell>
          <cell r="F303">
            <v>115032.19224251801</v>
          </cell>
          <cell r="G303">
            <v>157425.86588673625</v>
          </cell>
          <cell r="H303">
            <v>187153.53118555492</v>
          </cell>
          <cell r="I303">
            <v>218270.42561288056</v>
          </cell>
          <cell r="J303">
            <v>275533.33084707393</v>
          </cell>
          <cell r="K303">
            <v>312213.94740085257</v>
          </cell>
          <cell r="L303">
            <v>344568.72646147077</v>
          </cell>
          <cell r="M303">
            <v>376125.71492615505</v>
          </cell>
          <cell r="N303">
            <v>31094.809679130434</v>
          </cell>
          <cell r="O303">
            <v>67473.963056529392</v>
          </cell>
          <cell r="P303">
            <v>96228.3119050901</v>
          </cell>
          <cell r="Q303">
            <v>125578.82838304697</v>
          </cell>
          <cell r="R303">
            <v>158849.27714143062</v>
          </cell>
          <cell r="S303">
            <v>205491.16008747366</v>
          </cell>
          <cell r="T303">
            <v>246604.8226254241</v>
          </cell>
          <cell r="U303">
            <v>290867.42729601084</v>
          </cell>
          <cell r="V303">
            <v>335144.08528831834</v>
          </cell>
          <cell r="W303">
            <v>374904.65006924042</v>
          </cell>
          <cell r="X303">
            <v>419912.08748946711</v>
          </cell>
          <cell r="Y303">
            <v>473092.25492158259</v>
          </cell>
          <cell r="Z303">
            <v>75824.42313271841</v>
          </cell>
          <cell r="AA303">
            <v>153794.02887635943</v>
          </cell>
          <cell r="AB303">
            <v>229837.47962749426</v>
          </cell>
          <cell r="AC303">
            <v>303268.03661042976</v>
          </cell>
          <cell r="AD303">
            <v>383328.28411649622</v>
          </cell>
          <cell r="AE303">
            <v>458216.21945248934</v>
          </cell>
          <cell r="AF303">
            <v>527750.72248792136</v>
          </cell>
          <cell r="AG303">
            <v>595334.24479624815</v>
          </cell>
          <cell r="AH303">
            <v>662628.8912104622</v>
          </cell>
          <cell r="AI303">
            <v>730948.75640891737</v>
          </cell>
          <cell r="AJ303">
            <v>796749.38372206013</v>
          </cell>
          <cell r="AK303">
            <v>885217.54046357726</v>
          </cell>
          <cell r="AL303">
            <v>156657.86062217026</v>
          </cell>
          <cell r="AM303">
            <v>301496.43374812929</v>
          </cell>
          <cell r="AN303">
            <v>443984.52630315785</v>
          </cell>
          <cell r="AO303">
            <v>591801.00219818903</v>
          </cell>
          <cell r="AP303">
            <v>725162.51980276289</v>
          </cell>
          <cell r="AQ303">
            <v>850465.95207804523</v>
          </cell>
          <cell r="AR303">
            <v>977269.89389726985</v>
          </cell>
          <cell r="AS303">
            <v>1119790.0711416691</v>
          </cell>
          <cell r="AT303">
            <v>1380961.6626036353</v>
          </cell>
          <cell r="AU303">
            <v>1784350.3329076211</v>
          </cell>
          <cell r="AV303">
            <v>2109162.2637082078</v>
          </cell>
          <cell r="AW303">
            <v>2437093.755234661</v>
          </cell>
          <cell r="AX303">
            <v>2948226.5811140076</v>
          </cell>
          <cell r="AY303">
            <v>3976338.0315878815</v>
          </cell>
          <cell r="AZ303">
            <v>6463277.8440801743</v>
          </cell>
          <cell r="BA303">
            <v>7342976.2666151822</v>
          </cell>
          <cell r="BB303">
            <v>7342976.2666151822</v>
          </cell>
        </row>
        <row r="304">
          <cell r="A304" t="str">
            <v>ytd</v>
          </cell>
          <cell r="B304">
            <v>20911.168561181068</v>
          </cell>
          <cell r="C304">
            <v>42815.045548969822</v>
          </cell>
          <cell r="D304">
            <v>65153.664522613457</v>
          </cell>
          <cell r="E304">
            <v>88121.23997685597</v>
          </cell>
          <cell r="F304">
            <v>115032.19224251801</v>
          </cell>
          <cell r="G304">
            <v>157425.86588673625</v>
          </cell>
          <cell r="H304">
            <v>187153.53118555492</v>
          </cell>
          <cell r="I304">
            <v>218270.42561288056</v>
          </cell>
          <cell r="J304">
            <v>275533.33084707393</v>
          </cell>
          <cell r="K304">
            <v>312213.94740085257</v>
          </cell>
          <cell r="L304">
            <v>344568.72646147077</v>
          </cell>
          <cell r="M304">
            <v>376125.71492615505</v>
          </cell>
          <cell r="N304">
            <v>407220.52460528549</v>
          </cell>
          <cell r="O304">
            <v>443599.67798268446</v>
          </cell>
          <cell r="P304">
            <v>472354.02683124517</v>
          </cell>
          <cell r="Q304">
            <v>501704.54330920207</v>
          </cell>
          <cell r="R304">
            <v>534974.9920675857</v>
          </cell>
          <cell r="S304">
            <v>581616.87501362874</v>
          </cell>
          <cell r="T304">
            <v>622730.53755157918</v>
          </cell>
          <cell r="U304">
            <v>666993.14222216594</v>
          </cell>
          <cell r="V304">
            <v>711269.80021447339</v>
          </cell>
          <cell r="W304">
            <v>751030.36499539542</v>
          </cell>
          <cell r="X304">
            <v>796037.80241562205</v>
          </cell>
          <cell r="Y304">
            <v>849217.96984773758</v>
          </cell>
          <cell r="Z304">
            <v>925042.392980456</v>
          </cell>
          <cell r="AA304">
            <v>1003011.998724097</v>
          </cell>
          <cell r="AB304">
            <v>1079055.4494752318</v>
          </cell>
          <cell r="AC304">
            <v>1152486.0064581672</v>
          </cell>
          <cell r="AD304">
            <v>1232546.2539642337</v>
          </cell>
          <cell r="AE304">
            <v>1307434.1893002267</v>
          </cell>
          <cell r="AF304">
            <v>1376968.6923356585</v>
          </cell>
          <cell r="AG304">
            <v>1444552.2146439853</v>
          </cell>
          <cell r="AH304">
            <v>1511846.8610581993</v>
          </cell>
          <cell r="AI304">
            <v>1580166.7262566544</v>
          </cell>
          <cell r="AJ304">
            <v>1645967.353569797</v>
          </cell>
          <cell r="AK304">
            <v>1734435.5103113141</v>
          </cell>
          <cell r="AL304">
            <v>1891093.3709334845</v>
          </cell>
          <cell r="AM304">
            <v>2035931.9440594434</v>
          </cell>
          <cell r="AN304">
            <v>2178420.036614472</v>
          </cell>
          <cell r="AO304">
            <v>2326236.5125095034</v>
          </cell>
          <cell r="AP304">
            <v>2459598.030114077</v>
          </cell>
          <cell r="AQ304">
            <v>2584901.4623893593</v>
          </cell>
          <cell r="AR304">
            <v>2711705.4042085842</v>
          </cell>
          <cell r="AS304">
            <v>2854225.581452983</v>
          </cell>
          <cell r="AT304">
            <v>3115397.1729149492</v>
          </cell>
          <cell r="AU304">
            <v>3518785.8432189347</v>
          </cell>
          <cell r="AV304">
            <v>3843597.7740195217</v>
          </cell>
          <cell r="AW304">
            <v>4171529.265545975</v>
          </cell>
          <cell r="AX304">
            <v>4682662.0914253211</v>
          </cell>
          <cell r="AY304">
            <v>5710773.5418991949</v>
          </cell>
          <cell r="AZ304">
            <v>8197713.3543914882</v>
          </cell>
          <cell r="BA304">
            <v>9077411.7769264951</v>
          </cell>
          <cell r="BB304">
            <v>9077411.7769264951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16180.993233687157</v>
          </cell>
          <cell r="AI387">
            <v>15924.478833553005</v>
          </cell>
          <cell r="AJ387">
            <v>15175.095423819104</v>
          </cell>
          <cell r="AK387">
            <v>15753.985049570096</v>
          </cell>
          <cell r="AL387">
            <v>43466.59965428336</v>
          </cell>
          <cell r="AM387">
            <v>43239.744817064864</v>
          </cell>
          <cell r="AN387">
            <v>44207.696400249159</v>
          </cell>
          <cell r="AO387">
            <v>44106.59550660578</v>
          </cell>
          <cell r="AP387">
            <v>42423.889130083771</v>
          </cell>
          <cell r="AQ387">
            <v>46274.1565438486</v>
          </cell>
          <cell r="AR387">
            <v>43019.100133004395</v>
          </cell>
          <cell r="AS387">
            <v>47167.71311046819</v>
          </cell>
          <cell r="AT387">
            <v>49002.52930440929</v>
          </cell>
          <cell r="AU387">
            <v>57695.46876140833</v>
          </cell>
          <cell r="AV387">
            <v>66200.553776845991</v>
          </cell>
          <cell r="AW387">
            <v>87491.347830158949</v>
          </cell>
          <cell r="AX387">
            <v>144051.47270537016</v>
          </cell>
          <cell r="AY387">
            <v>301910.18272966158</v>
          </cell>
          <cell r="AZ387">
            <v>811683.09715979116</v>
          </cell>
          <cell r="BA387">
            <v>334320.28277962038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16180.993233687157</v>
          </cell>
          <cell r="AI388">
            <v>32105.47206724016</v>
          </cell>
          <cell r="AJ388">
            <v>47280.567491059264</v>
          </cell>
          <cell r="AK388">
            <v>63034.55254062936</v>
          </cell>
          <cell r="AL388">
            <v>43466.59965428336</v>
          </cell>
          <cell r="AM388">
            <v>86706.344471348217</v>
          </cell>
          <cell r="AN388">
            <v>130914.04087159738</v>
          </cell>
          <cell r="AO388">
            <v>175020.63637820317</v>
          </cell>
          <cell r="AP388">
            <v>42423.889130083771</v>
          </cell>
          <cell r="AQ388">
            <v>88698.045673932371</v>
          </cell>
          <cell r="AR388">
            <v>131717.14580693678</v>
          </cell>
          <cell r="AS388">
            <v>178884.85891740496</v>
          </cell>
          <cell r="AT388">
            <v>49002.52930440929</v>
          </cell>
          <cell r="AU388">
            <v>106697.99806581762</v>
          </cell>
          <cell r="AV388">
            <v>172898.55184266361</v>
          </cell>
          <cell r="AW388">
            <v>260389.89967282256</v>
          </cell>
          <cell r="AX388">
            <v>144051.47270537016</v>
          </cell>
          <cell r="AY388">
            <v>445961.65543503175</v>
          </cell>
          <cell r="AZ388">
            <v>1257644.752594823</v>
          </cell>
          <cell r="BA388">
            <v>1591965.0353744435</v>
          </cell>
          <cell r="BB388">
            <v>1591965.0353744435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16180.993233687157</v>
          </cell>
          <cell r="AI389">
            <v>32105.47206724016</v>
          </cell>
          <cell r="AJ389">
            <v>47280.567491059264</v>
          </cell>
          <cell r="AK389">
            <v>63034.55254062936</v>
          </cell>
          <cell r="AL389">
            <v>43466.59965428336</v>
          </cell>
          <cell r="AM389">
            <v>86706.344471348217</v>
          </cell>
          <cell r="AN389">
            <v>130914.04087159738</v>
          </cell>
          <cell r="AO389">
            <v>175020.63637820317</v>
          </cell>
          <cell r="AP389">
            <v>217444.52550828696</v>
          </cell>
          <cell r="AQ389">
            <v>263718.68205213558</v>
          </cell>
          <cell r="AR389">
            <v>306737.78218513995</v>
          </cell>
          <cell r="AS389">
            <v>353905.49529560813</v>
          </cell>
          <cell r="AT389">
            <v>402908.02460001741</v>
          </cell>
          <cell r="AU389">
            <v>460603.49336142576</v>
          </cell>
          <cell r="AV389">
            <v>526804.04713827174</v>
          </cell>
          <cell r="AW389">
            <v>614295.39496843074</v>
          </cell>
          <cell r="AX389">
            <v>758346.86767380091</v>
          </cell>
          <cell r="AY389">
            <v>1060257.0504034625</v>
          </cell>
          <cell r="AZ389">
            <v>1871940.1475632535</v>
          </cell>
          <cell r="BA389">
            <v>2206260.430342874</v>
          </cell>
          <cell r="BB389">
            <v>2206260.430342874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16180.993233687157</v>
          </cell>
          <cell r="AI390">
            <v>32105.47206724016</v>
          </cell>
          <cell r="AJ390">
            <v>47280.567491059264</v>
          </cell>
          <cell r="AK390">
            <v>63034.55254062936</v>
          </cell>
          <cell r="AL390">
            <v>106501.15219491272</v>
          </cell>
          <cell r="AM390">
            <v>149740.89701197759</v>
          </cell>
          <cell r="AN390">
            <v>193948.59341222676</v>
          </cell>
          <cell r="AO390">
            <v>238055.18891883254</v>
          </cell>
          <cell r="AP390">
            <v>280479.0780489163</v>
          </cell>
          <cell r="AQ390">
            <v>326753.23459276487</v>
          </cell>
          <cell r="AR390">
            <v>369772.33472576924</v>
          </cell>
          <cell r="AS390">
            <v>416940.04783623741</v>
          </cell>
          <cell r="AT390">
            <v>465942.5771406467</v>
          </cell>
          <cell r="AU390">
            <v>523638.04590205505</v>
          </cell>
          <cell r="AV390">
            <v>589838.59967890102</v>
          </cell>
          <cell r="AW390">
            <v>677329.94750905992</v>
          </cell>
          <cell r="AX390">
            <v>821381.42021443008</v>
          </cell>
          <cell r="AY390">
            <v>1123291.6029440917</v>
          </cell>
          <cell r="AZ390">
            <v>1934974.7001038827</v>
          </cell>
          <cell r="BA390">
            <v>2269294.9828835032</v>
          </cell>
          <cell r="BB390">
            <v>2269294.9828835032</v>
          </cell>
        </row>
        <row r="391">
          <cell r="A391" t="str">
            <v>PRED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15827.930028156783</v>
          </cell>
          <cell r="AI395">
            <v>15159.615174154678</v>
          </cell>
          <cell r="AJ395">
            <v>14475.129841687563</v>
          </cell>
          <cell r="AK395">
            <v>14184.742293071855</v>
          </cell>
          <cell r="AL395">
            <v>32296.232789229929</v>
          </cell>
          <cell r="AM395">
            <v>33011.30614557951</v>
          </cell>
          <cell r="AN395">
            <v>33614.389355776897</v>
          </cell>
          <cell r="AO395">
            <v>33732.916752452336</v>
          </cell>
          <cell r="AP395">
            <v>33028.913362460706</v>
          </cell>
          <cell r="AQ395">
            <v>34681.009578466088</v>
          </cell>
          <cell r="AR395">
            <v>33147.150965891422</v>
          </cell>
          <cell r="AS395">
            <v>36638.246254634782</v>
          </cell>
          <cell r="AT395">
            <v>36558.590989015487</v>
          </cell>
          <cell r="AU395">
            <v>40581.320161592805</v>
          </cell>
          <cell r="AV395">
            <v>40693.770173730511</v>
          </cell>
          <cell r="AW395">
            <v>52646.485210507526</v>
          </cell>
          <cell r="AX395">
            <v>1137874.1075848816</v>
          </cell>
          <cell r="AY395">
            <v>2120673.7985801841</v>
          </cell>
          <cell r="AZ395">
            <v>492704.13432302931</v>
          </cell>
          <cell r="BA395">
            <v>238570.46413015033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15827.930028156783</v>
          </cell>
          <cell r="AI396">
            <v>30987.545202311463</v>
          </cell>
          <cell r="AJ396">
            <v>45462.675043999028</v>
          </cell>
          <cell r="AK396">
            <v>59647.417337070881</v>
          </cell>
          <cell r="AL396">
            <v>32296.232789229929</v>
          </cell>
          <cell r="AM396">
            <v>65307.53893480944</v>
          </cell>
          <cell r="AN396">
            <v>98921.928290586337</v>
          </cell>
          <cell r="AO396">
            <v>132654.84504303866</v>
          </cell>
          <cell r="AP396">
            <v>33028.913362460706</v>
          </cell>
          <cell r="AQ396">
            <v>67709.922940926801</v>
          </cell>
          <cell r="AR396">
            <v>100857.07390681823</v>
          </cell>
          <cell r="AS396">
            <v>137495.32016145301</v>
          </cell>
          <cell r="AT396">
            <v>36558.590989015487</v>
          </cell>
          <cell r="AU396">
            <v>77139.911150608299</v>
          </cell>
          <cell r="AV396">
            <v>117833.6813243388</v>
          </cell>
          <cell r="AW396">
            <v>170480.16653484633</v>
          </cell>
          <cell r="AX396">
            <v>1137874.1075848816</v>
          </cell>
          <cell r="AY396">
            <v>3258547.9061650657</v>
          </cell>
          <cell r="AZ396">
            <v>3751252.040488095</v>
          </cell>
          <cell r="BA396">
            <v>3989822.5046182452</v>
          </cell>
          <cell r="BB396">
            <v>3989822.5046182452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15827.930028156783</v>
          </cell>
          <cell r="AI397">
            <v>30987.545202311463</v>
          </cell>
          <cell r="AJ397">
            <v>45462.675043999028</v>
          </cell>
          <cell r="AK397">
            <v>59647.417337070881</v>
          </cell>
          <cell r="AL397">
            <v>32296.232789229929</v>
          </cell>
          <cell r="AM397">
            <v>65307.53893480944</v>
          </cell>
          <cell r="AN397">
            <v>98921.928290586337</v>
          </cell>
          <cell r="AO397">
            <v>132654.84504303866</v>
          </cell>
          <cell r="AP397">
            <v>165683.75840549936</v>
          </cell>
          <cell r="AQ397">
            <v>200364.76798396546</v>
          </cell>
          <cell r="AR397">
            <v>233511.91894985689</v>
          </cell>
          <cell r="AS397">
            <v>270150.1652044917</v>
          </cell>
          <cell r="AT397">
            <v>306708.75619350717</v>
          </cell>
          <cell r="AU397">
            <v>347290.07635509997</v>
          </cell>
          <cell r="AV397">
            <v>387983.84652883047</v>
          </cell>
          <cell r="AW397">
            <v>440630.331739338</v>
          </cell>
          <cell r="AX397">
            <v>1578504.4393242197</v>
          </cell>
          <cell r="AY397">
            <v>3699178.2379044038</v>
          </cell>
          <cell r="AZ397">
            <v>4191882.3722274331</v>
          </cell>
          <cell r="BA397">
            <v>4430452.8363575833</v>
          </cell>
          <cell r="BB397">
            <v>4430452.8363575833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15827.930028156783</v>
          </cell>
          <cell r="AI398">
            <v>30987.545202311463</v>
          </cell>
          <cell r="AJ398">
            <v>45462.675043999028</v>
          </cell>
          <cell r="AK398">
            <v>59647.417337070881</v>
          </cell>
          <cell r="AL398">
            <v>91943.65012630081</v>
          </cell>
          <cell r="AM398">
            <v>124954.95627188032</v>
          </cell>
          <cell r="AN398">
            <v>158569.34562765723</v>
          </cell>
          <cell r="AO398">
            <v>192302.26238010958</v>
          </cell>
          <cell r="AP398">
            <v>225331.17574257028</v>
          </cell>
          <cell r="AQ398">
            <v>260012.18532103638</v>
          </cell>
          <cell r="AR398">
            <v>293159.33628692781</v>
          </cell>
          <cell r="AS398">
            <v>329797.58254156262</v>
          </cell>
          <cell r="AT398">
            <v>366356.17353057809</v>
          </cell>
          <cell r="AU398">
            <v>406937.49369217089</v>
          </cell>
          <cell r="AV398">
            <v>447631.26386590139</v>
          </cell>
          <cell r="AW398">
            <v>500277.74907640892</v>
          </cell>
          <cell r="AX398">
            <v>1638151.8566612904</v>
          </cell>
          <cell r="AY398">
            <v>3758825.6552414745</v>
          </cell>
          <cell r="AZ398">
            <v>4251529.7895645034</v>
          </cell>
          <cell r="BA398">
            <v>4490100.2536946535</v>
          </cell>
          <cell r="BB398">
            <v>4490100.2536946535</v>
          </cell>
        </row>
        <row r="399">
          <cell r="A399" t="str">
            <v>SPRT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32008.923261843942</v>
          </cell>
          <cell r="AI415">
            <v>31084.094007707681</v>
          </cell>
          <cell r="AJ415">
            <v>29650.22526550667</v>
          </cell>
          <cell r="AK415">
            <v>29938.727342641949</v>
          </cell>
          <cell r="AL415">
            <v>75762.832443513296</v>
          </cell>
          <cell r="AM415">
            <v>76251.050962644367</v>
          </cell>
          <cell r="AN415">
            <v>77822.085756026063</v>
          </cell>
          <cell r="AO415">
            <v>77839.512259058116</v>
          </cell>
          <cell r="AP415">
            <v>75452.802492544477</v>
          </cell>
          <cell r="AQ415">
            <v>80955.166122314695</v>
          </cell>
          <cell r="AR415">
            <v>76166.251098895824</v>
          </cell>
          <cell r="AS415">
            <v>83805.959365102972</v>
          </cell>
          <cell r="AT415">
            <v>85561.120293424785</v>
          </cell>
          <cell r="AU415">
            <v>98276.788923001135</v>
          </cell>
          <cell r="AV415">
            <v>106894.32395057651</v>
          </cell>
          <cell r="AW415">
            <v>140137.83304066648</v>
          </cell>
          <cell r="AX415">
            <v>1281925.5802902519</v>
          </cell>
          <cell r="AY415">
            <v>2422583.9813098456</v>
          </cell>
          <cell r="AZ415">
            <v>1304387.2314828206</v>
          </cell>
          <cell r="BA415">
            <v>572890.74690977065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32008.923261843942</v>
          </cell>
          <cell r="AI416">
            <v>63093.017269551623</v>
          </cell>
          <cell r="AJ416">
            <v>92743.242535058293</v>
          </cell>
          <cell r="AK416">
            <v>122681.96987770023</v>
          </cell>
          <cell r="AL416">
            <v>75762.832443513296</v>
          </cell>
          <cell r="AM416">
            <v>152013.88340615766</v>
          </cell>
          <cell r="AN416">
            <v>229835.9691621837</v>
          </cell>
          <cell r="AO416">
            <v>307675.48142124183</v>
          </cell>
          <cell r="AP416">
            <v>75452.802492544477</v>
          </cell>
          <cell r="AQ416">
            <v>156407.96861485916</v>
          </cell>
          <cell r="AR416">
            <v>232574.21971375501</v>
          </cell>
          <cell r="AS416">
            <v>316380.179078858</v>
          </cell>
          <cell r="AT416">
            <v>85561.120293424785</v>
          </cell>
          <cell r="AU416">
            <v>183837.90921642591</v>
          </cell>
          <cell r="AV416">
            <v>290732.23316700244</v>
          </cell>
          <cell r="AW416">
            <v>430870.06620766886</v>
          </cell>
          <cell r="AX416">
            <v>1281925.5802902519</v>
          </cell>
          <cell r="AY416">
            <v>3704509.5616000975</v>
          </cell>
          <cell r="AZ416">
            <v>5008896.793082918</v>
          </cell>
          <cell r="BA416">
            <v>5581787.5399926882</v>
          </cell>
          <cell r="BB416">
            <v>5581787.5399926882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32008.923261843942</v>
          </cell>
          <cell r="AI417">
            <v>63093.017269551623</v>
          </cell>
          <cell r="AJ417">
            <v>92743.242535058293</v>
          </cell>
          <cell r="AK417">
            <v>122681.96987770023</v>
          </cell>
          <cell r="AL417">
            <v>75762.832443513296</v>
          </cell>
          <cell r="AM417">
            <v>152013.88340615766</v>
          </cell>
          <cell r="AN417">
            <v>229835.9691621837</v>
          </cell>
          <cell r="AO417">
            <v>307675.48142124183</v>
          </cell>
          <cell r="AP417">
            <v>383128.28391378629</v>
          </cell>
          <cell r="AQ417">
            <v>464083.45003610104</v>
          </cell>
          <cell r="AR417">
            <v>540249.70113499684</v>
          </cell>
          <cell r="AS417">
            <v>624055.66050009988</v>
          </cell>
          <cell r="AT417">
            <v>709616.78079352458</v>
          </cell>
          <cell r="AU417">
            <v>807893.56971652573</v>
          </cell>
          <cell r="AV417">
            <v>914787.89366710221</v>
          </cell>
          <cell r="AW417">
            <v>1054925.7267077686</v>
          </cell>
          <cell r="AX417">
            <v>2336851.3069980205</v>
          </cell>
          <cell r="AY417">
            <v>4759435.2883078661</v>
          </cell>
          <cell r="AZ417">
            <v>6063822.5197906867</v>
          </cell>
          <cell r="BA417">
            <v>6636713.2667004578</v>
          </cell>
          <cell r="BB417">
            <v>6636713.2667004578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32008.923261843942</v>
          </cell>
          <cell r="AI418">
            <v>63093.017269551623</v>
          </cell>
          <cell r="AJ418">
            <v>92743.242535058293</v>
          </cell>
          <cell r="AK418">
            <v>122681.96987770023</v>
          </cell>
          <cell r="AL418">
            <v>198444.80232121353</v>
          </cell>
          <cell r="AM418">
            <v>274695.85328385793</v>
          </cell>
          <cell r="AN418">
            <v>352517.93903988402</v>
          </cell>
          <cell r="AO418">
            <v>430357.45129894209</v>
          </cell>
          <cell r="AP418">
            <v>505810.25379148661</v>
          </cell>
          <cell r="AQ418">
            <v>586765.41991380125</v>
          </cell>
          <cell r="AR418">
            <v>662931.67101269704</v>
          </cell>
          <cell r="AS418">
            <v>746737.63037779997</v>
          </cell>
          <cell r="AT418">
            <v>832298.75067122479</v>
          </cell>
          <cell r="AU418">
            <v>930575.53959422593</v>
          </cell>
          <cell r="AV418">
            <v>1037469.8635448024</v>
          </cell>
          <cell r="AW418">
            <v>1177607.6965854689</v>
          </cell>
          <cell r="AX418">
            <v>2459533.2768757204</v>
          </cell>
          <cell r="AY418">
            <v>4882117.2581855664</v>
          </cell>
          <cell r="AZ418">
            <v>6186504.4896683861</v>
          </cell>
          <cell r="BA418">
            <v>6759395.2365781572</v>
          </cell>
          <cell r="BB418">
            <v>6759395.2365781572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388355.24368095701</v>
          </cell>
          <cell r="C425">
            <v>351041.06008630426</v>
          </cell>
          <cell r="D425">
            <v>321326.28473009908</v>
          </cell>
          <cell r="E425">
            <v>330524.82783376164</v>
          </cell>
          <cell r="F425">
            <v>371525.89637136657</v>
          </cell>
          <cell r="G425">
            <v>521234.25968449528</v>
          </cell>
          <cell r="H425">
            <v>504675.1812529274</v>
          </cell>
          <cell r="I425">
            <v>449287.35088448919</v>
          </cell>
          <cell r="J425">
            <v>682746.57173533144</v>
          </cell>
          <cell r="K425">
            <v>547058.69764895272</v>
          </cell>
          <cell r="L425">
            <v>557925.05144243303</v>
          </cell>
          <cell r="M425">
            <v>575457.68960963318</v>
          </cell>
          <cell r="N425">
            <v>580046.87295371876</v>
          </cell>
          <cell r="O425">
            <v>589253.58706715098</v>
          </cell>
          <cell r="P425">
            <v>745712.13759634772</v>
          </cell>
          <cell r="Q425">
            <v>509459.45059024275</v>
          </cell>
          <cell r="R425">
            <v>666095.92575791199</v>
          </cell>
          <cell r="S425">
            <v>763674.46249713236</v>
          </cell>
          <cell r="T425">
            <v>1269322.0952319752</v>
          </cell>
          <cell r="U425">
            <v>804995.95955309784</v>
          </cell>
          <cell r="V425">
            <v>788178.57351100491</v>
          </cell>
          <cell r="W425">
            <v>806589.78429933253</v>
          </cell>
          <cell r="X425">
            <v>1157814.2734860582</v>
          </cell>
          <cell r="Y425">
            <v>961728.67229501123</v>
          </cell>
          <cell r="Z425">
            <v>1295159.9083485927</v>
          </cell>
          <cell r="AA425">
            <v>1077150.1521891092</v>
          </cell>
          <cell r="AB425">
            <v>1284794.0531021964</v>
          </cell>
          <cell r="AC425">
            <v>932668.78477109247</v>
          </cell>
          <cell r="AD425">
            <v>1090006.0323737124</v>
          </cell>
          <cell r="AE425">
            <v>1062944.3877609628</v>
          </cell>
          <cell r="AF425">
            <v>1246441.0158173132</v>
          </cell>
          <cell r="AG425">
            <v>1088622.5771817681</v>
          </cell>
          <cell r="AH425">
            <v>1205239.4894147366</v>
          </cell>
          <cell r="AI425">
            <v>1285476.3433240568</v>
          </cell>
          <cell r="AJ425">
            <v>1499121.4234111018</v>
          </cell>
          <cell r="AK425">
            <v>1457822.5288814656</v>
          </cell>
          <cell r="AL425">
            <v>1605075.3638095516</v>
          </cell>
          <cell r="AM425">
            <v>1440372.0876322875</v>
          </cell>
          <cell r="AN425">
            <v>1773091.1781417588</v>
          </cell>
          <cell r="AO425">
            <v>1423806.7462513177</v>
          </cell>
          <cell r="AP425">
            <v>1391709.5733344581</v>
          </cell>
          <cell r="AQ425">
            <v>1416541.1530186813</v>
          </cell>
          <cell r="AR425">
            <v>1655035.0245349677</v>
          </cell>
          <cell r="AS425">
            <v>1578013.6711497221</v>
          </cell>
          <cell r="AT425">
            <v>2040566.3816897392</v>
          </cell>
          <cell r="AU425">
            <v>2640701.160079747</v>
          </cell>
          <cell r="AV425">
            <v>2865065.8029975737</v>
          </cell>
          <cell r="AW425">
            <v>2877232.9330163687</v>
          </cell>
          <cell r="AX425">
            <v>4752931.2074692855</v>
          </cell>
          <cell r="AY425">
            <v>11509418.746699845</v>
          </cell>
          <cell r="AZ425">
            <v>26431113.237911735</v>
          </cell>
          <cell r="BA425">
            <v>12413231.168475272</v>
          </cell>
          <cell r="BB425">
            <v>0</v>
          </cell>
        </row>
        <row r="426">
          <cell r="A426" t="str">
            <v>ptd</v>
          </cell>
          <cell r="B426">
            <v>388355.24368095701</v>
          </cell>
          <cell r="C426">
            <v>739396.30376726133</v>
          </cell>
          <cell r="D426">
            <v>1060722.5884973605</v>
          </cell>
          <cell r="E426">
            <v>1391247.4163311222</v>
          </cell>
          <cell r="F426">
            <v>371525.89637136657</v>
          </cell>
          <cell r="G426">
            <v>892760.15605586185</v>
          </cell>
          <cell r="H426">
            <v>1397435.3373087891</v>
          </cell>
          <cell r="I426">
            <v>1846722.6881932784</v>
          </cell>
          <cell r="J426">
            <v>682746.57173533144</v>
          </cell>
          <cell r="K426">
            <v>1229805.269384284</v>
          </cell>
          <cell r="L426">
            <v>1787730.3208267172</v>
          </cell>
          <cell r="M426">
            <v>2363188.0104363505</v>
          </cell>
          <cell r="N426">
            <v>580046.87295371876</v>
          </cell>
          <cell r="O426">
            <v>1169300.4600208697</v>
          </cell>
          <cell r="P426">
            <v>1915012.5976172173</v>
          </cell>
          <cell r="Q426">
            <v>2424472.04820746</v>
          </cell>
          <cell r="R426">
            <v>666095.92575791199</v>
          </cell>
          <cell r="S426">
            <v>1429770.3882550444</v>
          </cell>
          <cell r="T426">
            <v>2699092.4834870193</v>
          </cell>
          <cell r="U426">
            <v>3504088.4430401172</v>
          </cell>
          <cell r="V426">
            <v>788178.57351100491</v>
          </cell>
          <cell r="W426">
            <v>1594768.3578103376</v>
          </cell>
          <cell r="X426">
            <v>2752582.6312963958</v>
          </cell>
          <cell r="Y426">
            <v>3714311.3035914069</v>
          </cell>
          <cell r="Z426">
            <v>1295159.9083485927</v>
          </cell>
          <cell r="AA426">
            <v>2372310.0605377019</v>
          </cell>
          <cell r="AB426">
            <v>3657104.1136398986</v>
          </cell>
          <cell r="AC426">
            <v>4589772.8984109908</v>
          </cell>
          <cell r="AD426">
            <v>1090006.0323737124</v>
          </cell>
          <cell r="AE426">
            <v>2152950.4201346752</v>
          </cell>
          <cell r="AF426">
            <v>3399391.4359519882</v>
          </cell>
          <cell r="AG426">
            <v>4488014.0131337568</v>
          </cell>
          <cell r="AH426">
            <v>1205239.4894147366</v>
          </cell>
          <cell r="AI426">
            <v>2490715.8327387935</v>
          </cell>
          <cell r="AJ426">
            <v>3989837.2561498955</v>
          </cell>
          <cell r="AK426">
            <v>5447659.7850313615</v>
          </cell>
          <cell r="AL426">
            <v>1605075.3638095516</v>
          </cell>
          <cell r="AM426">
            <v>3045447.4514418393</v>
          </cell>
          <cell r="AN426">
            <v>4818538.6295835981</v>
          </cell>
          <cell r="AO426">
            <v>6242345.3758349158</v>
          </cell>
          <cell r="AP426">
            <v>1391709.5733344581</v>
          </cell>
          <cell r="AQ426">
            <v>2808250.7263531396</v>
          </cell>
          <cell r="AR426">
            <v>4463285.7508881073</v>
          </cell>
          <cell r="AS426">
            <v>6041299.4220378296</v>
          </cell>
          <cell r="AT426">
            <v>2040566.3816897392</v>
          </cell>
          <cell r="AU426">
            <v>4681267.5417694859</v>
          </cell>
          <cell r="AV426">
            <v>7546333.3447670601</v>
          </cell>
          <cell r="AW426">
            <v>10423566.277783429</v>
          </cell>
          <cell r="AX426">
            <v>4752931.2074692855</v>
          </cell>
          <cell r="AY426">
            <v>16262349.954169132</v>
          </cell>
          <cell r="AZ426">
            <v>42693463.19208087</v>
          </cell>
          <cell r="BA426">
            <v>55106694.360556141</v>
          </cell>
          <cell r="BB426">
            <v>55106694.360556141</v>
          </cell>
        </row>
        <row r="427">
          <cell r="A427" t="str">
            <v>qtd</v>
          </cell>
          <cell r="B427">
            <v>388355.24368095701</v>
          </cell>
          <cell r="C427">
            <v>739396.30376726133</v>
          </cell>
          <cell r="D427">
            <v>1060722.5884973605</v>
          </cell>
          <cell r="E427">
            <v>1391247.4163311222</v>
          </cell>
          <cell r="F427">
            <v>1762773.3127024886</v>
          </cell>
          <cell r="G427">
            <v>2284007.5723869838</v>
          </cell>
          <cell r="H427">
            <v>2788682.7536399113</v>
          </cell>
          <cell r="I427">
            <v>3237970.1045244006</v>
          </cell>
          <cell r="J427">
            <v>3920716.6762597319</v>
          </cell>
          <cell r="K427">
            <v>4467775.3739086846</v>
          </cell>
          <cell r="L427">
            <v>5025700.4253511177</v>
          </cell>
          <cell r="M427">
            <v>5601158.1149607506</v>
          </cell>
          <cell r="N427">
            <v>580046.87295371876</v>
          </cell>
          <cell r="O427">
            <v>1169300.4600208697</v>
          </cell>
          <cell r="P427">
            <v>1915012.5976172173</v>
          </cell>
          <cell r="Q427">
            <v>2424472.04820746</v>
          </cell>
          <cell r="R427">
            <v>3090567.973965372</v>
          </cell>
          <cell r="S427">
            <v>3854242.4364625043</v>
          </cell>
          <cell r="T427">
            <v>5123564.5316944793</v>
          </cell>
          <cell r="U427">
            <v>5928560.4912475776</v>
          </cell>
          <cell r="V427">
            <v>6716739.064758582</v>
          </cell>
          <cell r="W427">
            <v>7523328.8490579147</v>
          </cell>
          <cell r="X427">
            <v>8681143.122543972</v>
          </cell>
          <cell r="Y427">
            <v>9642871.7948389836</v>
          </cell>
          <cell r="Z427">
            <v>1295159.9083485927</v>
          </cell>
          <cell r="AA427">
            <v>2372310.0605377019</v>
          </cell>
          <cell r="AB427">
            <v>3657104.1136398986</v>
          </cell>
          <cell r="AC427">
            <v>4589772.8984109908</v>
          </cell>
          <cell r="AD427">
            <v>5679778.9307847032</v>
          </cell>
          <cell r="AE427">
            <v>6742723.3185456656</v>
          </cell>
          <cell r="AF427">
            <v>7989164.334362979</v>
          </cell>
          <cell r="AG427">
            <v>9077786.9115447477</v>
          </cell>
          <cell r="AH427">
            <v>10283026.400959484</v>
          </cell>
          <cell r="AI427">
            <v>11568502.744283542</v>
          </cell>
          <cell r="AJ427">
            <v>13067624.167694643</v>
          </cell>
          <cell r="AK427">
            <v>14525446.696576109</v>
          </cell>
          <cell r="AL427">
            <v>1605075.3638095516</v>
          </cell>
          <cell r="AM427">
            <v>3045447.4514418393</v>
          </cell>
          <cell r="AN427">
            <v>4818538.6295835981</v>
          </cell>
          <cell r="AO427">
            <v>6242345.3758349158</v>
          </cell>
          <cell r="AP427">
            <v>7634054.9491693741</v>
          </cell>
          <cell r="AQ427">
            <v>9050596.1021880545</v>
          </cell>
          <cell r="AR427">
            <v>10705631.126723021</v>
          </cell>
          <cell r="AS427">
            <v>12283644.797872743</v>
          </cell>
          <cell r="AT427">
            <v>14324211.179562481</v>
          </cell>
          <cell r="AU427">
            <v>16964912.339642227</v>
          </cell>
          <cell r="AV427">
            <v>19829978.142639801</v>
          </cell>
          <cell r="AW427">
            <v>22707211.075656168</v>
          </cell>
          <cell r="AX427">
            <v>27460142.283125453</v>
          </cell>
          <cell r="AY427">
            <v>38969561.0298253</v>
          </cell>
          <cell r="AZ427">
            <v>65400674.267737031</v>
          </cell>
          <cell r="BA427">
            <v>77813905.436212301</v>
          </cell>
          <cell r="BB427">
            <v>77813905.436212301</v>
          </cell>
        </row>
        <row r="428">
          <cell r="A428" t="str">
            <v>ytd</v>
          </cell>
          <cell r="B428">
            <v>388355.24368095701</v>
          </cell>
          <cell r="C428">
            <v>739396.30376726133</v>
          </cell>
          <cell r="D428">
            <v>1060722.5884973605</v>
          </cell>
          <cell r="E428">
            <v>1391247.4163311222</v>
          </cell>
          <cell r="F428">
            <v>1762773.3127024886</v>
          </cell>
          <cell r="G428">
            <v>2284007.5723869838</v>
          </cell>
          <cell r="H428">
            <v>2788682.7536399113</v>
          </cell>
          <cell r="I428">
            <v>3237970.1045244006</v>
          </cell>
          <cell r="J428">
            <v>3920716.6762597319</v>
          </cell>
          <cell r="K428">
            <v>4467775.3739086846</v>
          </cell>
          <cell r="L428">
            <v>5025700.4253511177</v>
          </cell>
          <cell r="M428">
            <v>5601158.1149607506</v>
          </cell>
          <cell r="N428">
            <v>6181204.9879144691</v>
          </cell>
          <cell r="O428">
            <v>6770458.5749816205</v>
          </cell>
          <cell r="P428">
            <v>7516170.7125779679</v>
          </cell>
          <cell r="Q428">
            <v>8025630.1631682105</v>
          </cell>
          <cell r="R428">
            <v>8691726.0889261216</v>
          </cell>
          <cell r="S428">
            <v>9455400.5514232535</v>
          </cell>
          <cell r="T428">
            <v>10724722.646655228</v>
          </cell>
          <cell r="U428">
            <v>11529718.606208326</v>
          </cell>
          <cell r="V428">
            <v>12317897.179719331</v>
          </cell>
          <cell r="W428">
            <v>13124486.964018663</v>
          </cell>
          <cell r="X428">
            <v>14282301.237504721</v>
          </cell>
          <cell r="Y428">
            <v>15244029.909799732</v>
          </cell>
          <cell r="Z428">
            <v>16539189.818148324</v>
          </cell>
          <cell r="AA428">
            <v>17616339.970337432</v>
          </cell>
          <cell r="AB428">
            <v>18901134.023439627</v>
          </cell>
          <cell r="AC428">
            <v>19833802.808210719</v>
          </cell>
          <cell r="AD428">
            <v>20923808.840584431</v>
          </cell>
          <cell r="AE428">
            <v>21986753.228345394</v>
          </cell>
          <cell r="AF428">
            <v>23233194.244162709</v>
          </cell>
          <cell r="AG428">
            <v>24321816.821344476</v>
          </cell>
          <cell r="AH428">
            <v>25527056.310759213</v>
          </cell>
          <cell r="AI428">
            <v>26812532.654083271</v>
          </cell>
          <cell r="AJ428">
            <v>28311654.077494372</v>
          </cell>
          <cell r="AK428">
            <v>29769476.606375836</v>
          </cell>
          <cell r="AL428">
            <v>31374551.970185388</v>
          </cell>
          <cell r="AM428">
            <v>32814924.057817675</v>
          </cell>
          <cell r="AN428">
            <v>34588015.235959433</v>
          </cell>
          <cell r="AO428">
            <v>36011821.982210748</v>
          </cell>
          <cell r="AP428">
            <v>37403531.555545203</v>
          </cell>
          <cell r="AQ428">
            <v>38820072.708563887</v>
          </cell>
          <cell r="AR428">
            <v>40475107.733098857</v>
          </cell>
          <cell r="AS428">
            <v>42053121.40424858</v>
          </cell>
          <cell r="AT428">
            <v>44093687.785938323</v>
          </cell>
          <cell r="AU428">
            <v>46734388.94601807</v>
          </cell>
          <cell r="AV428">
            <v>49599454.749015644</v>
          </cell>
          <cell r="AW428">
            <v>52476687.682032011</v>
          </cell>
          <cell r="AX428">
            <v>57229618.889501296</v>
          </cell>
          <cell r="AY428">
            <v>68739037.636201143</v>
          </cell>
          <cell r="AZ428">
            <v>95170150.874112874</v>
          </cell>
          <cell r="BA428">
            <v>107583382.04258814</v>
          </cell>
          <cell r="BB428">
            <v>107583382.04258814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154720.79713068012</v>
          </cell>
          <cell r="C433">
            <v>194076.84950012006</v>
          </cell>
          <cell r="D433">
            <v>159404.85582144535</v>
          </cell>
          <cell r="E433">
            <v>149502.11481078033</v>
          </cell>
          <cell r="F433">
            <v>157153.92663946532</v>
          </cell>
          <cell r="G433">
            <v>185682.57531584427</v>
          </cell>
          <cell r="H433">
            <v>188768.6739429161</v>
          </cell>
          <cell r="I433">
            <v>211296.47624476557</v>
          </cell>
          <cell r="J433">
            <v>238149.14702353126</v>
          </cell>
          <cell r="K433">
            <v>210731.20380673878</v>
          </cell>
          <cell r="L433">
            <v>219586.36288588771</v>
          </cell>
          <cell r="M433">
            <v>215193.77207656688</v>
          </cell>
          <cell r="N433">
            <v>204712.36010071111</v>
          </cell>
          <cell r="O433">
            <v>248840.97217742488</v>
          </cell>
          <cell r="P433">
            <v>381060.71057272906</v>
          </cell>
          <cell r="Q433">
            <v>236084.7732420814</v>
          </cell>
          <cell r="R433">
            <v>233549.93045153303</v>
          </cell>
          <cell r="S433">
            <v>262326.9108381492</v>
          </cell>
          <cell r="T433">
            <v>526431.45383458154</v>
          </cell>
          <cell r="U433">
            <v>269050.53767320147</v>
          </cell>
          <cell r="V433">
            <v>276884.43476350082</v>
          </cell>
          <cell r="W433">
            <v>317415.85557531728</v>
          </cell>
          <cell r="X433">
            <v>517760.7666833176</v>
          </cell>
          <cell r="Y433">
            <v>297742.64924462658</v>
          </cell>
          <cell r="Z433">
            <v>292101.68369073502</v>
          </cell>
          <cell r="AA433">
            <v>315823.33229754213</v>
          </cell>
          <cell r="AB433">
            <v>434700.49109763309</v>
          </cell>
          <cell r="AC433">
            <v>278535.47674899263</v>
          </cell>
          <cell r="AD433">
            <v>300999.86572017084</v>
          </cell>
          <cell r="AE433">
            <v>305456.05871833168</v>
          </cell>
          <cell r="AF433">
            <v>455345.24640894803</v>
          </cell>
          <cell r="AG433">
            <v>326443.78699144215</v>
          </cell>
          <cell r="AH433">
            <v>339386.19216576597</v>
          </cell>
          <cell r="AI433">
            <v>321861.43523073616</v>
          </cell>
          <cell r="AJ433">
            <v>453302.67664637952</v>
          </cell>
          <cell r="AK433">
            <v>474116.4915322091</v>
          </cell>
          <cell r="AL433">
            <v>427528.58299859322</v>
          </cell>
          <cell r="AM433">
            <v>430168.42362827453</v>
          </cell>
          <cell r="AN433">
            <v>573260.91146485833</v>
          </cell>
          <cell r="AO433">
            <v>443997.81132701255</v>
          </cell>
          <cell r="AP433">
            <v>426484.33791069011</v>
          </cell>
          <cell r="AQ433">
            <v>485792.33610083786</v>
          </cell>
          <cell r="AR433">
            <v>576302.77160836069</v>
          </cell>
          <cell r="AS433">
            <v>475214.07194855728</v>
          </cell>
          <cell r="AT433">
            <v>494912.05307073216</v>
          </cell>
          <cell r="AU433">
            <v>576205.95794873824</v>
          </cell>
          <cell r="AV433">
            <v>847564.51557565969</v>
          </cell>
          <cell r="AW433">
            <v>820550.78932114574</v>
          </cell>
          <cell r="AX433">
            <v>2326802.0487725767</v>
          </cell>
          <cell r="AY433">
            <v>5464585.1816658136</v>
          </cell>
          <cell r="AZ433">
            <v>6962798.4828244317</v>
          </cell>
          <cell r="BA433">
            <v>2886241.6780881118</v>
          </cell>
          <cell r="BB433">
            <v>0</v>
          </cell>
        </row>
        <row r="434">
          <cell r="A434" t="str">
            <v>ptd</v>
          </cell>
          <cell r="B434">
            <v>154720.79713068012</v>
          </cell>
          <cell r="C434">
            <v>348797.64663080021</v>
          </cell>
          <cell r="D434">
            <v>508202.50245224556</v>
          </cell>
          <cell r="E434">
            <v>657704.61726302584</v>
          </cell>
          <cell r="F434">
            <v>157153.92663946532</v>
          </cell>
          <cell r="G434">
            <v>342836.50195530959</v>
          </cell>
          <cell r="H434">
            <v>531605.17589822575</v>
          </cell>
          <cell r="I434">
            <v>742901.65214299131</v>
          </cell>
          <cell r="J434">
            <v>238149.14702353126</v>
          </cell>
          <cell r="K434">
            <v>448880.35083027004</v>
          </cell>
          <cell r="L434">
            <v>668466.71371615771</v>
          </cell>
          <cell r="M434">
            <v>883660.48579272465</v>
          </cell>
          <cell r="N434">
            <v>204712.36010071111</v>
          </cell>
          <cell r="O434">
            <v>453553.33227813599</v>
          </cell>
          <cell r="P434">
            <v>834614.04285086505</v>
          </cell>
          <cell r="Q434">
            <v>1070698.8160929466</v>
          </cell>
          <cell r="R434">
            <v>233549.93045153303</v>
          </cell>
          <cell r="S434">
            <v>495876.8412896822</v>
          </cell>
          <cell r="T434">
            <v>1022308.2951242637</v>
          </cell>
          <cell r="U434">
            <v>1291358.8327974651</v>
          </cell>
          <cell r="V434">
            <v>276884.43476350082</v>
          </cell>
          <cell r="W434">
            <v>594300.2903388181</v>
          </cell>
          <cell r="X434">
            <v>1112061.0570221357</v>
          </cell>
          <cell r="Y434">
            <v>1409803.7062667622</v>
          </cell>
          <cell r="Z434">
            <v>292101.68369073502</v>
          </cell>
          <cell r="AA434">
            <v>607925.01598827715</v>
          </cell>
          <cell r="AB434">
            <v>1042625.5070859103</v>
          </cell>
          <cell r="AC434">
            <v>1321160.983834903</v>
          </cell>
          <cell r="AD434">
            <v>300999.86572017084</v>
          </cell>
          <cell r="AE434">
            <v>606455.92443850252</v>
          </cell>
          <cell r="AF434">
            <v>1061801.1708474506</v>
          </cell>
          <cell r="AG434">
            <v>1388244.9578388927</v>
          </cell>
          <cell r="AH434">
            <v>339386.19216576597</v>
          </cell>
          <cell r="AI434">
            <v>661247.62739650207</v>
          </cell>
          <cell r="AJ434">
            <v>1114550.3040428816</v>
          </cell>
          <cell r="AK434">
            <v>1588666.7955750907</v>
          </cell>
          <cell r="AL434">
            <v>427528.58299859322</v>
          </cell>
          <cell r="AM434">
            <v>857697.00662686769</v>
          </cell>
          <cell r="AN434">
            <v>1430957.918091726</v>
          </cell>
          <cell r="AO434">
            <v>1874955.7294187385</v>
          </cell>
          <cell r="AP434">
            <v>426484.33791069011</v>
          </cell>
          <cell r="AQ434">
            <v>912276.67401152803</v>
          </cell>
          <cell r="AR434">
            <v>1488579.4456198886</v>
          </cell>
          <cell r="AS434">
            <v>1963793.5175684458</v>
          </cell>
          <cell r="AT434">
            <v>494912.05307073216</v>
          </cell>
          <cell r="AU434">
            <v>1071118.0110194704</v>
          </cell>
          <cell r="AV434">
            <v>1918682.5265951301</v>
          </cell>
          <cell r="AW434">
            <v>2739233.3159162756</v>
          </cell>
          <cell r="AX434">
            <v>2326802.0487725767</v>
          </cell>
          <cell r="AY434">
            <v>7791387.2304383907</v>
          </cell>
          <cell r="AZ434">
            <v>14754185.713262822</v>
          </cell>
          <cell r="BA434">
            <v>17640427.391350932</v>
          </cell>
          <cell r="BB434">
            <v>17640427.391350932</v>
          </cell>
        </row>
        <row r="435">
          <cell r="A435" t="str">
            <v>qtd</v>
          </cell>
          <cell r="B435">
            <v>154720.79713068012</v>
          </cell>
          <cell r="C435">
            <v>348797.64663080021</v>
          </cell>
          <cell r="D435">
            <v>508202.50245224556</v>
          </cell>
          <cell r="E435">
            <v>657704.61726302584</v>
          </cell>
          <cell r="F435">
            <v>814858.54390249122</v>
          </cell>
          <cell r="G435">
            <v>1000541.1192183355</v>
          </cell>
          <cell r="H435">
            <v>1189309.7931612516</v>
          </cell>
          <cell r="I435">
            <v>1400606.2694060171</v>
          </cell>
          <cell r="J435">
            <v>1638755.4164295485</v>
          </cell>
          <cell r="K435">
            <v>1849486.6202362874</v>
          </cell>
          <cell r="L435">
            <v>2069072.9831221751</v>
          </cell>
          <cell r="M435">
            <v>2284266.7551987418</v>
          </cell>
          <cell r="N435">
            <v>204712.36010071111</v>
          </cell>
          <cell r="O435">
            <v>453553.33227813599</v>
          </cell>
          <cell r="P435">
            <v>834614.04285086505</v>
          </cell>
          <cell r="Q435">
            <v>1070698.8160929466</v>
          </cell>
          <cell r="R435">
            <v>1304248.7465444796</v>
          </cell>
          <cell r="S435">
            <v>1566575.6573826289</v>
          </cell>
          <cell r="T435">
            <v>2093007.1112172105</v>
          </cell>
          <cell r="U435">
            <v>2362057.6488904119</v>
          </cell>
          <cell r="V435">
            <v>2638942.0836539129</v>
          </cell>
          <cell r="W435">
            <v>2956357.9392292304</v>
          </cell>
          <cell r="X435">
            <v>3474118.7059125481</v>
          </cell>
          <cell r="Y435">
            <v>3771861.3551571746</v>
          </cell>
          <cell r="Z435">
            <v>292101.68369073502</v>
          </cell>
          <cell r="AA435">
            <v>607925.01598827715</v>
          </cell>
          <cell r="AB435">
            <v>1042625.5070859103</v>
          </cell>
          <cell r="AC435">
            <v>1321160.983834903</v>
          </cell>
          <cell r="AD435">
            <v>1622160.8495550738</v>
          </cell>
          <cell r="AE435">
            <v>1927616.9082734054</v>
          </cell>
          <cell r="AF435">
            <v>2382962.1546823536</v>
          </cell>
          <cell r="AG435">
            <v>2709405.9416737957</v>
          </cell>
          <cell r="AH435">
            <v>3048792.1338395616</v>
          </cell>
          <cell r="AI435">
            <v>3370653.5690702978</v>
          </cell>
          <cell r="AJ435">
            <v>3823956.245716677</v>
          </cell>
          <cell r="AK435">
            <v>4298072.7372488864</v>
          </cell>
          <cell r="AL435">
            <v>427528.58299859322</v>
          </cell>
          <cell r="AM435">
            <v>857697.00662686769</v>
          </cell>
          <cell r="AN435">
            <v>1430957.918091726</v>
          </cell>
          <cell r="AO435">
            <v>1874955.7294187385</v>
          </cell>
          <cell r="AP435">
            <v>2301440.0673294286</v>
          </cell>
          <cell r="AQ435">
            <v>2787232.4034302663</v>
          </cell>
          <cell r="AR435">
            <v>3363535.1750386269</v>
          </cell>
          <cell r="AS435">
            <v>3838749.246987184</v>
          </cell>
          <cell r="AT435">
            <v>4333661.300057916</v>
          </cell>
          <cell r="AU435">
            <v>4909867.2580066547</v>
          </cell>
          <cell r="AV435">
            <v>5757431.7735823141</v>
          </cell>
          <cell r="AW435">
            <v>6577982.5629034601</v>
          </cell>
          <cell r="AX435">
            <v>8904784.6116760373</v>
          </cell>
          <cell r="AY435">
            <v>14369369.793341851</v>
          </cell>
          <cell r="AZ435">
            <v>21332168.276166283</v>
          </cell>
          <cell r="BA435">
            <v>24218409.954254396</v>
          </cell>
          <cell r="BB435">
            <v>24218409.954254396</v>
          </cell>
        </row>
        <row r="436">
          <cell r="A436" t="str">
            <v>ytd</v>
          </cell>
          <cell r="B436">
            <v>154720.79713068012</v>
          </cell>
          <cell r="C436">
            <v>348797.64663080021</v>
          </cell>
          <cell r="D436">
            <v>508202.50245224556</v>
          </cell>
          <cell r="E436">
            <v>657704.61726302584</v>
          </cell>
          <cell r="F436">
            <v>814858.54390249122</v>
          </cell>
          <cell r="G436">
            <v>1000541.1192183355</v>
          </cell>
          <cell r="H436">
            <v>1189309.7931612516</v>
          </cell>
          <cell r="I436">
            <v>1400606.2694060171</v>
          </cell>
          <cell r="J436">
            <v>1638755.4164295485</v>
          </cell>
          <cell r="K436">
            <v>1849486.6202362874</v>
          </cell>
          <cell r="L436">
            <v>2069072.9831221751</v>
          </cell>
          <cell r="M436">
            <v>2284266.7551987418</v>
          </cell>
          <cell r="N436">
            <v>2488979.115299453</v>
          </cell>
          <cell r="O436">
            <v>2737820.087476878</v>
          </cell>
          <cell r="P436">
            <v>3118880.7980496068</v>
          </cell>
          <cell r="Q436">
            <v>3354965.5712916884</v>
          </cell>
          <cell r="R436">
            <v>3588515.5017432212</v>
          </cell>
          <cell r="S436">
            <v>3850842.4125813702</v>
          </cell>
          <cell r="T436">
            <v>4377273.8664159514</v>
          </cell>
          <cell r="U436">
            <v>4646324.4040891528</v>
          </cell>
          <cell r="V436">
            <v>4923208.8388526533</v>
          </cell>
          <cell r="W436">
            <v>5240624.6944279708</v>
          </cell>
          <cell r="X436">
            <v>5758385.4611112885</v>
          </cell>
          <cell r="Y436">
            <v>6056128.1103559155</v>
          </cell>
          <cell r="Z436">
            <v>6348229.7940466506</v>
          </cell>
          <cell r="AA436">
            <v>6664053.1263441928</v>
          </cell>
          <cell r="AB436">
            <v>7098753.6174418256</v>
          </cell>
          <cell r="AC436">
            <v>7377289.0941908183</v>
          </cell>
          <cell r="AD436">
            <v>7678288.9599109888</v>
          </cell>
          <cell r="AE436">
            <v>7983745.0186293209</v>
          </cell>
          <cell r="AF436">
            <v>8439090.2650382686</v>
          </cell>
          <cell r="AG436">
            <v>8765534.0520297103</v>
          </cell>
          <cell r="AH436">
            <v>9104920.2441954762</v>
          </cell>
          <cell r="AI436">
            <v>9426781.6794262119</v>
          </cell>
          <cell r="AJ436">
            <v>9880084.3560725916</v>
          </cell>
          <cell r="AK436">
            <v>10354200.8476048</v>
          </cell>
          <cell r="AL436">
            <v>10781729.430603392</v>
          </cell>
          <cell r="AM436">
            <v>11211897.854231667</v>
          </cell>
          <cell r="AN436">
            <v>11785158.765696526</v>
          </cell>
          <cell r="AO436">
            <v>12229156.577023538</v>
          </cell>
          <cell r="AP436">
            <v>12655640.914934227</v>
          </cell>
          <cell r="AQ436">
            <v>13141433.251035064</v>
          </cell>
          <cell r="AR436">
            <v>13717736.022643425</v>
          </cell>
          <cell r="AS436">
            <v>14192950.094591983</v>
          </cell>
          <cell r="AT436">
            <v>14687862.147662714</v>
          </cell>
          <cell r="AU436">
            <v>15264068.105611453</v>
          </cell>
          <cell r="AV436">
            <v>16111632.621187113</v>
          </cell>
          <cell r="AW436">
            <v>16932183.41050826</v>
          </cell>
          <cell r="AX436">
            <v>19258985.459280837</v>
          </cell>
          <cell r="AY436">
            <v>24723570.640946649</v>
          </cell>
          <cell r="AZ436">
            <v>31686369.123771079</v>
          </cell>
          <cell r="BA436">
            <v>34572610.801859193</v>
          </cell>
          <cell r="BB436">
            <v>34572610.801859193</v>
          </cell>
        </row>
        <row r="437">
          <cell r="A437" t="str">
            <v>SPRT</v>
          </cell>
          <cell r="B437">
            <v>6067.4546174241423</v>
          </cell>
          <cell r="C437">
            <v>6355.4927205628628</v>
          </cell>
          <cell r="D437">
            <v>6481.6347513989585</v>
          </cell>
          <cell r="E437">
            <v>6664.1288521568094</v>
          </cell>
          <cell r="F437">
            <v>7502.4351486440564</v>
          </cell>
          <cell r="G437">
            <v>11818.823209551092</v>
          </cell>
          <cell r="H437">
            <v>8287.6993286323104</v>
          </cell>
          <cell r="I437">
            <v>8674.9989433148312</v>
          </cell>
          <cell r="J437">
            <v>16133.129544310383</v>
          </cell>
          <cell r="K437">
            <v>10334.319158398599</v>
          </cell>
          <cell r="L437">
            <v>9115.5668722655391</v>
          </cell>
          <cell r="M437">
            <v>8890.7990407907837</v>
          </cell>
          <cell r="N437">
            <v>8498.7430022569042</v>
          </cell>
          <cell r="O437">
            <v>9943.0444625524451</v>
          </cell>
          <cell r="P437">
            <v>7859.0550507589787</v>
          </cell>
          <cell r="Q437">
            <v>8021.9978544225505</v>
          </cell>
          <cell r="R437">
            <v>8778.5273939028193</v>
          </cell>
          <cell r="S437">
            <v>12306.628327093824</v>
          </cell>
          <cell r="T437">
            <v>10847.98751811631</v>
          </cell>
          <cell r="U437">
            <v>11678.847209066435</v>
          </cell>
          <cell r="V437">
            <v>11666.375109738381</v>
          </cell>
          <cell r="W437">
            <v>10476.438022713435</v>
          </cell>
          <cell r="X437">
            <v>11858.926835979015</v>
          </cell>
          <cell r="Y437">
            <v>14012.344422416449</v>
          </cell>
          <cell r="Z437">
            <v>11554.917914718531</v>
          </cell>
          <cell r="AA437">
            <v>11881.823256786296</v>
          </cell>
          <cell r="AB437">
            <v>11588.29563191433</v>
          </cell>
          <cell r="AC437">
            <v>11190.115576411923</v>
          </cell>
          <cell r="AD437">
            <v>12309.964658173098</v>
          </cell>
          <cell r="AE437">
            <v>11514.67633471623</v>
          </cell>
          <cell r="AF437">
            <v>10691.53920395935</v>
          </cell>
          <cell r="AG437">
            <v>10391.558819841463</v>
          </cell>
          <cell r="AH437">
            <v>10403.795285080934</v>
          </cell>
          <cell r="AI437">
            <v>10562.29476344972</v>
          </cell>
          <cell r="AJ437">
            <v>10172.818978527928</v>
          </cell>
          <cell r="AK437">
            <v>13677.233495245591</v>
          </cell>
          <cell r="AL437">
            <v>21450.542751011584</v>
          </cell>
          <cell r="AM437">
            <v>19832.174347938311</v>
          </cell>
          <cell r="AN437">
            <v>19510.332317337841</v>
          </cell>
          <cell r="AO437">
            <v>20239.926824594422</v>
          </cell>
          <cell r="AP437">
            <v>19454.064375805814</v>
          </cell>
          <cell r="AQ437">
            <v>18278.594018557924</v>
          </cell>
          <cell r="AR437">
            <v>18497.480319409071</v>
          </cell>
          <cell r="AS437">
            <v>20790.080622693116</v>
          </cell>
          <cell r="AT437">
            <v>31723.213425534883</v>
          </cell>
          <cell r="AU437">
            <v>48997.614211649859</v>
          </cell>
          <cell r="AV437">
            <v>39453.288722053192</v>
          </cell>
          <cell r="AW437">
            <v>39832.20623810697</v>
          </cell>
          <cell r="AX437">
            <v>80932.440849197286</v>
          </cell>
          <cell r="AY437">
            <v>162790.50168360822</v>
          </cell>
          <cell r="AZ437">
            <v>393780.44038509327</v>
          </cell>
          <cell r="BA437">
            <v>139290.87889133647</v>
          </cell>
          <cell r="BB437">
            <v>0</v>
          </cell>
        </row>
        <row r="438">
          <cell r="A438" t="str">
            <v>ptd</v>
          </cell>
          <cell r="B438">
            <v>6067.4546174241423</v>
          </cell>
          <cell r="C438">
            <v>12422.947337987005</v>
          </cell>
          <cell r="D438">
            <v>18904.582089385964</v>
          </cell>
          <cell r="E438">
            <v>25568.710941542773</v>
          </cell>
          <cell r="F438">
            <v>7502.4351486440564</v>
          </cell>
          <cell r="G438">
            <v>19321.258358195148</v>
          </cell>
          <cell r="H438">
            <v>27608.95768682746</v>
          </cell>
          <cell r="I438">
            <v>36283.956630142289</v>
          </cell>
          <cell r="J438">
            <v>16133.129544310383</v>
          </cell>
          <cell r="K438">
            <v>26467.448702708982</v>
          </cell>
          <cell r="L438">
            <v>35583.015574974517</v>
          </cell>
          <cell r="M438">
            <v>44473.814615765303</v>
          </cell>
          <cell r="N438">
            <v>8498.7430022569042</v>
          </cell>
          <cell r="O438">
            <v>18441.787464809349</v>
          </cell>
          <cell r="P438">
            <v>26300.842515568329</v>
          </cell>
          <cell r="Q438">
            <v>34322.840369990881</v>
          </cell>
          <cell r="R438">
            <v>8778.5273939028193</v>
          </cell>
          <cell r="S438">
            <v>21085.155720996641</v>
          </cell>
          <cell r="T438">
            <v>31933.143239112949</v>
          </cell>
          <cell r="U438">
            <v>43611.990448179386</v>
          </cell>
          <cell r="V438">
            <v>11666.375109738381</v>
          </cell>
          <cell r="W438">
            <v>22142.813132451818</v>
          </cell>
          <cell r="X438">
            <v>34001.739968430833</v>
          </cell>
          <cell r="Y438">
            <v>48014.084390847282</v>
          </cell>
          <cell r="Z438">
            <v>11554.917914718531</v>
          </cell>
          <cell r="AA438">
            <v>23436.741171504829</v>
          </cell>
          <cell r="AB438">
            <v>35025.036803419163</v>
          </cell>
          <cell r="AC438">
            <v>46215.152379831088</v>
          </cell>
          <cell r="AD438">
            <v>12309.964658173098</v>
          </cell>
          <cell r="AE438">
            <v>23824.640992889326</v>
          </cell>
          <cell r="AF438">
            <v>34516.180196848676</v>
          </cell>
          <cell r="AG438">
            <v>44907.739016690139</v>
          </cell>
          <cell r="AH438">
            <v>10403.795285080934</v>
          </cell>
          <cell r="AI438">
            <v>20966.090048530656</v>
          </cell>
          <cell r="AJ438">
            <v>31138.909027058584</v>
          </cell>
          <cell r="AK438">
            <v>44816.142522304173</v>
          </cell>
          <cell r="AL438">
            <v>21450.542751011584</v>
          </cell>
          <cell r="AM438">
            <v>41282.717098949899</v>
          </cell>
          <cell r="AN438">
            <v>60793.049416287744</v>
          </cell>
          <cell r="AO438">
            <v>81032.97624088217</v>
          </cell>
          <cell r="AP438">
            <v>19454.064375805814</v>
          </cell>
          <cell r="AQ438">
            <v>37732.658394363738</v>
          </cell>
          <cell r="AR438">
            <v>56230.138713772809</v>
          </cell>
          <cell r="AS438">
            <v>77020.219336465932</v>
          </cell>
          <cell r="AT438">
            <v>31723.213425534883</v>
          </cell>
          <cell r="AU438">
            <v>80720.827637184746</v>
          </cell>
          <cell r="AV438">
            <v>120174.11635923793</v>
          </cell>
          <cell r="AW438">
            <v>160006.3225973449</v>
          </cell>
          <cell r="AX438">
            <v>80932.440849197286</v>
          </cell>
          <cell r="AY438">
            <v>243722.94253280549</v>
          </cell>
          <cell r="AZ438">
            <v>637503.38291789871</v>
          </cell>
          <cell r="BA438">
            <v>776794.26180923521</v>
          </cell>
          <cell r="BB438">
            <v>776794.26180923521</v>
          </cell>
        </row>
        <row r="439">
          <cell r="A439" t="str">
            <v>qtd</v>
          </cell>
          <cell r="B439">
            <v>6067.4546174241423</v>
          </cell>
          <cell r="C439">
            <v>12422.947337987005</v>
          </cell>
          <cell r="D439">
            <v>18904.582089385964</v>
          </cell>
          <cell r="E439">
            <v>25568.710941542773</v>
          </cell>
          <cell r="F439">
            <v>33071.146090186827</v>
          </cell>
          <cell r="G439">
            <v>44889.969299737917</v>
          </cell>
          <cell r="H439">
            <v>53177.668628370229</v>
          </cell>
          <cell r="I439">
            <v>61852.667571685059</v>
          </cell>
          <cell r="J439">
            <v>77985.797115995447</v>
          </cell>
          <cell r="K439">
            <v>88320.116274394051</v>
          </cell>
          <cell r="L439">
            <v>97435.68314665959</v>
          </cell>
          <cell r="M439">
            <v>106326.48218745037</v>
          </cell>
          <cell r="N439">
            <v>8498.7430022569042</v>
          </cell>
          <cell r="O439">
            <v>18441.787464809349</v>
          </cell>
          <cell r="P439">
            <v>26300.842515568329</v>
          </cell>
          <cell r="Q439">
            <v>34322.840369990881</v>
          </cell>
          <cell r="R439">
            <v>43101.367763893701</v>
          </cell>
          <cell r="S439">
            <v>55407.996090987523</v>
          </cell>
          <cell r="T439">
            <v>66255.983609103831</v>
          </cell>
          <cell r="U439">
            <v>77934.83081817026</v>
          </cell>
          <cell r="V439">
            <v>89601.205927908639</v>
          </cell>
          <cell r="W439">
            <v>100077.64395062208</v>
          </cell>
          <cell r="X439">
            <v>111936.57078660109</v>
          </cell>
          <cell r="Y439">
            <v>125948.91520901755</v>
          </cell>
          <cell r="Z439">
            <v>11554.917914718531</v>
          </cell>
          <cell r="AA439">
            <v>23436.741171504829</v>
          </cell>
          <cell r="AB439">
            <v>35025.036803419163</v>
          </cell>
          <cell r="AC439">
            <v>46215.152379831088</v>
          </cell>
          <cell r="AD439">
            <v>58525.117038004188</v>
          </cell>
          <cell r="AE439">
            <v>70039.793372720422</v>
          </cell>
          <cell r="AF439">
            <v>80731.332576679764</v>
          </cell>
          <cell r="AG439">
            <v>91122.891396521227</v>
          </cell>
          <cell r="AH439">
            <v>101526.68668160216</v>
          </cell>
          <cell r="AI439">
            <v>112088.98144505189</v>
          </cell>
          <cell r="AJ439">
            <v>122261.80042357981</v>
          </cell>
          <cell r="AK439">
            <v>135939.03391882541</v>
          </cell>
          <cell r="AL439">
            <v>21450.542751011584</v>
          </cell>
          <cell r="AM439">
            <v>41282.717098949899</v>
          </cell>
          <cell r="AN439">
            <v>60793.049416287744</v>
          </cell>
          <cell r="AO439">
            <v>81032.97624088217</v>
          </cell>
          <cell r="AP439">
            <v>100487.04061668798</v>
          </cell>
          <cell r="AQ439">
            <v>118765.63463524591</v>
          </cell>
          <cell r="AR439">
            <v>137263.11495465497</v>
          </cell>
          <cell r="AS439">
            <v>158053.19557734809</v>
          </cell>
          <cell r="AT439">
            <v>189776.40900288298</v>
          </cell>
          <cell r="AU439">
            <v>238774.02321453285</v>
          </cell>
          <cell r="AV439">
            <v>278227.31193658605</v>
          </cell>
          <cell r="AW439">
            <v>318059.51817469299</v>
          </cell>
          <cell r="AX439">
            <v>398991.95902389026</v>
          </cell>
          <cell r="AY439">
            <v>561782.46070749848</v>
          </cell>
          <cell r="AZ439">
            <v>955562.9010925917</v>
          </cell>
          <cell r="BA439">
            <v>1094853.7799839282</v>
          </cell>
          <cell r="BB439">
            <v>1094853.7799839282</v>
          </cell>
        </row>
        <row r="440">
          <cell r="A440" t="str">
            <v>ytd</v>
          </cell>
          <cell r="B440">
            <v>6067.4546174241423</v>
          </cell>
          <cell r="C440">
            <v>12422.947337987005</v>
          </cell>
          <cell r="D440">
            <v>18904.582089385964</v>
          </cell>
          <cell r="E440">
            <v>25568.710941542773</v>
          </cell>
          <cell r="F440">
            <v>33071.146090186827</v>
          </cell>
          <cell r="G440">
            <v>44889.969299737917</v>
          </cell>
          <cell r="H440">
            <v>53177.668628370229</v>
          </cell>
          <cell r="I440">
            <v>61852.667571685059</v>
          </cell>
          <cell r="J440">
            <v>77985.797115995447</v>
          </cell>
          <cell r="K440">
            <v>88320.116274394051</v>
          </cell>
          <cell r="L440">
            <v>97435.68314665959</v>
          </cell>
          <cell r="M440">
            <v>106326.48218745037</v>
          </cell>
          <cell r="N440">
            <v>114825.22518970727</v>
          </cell>
          <cell r="O440">
            <v>124768.26965225971</v>
          </cell>
          <cell r="P440">
            <v>132627.32470301868</v>
          </cell>
          <cell r="Q440">
            <v>140649.32255744122</v>
          </cell>
          <cell r="R440">
            <v>149427.84995134405</v>
          </cell>
          <cell r="S440">
            <v>161734.47827843786</v>
          </cell>
          <cell r="T440">
            <v>172582.46579655417</v>
          </cell>
          <cell r="U440">
            <v>184261.31300562061</v>
          </cell>
          <cell r="V440">
            <v>195927.68811535899</v>
          </cell>
          <cell r="W440">
            <v>206404.12613807243</v>
          </cell>
          <cell r="X440">
            <v>218263.05297405145</v>
          </cell>
          <cell r="Y440">
            <v>232275.39739646789</v>
          </cell>
          <cell r="Z440">
            <v>243830.31531118642</v>
          </cell>
          <cell r="AA440">
            <v>255712.13856797272</v>
          </cell>
          <cell r="AB440">
            <v>267300.43419988704</v>
          </cell>
          <cell r="AC440">
            <v>278490.54977629898</v>
          </cell>
          <cell r="AD440">
            <v>290800.51443447208</v>
          </cell>
          <cell r="AE440">
            <v>302315.19076918828</v>
          </cell>
          <cell r="AF440">
            <v>313006.72997314762</v>
          </cell>
          <cell r="AG440">
            <v>323398.2887929891</v>
          </cell>
          <cell r="AH440">
            <v>333802.08407807001</v>
          </cell>
          <cell r="AI440">
            <v>344364.37884151971</v>
          </cell>
          <cell r="AJ440">
            <v>354537.19782004762</v>
          </cell>
          <cell r="AK440">
            <v>368214.43131529319</v>
          </cell>
          <cell r="AL440">
            <v>389664.97406630474</v>
          </cell>
          <cell r="AM440">
            <v>409497.14841424307</v>
          </cell>
          <cell r="AN440">
            <v>429007.48073158093</v>
          </cell>
          <cell r="AO440">
            <v>449247.40755617537</v>
          </cell>
          <cell r="AP440">
            <v>468701.47193198116</v>
          </cell>
          <cell r="AQ440">
            <v>486980.06595053908</v>
          </cell>
          <cell r="AR440">
            <v>505477.54626994813</v>
          </cell>
          <cell r="AS440">
            <v>526267.62689264119</v>
          </cell>
          <cell r="AT440">
            <v>557990.84031817608</v>
          </cell>
          <cell r="AU440">
            <v>606988.45452982595</v>
          </cell>
          <cell r="AV440">
            <v>646441.74325187912</v>
          </cell>
          <cell r="AW440">
            <v>686273.94948998606</v>
          </cell>
          <cell r="AX440">
            <v>767206.39033918339</v>
          </cell>
          <cell r="AY440">
            <v>929996.89202279155</v>
          </cell>
          <cell r="AZ440">
            <v>1323777.3324078848</v>
          </cell>
          <cell r="BA440">
            <v>1463068.2112992213</v>
          </cell>
          <cell r="BB440">
            <v>1463068.2112992213</v>
          </cell>
        </row>
        <row r="441">
          <cell r="A441" t="str">
            <v>TELE</v>
          </cell>
          <cell r="B441">
            <v>1543.1799429139271</v>
          </cell>
          <cell r="C441">
            <v>1433.9022166794803</v>
          </cell>
          <cell r="D441">
            <v>1434.9467462052555</v>
          </cell>
          <cell r="E441">
            <v>1383.4256396558824</v>
          </cell>
          <cell r="F441">
            <v>1550.9223592438057</v>
          </cell>
          <cell r="G441">
            <v>1537.8841203574043</v>
          </cell>
          <cell r="H441">
            <v>1510.0451459235105</v>
          </cell>
          <cell r="I441">
            <v>1440.1094134363184</v>
          </cell>
          <cell r="J441">
            <v>1115.606453769178</v>
          </cell>
          <cell r="K441">
            <v>1124.4604489607514</v>
          </cell>
          <cell r="L441">
            <v>1060.9088667654205</v>
          </cell>
          <cell r="M441">
            <v>1106.4917629721824</v>
          </cell>
          <cell r="N441">
            <v>1187.7713337169344</v>
          </cell>
          <cell r="O441">
            <v>1322.6031906416581</v>
          </cell>
          <cell r="P441">
            <v>1211.0094579418851</v>
          </cell>
          <cell r="Q441">
            <v>1197.4471865306909</v>
          </cell>
          <cell r="R441">
            <v>902.5343160458666</v>
          </cell>
          <cell r="S441">
            <v>1007.0924126382484</v>
          </cell>
          <cell r="T441">
            <v>998.11675212323166</v>
          </cell>
          <cell r="U441">
            <v>964.0097659459002</v>
          </cell>
          <cell r="V441">
            <v>898.95270102643963</v>
          </cell>
          <cell r="W441">
            <v>891.0407446599188</v>
          </cell>
          <cell r="X441">
            <v>986.50449172016988</v>
          </cell>
          <cell r="Y441">
            <v>924.80076389217299</v>
          </cell>
          <cell r="Z441">
            <v>621.97180743050001</v>
          </cell>
          <cell r="AA441">
            <v>638.714630218411</v>
          </cell>
          <cell r="AB441">
            <v>663.76946863034448</v>
          </cell>
          <cell r="AC441">
            <v>632.36227553892616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4765.2912284274498</v>
          </cell>
          <cell r="AM441">
            <v>4639.2951336171836</v>
          </cell>
          <cell r="AN441">
            <v>4448.14418016745</v>
          </cell>
          <cell r="AO441">
            <v>4977.5444282275575</v>
          </cell>
          <cell r="AP441">
            <v>4412.5939449272182</v>
          </cell>
          <cell r="AQ441">
            <v>4392.7689033429524</v>
          </cell>
          <cell r="AR441">
            <v>4358.8587109948612</v>
          </cell>
          <cell r="AS441">
            <v>4901.1040550353891</v>
          </cell>
          <cell r="AT441">
            <v>4649.3354283927856</v>
          </cell>
          <cell r="AU441">
            <v>4460.8592554117686</v>
          </cell>
          <cell r="AV441">
            <v>4670.1851265452433</v>
          </cell>
          <cell r="AW441">
            <v>4674.1296469892632</v>
          </cell>
          <cell r="AX441">
            <v>4891.2545998715532</v>
          </cell>
          <cell r="AY441">
            <v>4911.2698127264548</v>
          </cell>
          <cell r="AZ441">
            <v>8469.0895598498864</v>
          </cell>
          <cell r="BA441">
            <v>3381.0151944094746</v>
          </cell>
          <cell r="BB441">
            <v>0</v>
          </cell>
        </row>
        <row r="442">
          <cell r="A442" t="str">
            <v>ptd</v>
          </cell>
          <cell r="B442">
            <v>1543.1799429139271</v>
          </cell>
          <cell r="C442">
            <v>2977.0821595934076</v>
          </cell>
          <cell r="D442">
            <v>4412.0289057986629</v>
          </cell>
          <cell r="E442">
            <v>5795.454545454545</v>
          </cell>
          <cell r="F442">
            <v>1550.9223592438057</v>
          </cell>
          <cell r="G442">
            <v>3088.80647960121</v>
          </cell>
          <cell r="H442">
            <v>4598.8516255247205</v>
          </cell>
          <cell r="I442">
            <v>6038.9610389610389</v>
          </cell>
          <cell r="J442">
            <v>1115.606453769178</v>
          </cell>
          <cell r="K442">
            <v>2240.0669027299291</v>
          </cell>
          <cell r="L442">
            <v>3300.9757694953496</v>
          </cell>
          <cell r="M442">
            <v>4407.4675324675318</v>
          </cell>
          <cell r="N442">
            <v>1187.7713337169344</v>
          </cell>
          <cell r="O442">
            <v>2510.3745243585927</v>
          </cell>
          <cell r="P442">
            <v>3721.3839823004778</v>
          </cell>
          <cell r="Q442">
            <v>4918.8311688311687</v>
          </cell>
          <cell r="R442">
            <v>902.5343160458666</v>
          </cell>
          <cell r="S442">
            <v>1909.6267286841151</v>
          </cell>
          <cell r="T442">
            <v>2907.7434808073467</v>
          </cell>
          <cell r="U442">
            <v>3871.7532467532469</v>
          </cell>
          <cell r="V442">
            <v>898.95270102643963</v>
          </cell>
          <cell r="W442">
            <v>1789.9934456863584</v>
          </cell>
          <cell r="X442">
            <v>2776.4979374065283</v>
          </cell>
          <cell r="Y442">
            <v>3701.2987012987014</v>
          </cell>
          <cell r="Z442">
            <v>621.97180743050001</v>
          </cell>
          <cell r="AA442">
            <v>1260.6864376489111</v>
          </cell>
          <cell r="AB442">
            <v>1924.4559062792555</v>
          </cell>
          <cell r="AC442">
            <v>2556.8181818181815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4765.2912284274498</v>
          </cell>
          <cell r="AM442">
            <v>9404.5863620446326</v>
          </cell>
          <cell r="AN442">
            <v>13852.730542212083</v>
          </cell>
          <cell r="AO442">
            <v>18830.274970439641</v>
          </cell>
          <cell r="AP442">
            <v>4412.5939449272182</v>
          </cell>
          <cell r="AQ442">
            <v>8805.3628482701715</v>
          </cell>
          <cell r="AR442">
            <v>13164.221559265032</v>
          </cell>
          <cell r="AS442">
            <v>18065.325614300422</v>
          </cell>
          <cell r="AT442">
            <v>4649.3354283927856</v>
          </cell>
          <cell r="AU442">
            <v>9110.1946838045551</v>
          </cell>
          <cell r="AV442">
            <v>13780.379810349797</v>
          </cell>
          <cell r="AW442">
            <v>18454.50945733906</v>
          </cell>
          <cell r="AX442">
            <v>4891.2545998715532</v>
          </cell>
          <cell r="AY442">
            <v>9802.524412598008</v>
          </cell>
          <cell r="AZ442">
            <v>18271.613972447893</v>
          </cell>
          <cell r="BA442">
            <v>21652.629166857369</v>
          </cell>
          <cell r="BB442">
            <v>21652.629166857369</v>
          </cell>
        </row>
        <row r="443">
          <cell r="A443" t="str">
            <v>qtd</v>
          </cell>
          <cell r="B443">
            <v>1543.1799429139271</v>
          </cell>
          <cell r="C443">
            <v>2977.0821595934076</v>
          </cell>
          <cell r="D443">
            <v>4412.0289057986629</v>
          </cell>
          <cell r="E443">
            <v>5795.454545454545</v>
          </cell>
          <cell r="F443">
            <v>7346.3769046983507</v>
          </cell>
          <cell r="G443">
            <v>8884.2610250557555</v>
          </cell>
          <cell r="H443">
            <v>10394.306170979266</v>
          </cell>
          <cell r="I443">
            <v>11834.415584415583</v>
          </cell>
          <cell r="J443">
            <v>12950.022038184761</v>
          </cell>
          <cell r="K443">
            <v>14074.482487145513</v>
          </cell>
          <cell r="L443">
            <v>15135.391353910934</v>
          </cell>
          <cell r="M443">
            <v>16241.883116883117</v>
          </cell>
          <cell r="N443">
            <v>1187.7713337169344</v>
          </cell>
          <cell r="O443">
            <v>2510.3745243585927</v>
          </cell>
          <cell r="P443">
            <v>3721.3839823004778</v>
          </cell>
          <cell r="Q443">
            <v>4918.8311688311687</v>
          </cell>
          <cell r="R443">
            <v>5821.3654848770357</v>
          </cell>
          <cell r="S443">
            <v>6828.4578975152845</v>
          </cell>
          <cell r="T443">
            <v>7826.5746496385163</v>
          </cell>
          <cell r="U443">
            <v>8790.584415584417</v>
          </cell>
          <cell r="V443">
            <v>9689.5371166108562</v>
          </cell>
          <cell r="W443">
            <v>10580.577861270775</v>
          </cell>
          <cell r="X443">
            <v>11567.082352990945</v>
          </cell>
          <cell r="Y443">
            <v>12491.883116883118</v>
          </cell>
          <cell r="Z443">
            <v>621.97180743050001</v>
          </cell>
          <cell r="AA443">
            <v>1260.6864376489111</v>
          </cell>
          <cell r="AB443">
            <v>1924.4559062792555</v>
          </cell>
          <cell r="AC443">
            <v>2556.8181818181815</v>
          </cell>
          <cell r="AD443">
            <v>2556.8181818181815</v>
          </cell>
          <cell r="AE443">
            <v>2556.8181818181815</v>
          </cell>
          <cell r="AF443">
            <v>2556.8181818181815</v>
          </cell>
          <cell r="AG443">
            <v>2556.8181818181815</v>
          </cell>
          <cell r="AH443">
            <v>2556.8181818181815</v>
          </cell>
          <cell r="AI443">
            <v>2556.8181818181815</v>
          </cell>
          <cell r="AJ443">
            <v>2556.8181818181815</v>
          </cell>
          <cell r="AK443">
            <v>2556.8181818181815</v>
          </cell>
          <cell r="AL443">
            <v>4765.2912284274498</v>
          </cell>
          <cell r="AM443">
            <v>9404.5863620446326</v>
          </cell>
          <cell r="AN443">
            <v>13852.730542212083</v>
          </cell>
          <cell r="AO443">
            <v>18830.274970439641</v>
          </cell>
          <cell r="AP443">
            <v>23242.86891536686</v>
          </cell>
          <cell r="AQ443">
            <v>27635.637818709813</v>
          </cell>
          <cell r="AR443">
            <v>31994.496529704673</v>
          </cell>
          <cell r="AS443">
            <v>36895.600584740059</v>
          </cell>
          <cell r="AT443">
            <v>41544.936013132843</v>
          </cell>
          <cell r="AU443">
            <v>46005.795268544614</v>
          </cell>
          <cell r="AV443">
            <v>50675.980395089857</v>
          </cell>
          <cell r="AW443">
            <v>55350.110042079119</v>
          </cell>
          <cell r="AX443">
            <v>60241.364641950669</v>
          </cell>
          <cell r="AY443">
            <v>65152.634454677122</v>
          </cell>
          <cell r="AZ443">
            <v>73621.724014527004</v>
          </cell>
          <cell r="BA443">
            <v>77002.739208936473</v>
          </cell>
          <cell r="BB443">
            <v>77002.739208936473</v>
          </cell>
        </row>
        <row r="444">
          <cell r="A444" t="str">
            <v>ytd</v>
          </cell>
          <cell r="B444">
            <v>1543.1799429139271</v>
          </cell>
          <cell r="C444">
            <v>2977.0821595934076</v>
          </cell>
          <cell r="D444">
            <v>4412.0289057986629</v>
          </cell>
          <cell r="E444">
            <v>5795.454545454545</v>
          </cell>
          <cell r="F444">
            <v>7346.3769046983507</v>
          </cell>
          <cell r="G444">
            <v>8884.2610250557555</v>
          </cell>
          <cell r="H444">
            <v>10394.306170979266</v>
          </cell>
          <cell r="I444">
            <v>11834.415584415583</v>
          </cell>
          <cell r="J444">
            <v>12950.022038184761</v>
          </cell>
          <cell r="K444">
            <v>14074.482487145513</v>
          </cell>
          <cell r="L444">
            <v>15135.391353910934</v>
          </cell>
          <cell r="M444">
            <v>16241.883116883117</v>
          </cell>
          <cell r="N444">
            <v>17429.65445060005</v>
          </cell>
          <cell r="O444">
            <v>18752.257641241707</v>
          </cell>
          <cell r="P444">
            <v>19963.267099183591</v>
          </cell>
          <cell r="Q444">
            <v>21160.714285714283</v>
          </cell>
          <cell r="R444">
            <v>22063.248601760148</v>
          </cell>
          <cell r="S444">
            <v>23070.341014398397</v>
          </cell>
          <cell r="T444">
            <v>24068.457766521627</v>
          </cell>
          <cell r="U444">
            <v>25032.467532467526</v>
          </cell>
          <cell r="V444">
            <v>25931.420233493965</v>
          </cell>
          <cell r="W444">
            <v>26822.460978153886</v>
          </cell>
          <cell r="X444">
            <v>27808.965469874056</v>
          </cell>
          <cell r="Y444">
            <v>28733.76623376623</v>
          </cell>
          <cell r="Z444">
            <v>29355.738041196728</v>
          </cell>
          <cell r="AA444">
            <v>29994.45267141514</v>
          </cell>
          <cell r="AB444">
            <v>30658.222140045484</v>
          </cell>
          <cell r="AC444">
            <v>31290.58441558441</v>
          </cell>
          <cell r="AD444">
            <v>31290.58441558441</v>
          </cell>
          <cell r="AE444">
            <v>31290.58441558441</v>
          </cell>
          <cell r="AF444">
            <v>31290.58441558441</v>
          </cell>
          <cell r="AG444">
            <v>31290.58441558441</v>
          </cell>
          <cell r="AH444">
            <v>31290.58441558441</v>
          </cell>
          <cell r="AI444">
            <v>31290.58441558441</v>
          </cell>
          <cell r="AJ444">
            <v>31290.58441558441</v>
          </cell>
          <cell r="AK444">
            <v>31290.58441558441</v>
          </cell>
          <cell r="AL444">
            <v>36055.87564401186</v>
          </cell>
          <cell r="AM444">
            <v>40695.170777629042</v>
          </cell>
          <cell r="AN444">
            <v>45143.314957796494</v>
          </cell>
          <cell r="AO444">
            <v>50120.859386024051</v>
          </cell>
          <cell r="AP444">
            <v>54533.45333095127</v>
          </cell>
          <cell r="AQ444">
            <v>58926.222234294226</v>
          </cell>
          <cell r="AR444">
            <v>63285.08094528909</v>
          </cell>
          <cell r="AS444">
            <v>68186.185000324476</v>
          </cell>
          <cell r="AT444">
            <v>72835.520428717267</v>
          </cell>
          <cell r="AU444">
            <v>77296.379684129031</v>
          </cell>
          <cell r="AV444">
            <v>81966.564810674274</v>
          </cell>
          <cell r="AW444">
            <v>86640.694457663543</v>
          </cell>
          <cell r="AX444">
            <v>91531.949057535094</v>
          </cell>
          <cell r="AY444">
            <v>96443.218870261553</v>
          </cell>
          <cell r="AZ444">
            <v>104912.30843011144</v>
          </cell>
          <cell r="BA444">
            <v>108293.32362452091</v>
          </cell>
          <cell r="BB444">
            <v>108293.32362452091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550686.67537197517</v>
          </cell>
          <cell r="C453">
            <v>552907.30452366651</v>
          </cell>
          <cell r="D453">
            <v>488647.72204914864</v>
          </cell>
          <cell r="E453">
            <v>488074.49713635468</v>
          </cell>
          <cell r="F453">
            <v>537733.18051871972</v>
          </cell>
          <cell r="G453">
            <v>720273.54233024805</v>
          </cell>
          <cell r="H453">
            <v>703241.59967039933</v>
          </cell>
          <cell r="I453">
            <v>670698.93548600585</v>
          </cell>
          <cell r="J453">
            <v>938144.45475694234</v>
          </cell>
          <cell r="K453">
            <v>769248.68106305087</v>
          </cell>
          <cell r="L453">
            <v>787687.89006735163</v>
          </cell>
          <cell r="M453">
            <v>800648.75248996308</v>
          </cell>
          <cell r="N453">
            <v>794445.74739040388</v>
          </cell>
          <cell r="O453">
            <v>849360.20689776994</v>
          </cell>
          <cell r="P453">
            <v>1135842.9126777777</v>
          </cell>
          <cell r="Q453">
            <v>754763.66887327738</v>
          </cell>
          <cell r="R453">
            <v>909326.91791939363</v>
          </cell>
          <cell r="S453">
            <v>1039315.0940750135</v>
          </cell>
          <cell r="T453">
            <v>1807599.6533367962</v>
          </cell>
          <cell r="U453">
            <v>1086689.3542013117</v>
          </cell>
          <cell r="V453">
            <v>1077628.3360852706</v>
          </cell>
          <cell r="W453">
            <v>1135373.1186420233</v>
          </cell>
          <cell r="X453">
            <v>1688420.4714970747</v>
          </cell>
          <cell r="Y453">
            <v>1274408.4667259464</v>
          </cell>
          <cell r="Z453">
            <v>1599438.4817614767</v>
          </cell>
          <cell r="AA453">
            <v>1405494.022373656</v>
          </cell>
          <cell r="AB453">
            <v>1731746.6093003743</v>
          </cell>
          <cell r="AC453">
            <v>1223026.739372036</v>
          </cell>
          <cell r="AD453">
            <v>1403315.8627520564</v>
          </cell>
          <cell r="AE453">
            <v>1379915.1228140108</v>
          </cell>
          <cell r="AF453">
            <v>1712477.8014302207</v>
          </cell>
          <cell r="AG453">
            <v>1425457.9229930516</v>
          </cell>
          <cell r="AH453">
            <v>1555029.4768655836</v>
          </cell>
          <cell r="AI453">
            <v>1617900.0733182426</v>
          </cell>
          <cell r="AJ453">
            <v>1962596.9190360093</v>
          </cell>
          <cell r="AK453">
            <v>1945616.2539089201</v>
          </cell>
          <cell r="AL453">
            <v>2058819.7807875837</v>
          </cell>
          <cell r="AM453">
            <v>1895011.9807421176</v>
          </cell>
          <cell r="AN453">
            <v>2370310.5661041224</v>
          </cell>
          <cell r="AO453">
            <v>1893022.028831152</v>
          </cell>
          <cell r="AP453">
            <v>1842060.569565881</v>
          </cell>
          <cell r="AQ453">
            <v>1925004.8520414205</v>
          </cell>
          <cell r="AR453">
            <v>2254194.1351737324</v>
          </cell>
          <cell r="AS453">
            <v>2078918.9277760079</v>
          </cell>
          <cell r="AT453">
            <v>2571850.9836143991</v>
          </cell>
          <cell r="AU453">
            <v>3270365.591495547</v>
          </cell>
          <cell r="AV453">
            <v>3756753.7924218317</v>
          </cell>
          <cell r="AW453">
            <v>3742290.0582226105</v>
          </cell>
          <cell r="AX453">
            <v>7165556.9516909327</v>
          </cell>
          <cell r="AY453">
            <v>17141705.699861996</v>
          </cell>
          <cell r="AZ453">
            <v>33796161.25068111</v>
          </cell>
          <cell r="BA453">
            <v>15442144.74064913</v>
          </cell>
          <cell r="BB453">
            <v>0</v>
          </cell>
        </row>
        <row r="454">
          <cell r="A454" t="str">
            <v>ptd</v>
          </cell>
          <cell r="B454">
            <v>550686.67537197517</v>
          </cell>
          <cell r="C454">
            <v>1103593.979895642</v>
          </cell>
          <cell r="D454">
            <v>1592241.7019447908</v>
          </cell>
          <cell r="E454">
            <v>2080316.1990811452</v>
          </cell>
          <cell r="F454">
            <v>537733.18051871972</v>
          </cell>
          <cell r="G454">
            <v>1258006.7228489679</v>
          </cell>
          <cell r="H454">
            <v>1961248.3225193671</v>
          </cell>
          <cell r="I454">
            <v>2631947.2580053732</v>
          </cell>
          <cell r="J454">
            <v>938144.45475694223</v>
          </cell>
          <cell r="K454">
            <v>1707393.135819993</v>
          </cell>
          <cell r="L454">
            <v>2495081.025887345</v>
          </cell>
          <cell r="M454">
            <v>3295729.778377308</v>
          </cell>
          <cell r="N454">
            <v>794445.74739040365</v>
          </cell>
          <cell r="O454">
            <v>1643805.9542881737</v>
          </cell>
          <cell r="P454">
            <v>2779648.8669659514</v>
          </cell>
          <cell r="Q454">
            <v>3534412.5358392289</v>
          </cell>
          <cell r="R454">
            <v>909326.91791939375</v>
          </cell>
          <cell r="S454">
            <v>1948642.0119944073</v>
          </cell>
          <cell r="T454">
            <v>3756241.6653312035</v>
          </cell>
          <cell r="U454">
            <v>4842931.0195325147</v>
          </cell>
          <cell r="V454">
            <v>1077628.3360852706</v>
          </cell>
          <cell r="W454">
            <v>2213001.4547272939</v>
          </cell>
          <cell r="X454">
            <v>3901421.9262243686</v>
          </cell>
          <cell r="Y454">
            <v>5175830.392950315</v>
          </cell>
          <cell r="Z454">
            <v>1599438.4817614767</v>
          </cell>
          <cell r="AA454">
            <v>3004932.5041351328</v>
          </cell>
          <cell r="AB454">
            <v>4736679.1134355068</v>
          </cell>
          <cell r="AC454">
            <v>5959705.8528075432</v>
          </cell>
          <cell r="AD454">
            <v>1403315.8627520562</v>
          </cell>
          <cell r="AE454">
            <v>2783230.985566067</v>
          </cell>
          <cell r="AF454">
            <v>4495708.7869962873</v>
          </cell>
          <cell r="AG454">
            <v>5921166.7099893391</v>
          </cell>
          <cell r="AH454">
            <v>1555029.4768655836</v>
          </cell>
          <cell r="AI454">
            <v>3172929.5501838261</v>
          </cell>
          <cell r="AJ454">
            <v>5135526.4692198355</v>
          </cell>
          <cell r="AK454">
            <v>7081142.7231287565</v>
          </cell>
          <cell r="AL454">
            <v>2058819.7807875839</v>
          </cell>
          <cell r="AM454">
            <v>3953831.7615297018</v>
          </cell>
          <cell r="AN454">
            <v>6324142.3276338242</v>
          </cell>
          <cell r="AO454">
            <v>8217164.3564649764</v>
          </cell>
          <cell r="AP454">
            <v>1842060.5695658813</v>
          </cell>
          <cell r="AQ454">
            <v>3767065.4216073016</v>
          </cell>
          <cell r="AR454">
            <v>6021259.556781034</v>
          </cell>
          <cell r="AS454">
            <v>8100178.4845570419</v>
          </cell>
          <cell r="AT454">
            <v>2571850.9836143991</v>
          </cell>
          <cell r="AU454">
            <v>5842216.5751099456</v>
          </cell>
          <cell r="AV454">
            <v>9598970.3675317783</v>
          </cell>
          <cell r="AW454">
            <v>13341260.425754389</v>
          </cell>
          <cell r="AX454">
            <v>7165556.9516909309</v>
          </cell>
          <cell r="AY454">
            <v>24307262.651552927</v>
          </cell>
          <cell r="AZ454">
            <v>58103423.90223404</v>
          </cell>
          <cell r="BA454">
            <v>73545568.642883167</v>
          </cell>
          <cell r="BB454">
            <v>73545568.642883167</v>
          </cell>
        </row>
        <row r="455">
          <cell r="A455" t="str">
            <v>qtd</v>
          </cell>
          <cell r="B455">
            <v>550686.67537197517</v>
          </cell>
          <cell r="C455">
            <v>1103593.979895642</v>
          </cell>
          <cell r="D455">
            <v>1592241.7019447908</v>
          </cell>
          <cell r="E455">
            <v>2080316.1990811452</v>
          </cell>
          <cell r="F455">
            <v>2618049.3795998651</v>
          </cell>
          <cell r="G455">
            <v>3338322.9219301129</v>
          </cell>
          <cell r="H455">
            <v>4041564.5216005123</v>
          </cell>
          <cell r="I455">
            <v>4712263.4570865184</v>
          </cell>
          <cell r="J455">
            <v>5650407.9118434601</v>
          </cell>
          <cell r="K455">
            <v>6419656.5929065114</v>
          </cell>
          <cell r="L455">
            <v>7207344.4829738634</v>
          </cell>
          <cell r="M455">
            <v>8007993.235463826</v>
          </cell>
          <cell r="N455">
            <v>794445.74739040365</v>
          </cell>
          <cell r="O455">
            <v>1643805.9542881737</v>
          </cell>
          <cell r="P455">
            <v>2779648.8669659514</v>
          </cell>
          <cell r="Q455">
            <v>3534412.5358392289</v>
          </cell>
          <cell r="R455">
            <v>4443739.4537586225</v>
          </cell>
          <cell r="S455">
            <v>5483054.5478336364</v>
          </cell>
          <cell r="T455">
            <v>7290654.2011704324</v>
          </cell>
          <cell r="U455">
            <v>8377343.5553717446</v>
          </cell>
          <cell r="V455">
            <v>9454971.8914570138</v>
          </cell>
          <cell r="W455">
            <v>10590345.010099038</v>
          </cell>
          <cell r="X455">
            <v>12278765.481596112</v>
          </cell>
          <cell r="Y455">
            <v>13553173.948322058</v>
          </cell>
          <cell r="Z455">
            <v>1599438.4817614767</v>
          </cell>
          <cell r="AA455">
            <v>3004932.5041351328</v>
          </cell>
          <cell r="AB455">
            <v>4736679.1134355068</v>
          </cell>
          <cell r="AC455">
            <v>5959705.8528075432</v>
          </cell>
          <cell r="AD455">
            <v>7363021.7155595999</v>
          </cell>
          <cell r="AE455">
            <v>8742936.8383736089</v>
          </cell>
          <cell r="AF455">
            <v>10455414.639803831</v>
          </cell>
          <cell r="AG455">
            <v>11880872.562796883</v>
          </cell>
          <cell r="AH455">
            <v>13435902.039662465</v>
          </cell>
          <cell r="AI455">
            <v>15053802.11298071</v>
          </cell>
          <cell r="AJ455">
            <v>17016399.032016717</v>
          </cell>
          <cell r="AK455">
            <v>18962015.285925638</v>
          </cell>
          <cell r="AL455">
            <v>2058819.7807875839</v>
          </cell>
          <cell r="AM455">
            <v>3953831.7615297018</v>
          </cell>
          <cell r="AN455">
            <v>6324142.3276338242</v>
          </cell>
          <cell r="AO455">
            <v>8217164.3564649764</v>
          </cell>
          <cell r="AP455">
            <v>10059224.926030857</v>
          </cell>
          <cell r="AQ455">
            <v>11984229.778072277</v>
          </cell>
          <cell r="AR455">
            <v>14238423.913246008</v>
          </cell>
          <cell r="AS455">
            <v>16317342.841022015</v>
          </cell>
          <cell r="AT455">
            <v>18889193.824636415</v>
          </cell>
          <cell r="AU455">
            <v>22159559.416131958</v>
          </cell>
          <cell r="AV455">
            <v>25916313.208553791</v>
          </cell>
          <cell r="AW455">
            <v>29658603.266776402</v>
          </cell>
          <cell r="AX455">
            <v>36824160.218467332</v>
          </cell>
          <cell r="AY455">
            <v>53965865.918329328</v>
          </cell>
          <cell r="AZ455">
            <v>87762027.169010431</v>
          </cell>
          <cell r="BA455">
            <v>103204171.90965956</v>
          </cell>
          <cell r="BB455">
            <v>103204171.90965956</v>
          </cell>
        </row>
        <row r="456">
          <cell r="A456" t="str">
            <v>ytd</v>
          </cell>
          <cell r="B456">
            <v>550686.67537197517</v>
          </cell>
          <cell r="C456">
            <v>1103593.979895642</v>
          </cell>
          <cell r="D456">
            <v>1592241.7019447908</v>
          </cell>
          <cell r="E456">
            <v>2080316.1990811452</v>
          </cell>
          <cell r="F456">
            <v>2618049.3795998651</v>
          </cell>
          <cell r="G456">
            <v>3338322.9219301129</v>
          </cell>
          <cell r="H456">
            <v>4041564.5216005123</v>
          </cell>
          <cell r="I456">
            <v>4712263.4570865184</v>
          </cell>
          <cell r="J456">
            <v>5650407.9118434601</v>
          </cell>
          <cell r="K456">
            <v>6419656.5929065114</v>
          </cell>
          <cell r="L456">
            <v>7207344.4829738634</v>
          </cell>
          <cell r="M456">
            <v>8007993.235463826</v>
          </cell>
          <cell r="N456">
            <v>8802438.9828542285</v>
          </cell>
          <cell r="O456">
            <v>9651799.1897519995</v>
          </cell>
          <cell r="P456">
            <v>10787642.102429777</v>
          </cell>
          <cell r="Q456">
            <v>11542405.771303054</v>
          </cell>
          <cell r="R456">
            <v>12451732.689222448</v>
          </cell>
          <cell r="S456">
            <v>13491047.783297461</v>
          </cell>
          <cell r="T456">
            <v>15298647.436634256</v>
          </cell>
          <cell r="U456">
            <v>16385336.790835567</v>
          </cell>
          <cell r="V456">
            <v>17462965.126920838</v>
          </cell>
          <cell r="W456">
            <v>18598338.245562859</v>
          </cell>
          <cell r="X456">
            <v>20286758.717059933</v>
          </cell>
          <cell r="Y456">
            <v>21561167.183785882</v>
          </cell>
          <cell r="Z456">
            <v>23160605.665547356</v>
          </cell>
          <cell r="AA456">
            <v>24566099.687921014</v>
          </cell>
          <cell r="AB456">
            <v>26297846.297221385</v>
          </cell>
          <cell r="AC456">
            <v>27520873.036593422</v>
          </cell>
          <cell r="AD456">
            <v>28924188.899345476</v>
          </cell>
          <cell r="AE456">
            <v>30304104.022159487</v>
          </cell>
          <cell r="AF456">
            <v>32016581.823589709</v>
          </cell>
          <cell r="AG456">
            <v>33442039.746582761</v>
          </cell>
          <cell r="AH456">
            <v>34997069.223448344</v>
          </cell>
          <cell r="AI456">
            <v>36614969.296766587</v>
          </cell>
          <cell r="AJ456">
            <v>38577566.215802595</v>
          </cell>
          <cell r="AK456">
            <v>40523182.469711512</v>
          </cell>
          <cell r="AL456">
            <v>42582002.250499099</v>
          </cell>
          <cell r="AM456">
            <v>44477014.231241211</v>
          </cell>
          <cell r="AN456">
            <v>46847324.79734534</v>
          </cell>
          <cell r="AO456">
            <v>48740346.826176487</v>
          </cell>
          <cell r="AP456">
            <v>50582407.395742364</v>
          </cell>
          <cell r="AQ456">
            <v>52507412.24778378</v>
          </cell>
          <cell r="AR456">
            <v>54761606.382957518</v>
          </cell>
          <cell r="AS456">
            <v>56840525.310733527</v>
          </cell>
          <cell r="AT456">
            <v>59412376.294347927</v>
          </cell>
          <cell r="AU456">
            <v>62682741.885843478</v>
          </cell>
          <cell r="AV456">
            <v>66439495.678265311</v>
          </cell>
          <cell r="AW456">
            <v>70181785.736487925</v>
          </cell>
          <cell r="AX456">
            <v>77347342.688178852</v>
          </cell>
          <cell r="AY456">
            <v>94489048.388040841</v>
          </cell>
          <cell r="AZ456">
            <v>128285209.63872194</v>
          </cell>
          <cell r="BA456">
            <v>143727354.37937108</v>
          </cell>
          <cell r="BB456">
            <v>143727354.37937108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559603.19647657871</v>
          </cell>
          <cell r="C460">
            <v>555151.44535245141</v>
          </cell>
          <cell r="D460">
            <v>611919.87924536271</v>
          </cell>
          <cell r="E460">
            <v>684432.22164255194</v>
          </cell>
          <cell r="F460">
            <v>745055.7416840964</v>
          </cell>
          <cell r="G460">
            <v>892542.90547737759</v>
          </cell>
          <cell r="H460">
            <v>793238.30986944248</v>
          </cell>
          <cell r="I460">
            <v>576746.25360481639</v>
          </cell>
          <cell r="J460">
            <v>617292.77891475428</v>
          </cell>
          <cell r="K460">
            <v>583017.77112122928</v>
          </cell>
          <cell r="L460">
            <v>715861.20692059794</v>
          </cell>
          <cell r="M460">
            <v>671503.73722518538</v>
          </cell>
          <cell r="N460">
            <v>670190.31618178019</v>
          </cell>
          <cell r="O460">
            <v>1001695.3529060491</v>
          </cell>
          <cell r="P460">
            <v>622929.33689364523</v>
          </cell>
          <cell r="Q460">
            <v>723769.30981290014</v>
          </cell>
          <cell r="R460">
            <v>876200.73473488633</v>
          </cell>
          <cell r="S460">
            <v>1436883.7083028648</v>
          </cell>
          <cell r="T460">
            <v>1135290.3952547568</v>
          </cell>
          <cell r="U460">
            <v>903335.73427283845</v>
          </cell>
          <cell r="V460">
            <v>1060040.2257331172</v>
          </cell>
          <cell r="W460">
            <v>1010818.3983287791</v>
          </cell>
          <cell r="X460">
            <v>1255546.4429945021</v>
          </cell>
          <cell r="Y460">
            <v>1993779.8816291152</v>
          </cell>
          <cell r="Z460">
            <v>1395425.1036040576</v>
          </cell>
          <cell r="AA460">
            <v>980009.5120632858</v>
          </cell>
          <cell r="AB460">
            <v>956288.00482483266</v>
          </cell>
          <cell r="AC460">
            <v>945625.31860805571</v>
          </cell>
          <cell r="AD460">
            <v>1035229.9187527851</v>
          </cell>
          <cell r="AE460">
            <v>1018133.5496060307</v>
          </cell>
          <cell r="AF460">
            <v>1021774.3617062392</v>
          </cell>
          <cell r="AG460">
            <v>1128421.938117455</v>
          </cell>
          <cell r="AH460">
            <v>1116089.2792426522</v>
          </cell>
          <cell r="AI460">
            <v>1050077.0299559445</v>
          </cell>
          <cell r="AJ460">
            <v>1082567.0901745944</v>
          </cell>
          <cell r="AK460">
            <v>791630.90140333166</v>
          </cell>
          <cell r="AL460">
            <v>795145.3524880379</v>
          </cell>
          <cell r="AM460">
            <v>753618.13407197478</v>
          </cell>
          <cell r="AN460">
            <v>785568.10816656309</v>
          </cell>
          <cell r="AO460">
            <v>804106.8337850424</v>
          </cell>
          <cell r="AP460">
            <v>782981.90684343933</v>
          </cell>
          <cell r="AQ460">
            <v>985793.76194165659</v>
          </cell>
          <cell r="AR460">
            <v>1022690.9592682144</v>
          </cell>
          <cell r="AS460">
            <v>1371063.6813692413</v>
          </cell>
          <cell r="AT460">
            <v>1213465.7744684974</v>
          </cell>
          <cell r="AU460">
            <v>1377252.9622976885</v>
          </cell>
          <cell r="AV460">
            <v>1765955.2955115736</v>
          </cell>
          <cell r="AW460">
            <v>3067882.6151561085</v>
          </cell>
          <cell r="AX460">
            <v>5060604.3614734616</v>
          </cell>
          <cell r="AY460">
            <v>9389664.1034889314</v>
          </cell>
          <cell r="AZ460">
            <v>11165142.884158641</v>
          </cell>
          <cell r="BA460">
            <v>1932047.1122019223</v>
          </cell>
          <cell r="BB460">
            <v>0</v>
          </cell>
        </row>
        <row r="461">
          <cell r="A461" t="str">
            <v>ptd</v>
          </cell>
          <cell r="B461">
            <v>559603.19647657871</v>
          </cell>
          <cell r="C461">
            <v>1114754.6418290301</v>
          </cell>
          <cell r="D461">
            <v>1726674.5210743928</v>
          </cell>
          <cell r="E461">
            <v>2411106.7427169448</v>
          </cell>
          <cell r="F461">
            <v>745055.7416840964</v>
          </cell>
          <cell r="G461">
            <v>1637598.647161474</v>
          </cell>
          <cell r="H461">
            <v>2430836.9570309166</v>
          </cell>
          <cell r="I461">
            <v>3007583.2106357329</v>
          </cell>
          <cell r="J461">
            <v>617292.77891475428</v>
          </cell>
          <cell r="K461">
            <v>1200310.5500359836</v>
          </cell>
          <cell r="L461">
            <v>1916171.7569565815</v>
          </cell>
          <cell r="M461">
            <v>2587675.4941817671</v>
          </cell>
          <cell r="N461">
            <v>670190.31618178019</v>
          </cell>
          <cell r="O461">
            <v>1671885.6690878293</v>
          </cell>
          <cell r="P461">
            <v>2294815.0059814746</v>
          </cell>
          <cell r="Q461">
            <v>3018584.3157943748</v>
          </cell>
          <cell r="R461">
            <v>876200.73473488633</v>
          </cell>
          <cell r="S461">
            <v>2313084.4430377511</v>
          </cell>
          <cell r="T461">
            <v>3448374.8382925079</v>
          </cell>
          <cell r="U461">
            <v>4351710.572565346</v>
          </cell>
          <cell r="V461">
            <v>1060040.2257331172</v>
          </cell>
          <cell r="W461">
            <v>2070858.6240618965</v>
          </cell>
          <cell r="X461">
            <v>3326405.0670563988</v>
          </cell>
          <cell r="Y461">
            <v>5320184.9486855138</v>
          </cell>
          <cell r="Z461">
            <v>1395425.1036040576</v>
          </cell>
          <cell r="AA461">
            <v>2375434.6156673431</v>
          </cell>
          <cell r="AB461">
            <v>3331722.6204921757</v>
          </cell>
          <cell r="AC461">
            <v>4277347.939100231</v>
          </cell>
          <cell r="AD461">
            <v>1035229.9187527851</v>
          </cell>
          <cell r="AE461">
            <v>2053363.4683588156</v>
          </cell>
          <cell r="AF461">
            <v>3075137.8300650548</v>
          </cell>
          <cell r="AG461">
            <v>4203559.7681825096</v>
          </cell>
          <cell r="AH461">
            <v>1116089.2792426522</v>
          </cell>
          <cell r="AI461">
            <v>2166166.3091985965</v>
          </cell>
          <cell r="AJ461">
            <v>3248733.3993731909</v>
          </cell>
          <cell r="AK461">
            <v>4040364.3007765226</v>
          </cell>
          <cell r="AL461">
            <v>795145.3524880379</v>
          </cell>
          <cell r="AM461">
            <v>1548763.4865600127</v>
          </cell>
          <cell r="AN461">
            <v>2334331.5947265755</v>
          </cell>
          <cell r="AO461">
            <v>3138438.4285116177</v>
          </cell>
          <cell r="AP461">
            <v>782981.90684343933</v>
          </cell>
          <cell r="AQ461">
            <v>1768775.6687850959</v>
          </cell>
          <cell r="AR461">
            <v>2791466.6280533103</v>
          </cell>
          <cell r="AS461">
            <v>4162530.3094225517</v>
          </cell>
          <cell r="AT461">
            <v>1213465.7744684974</v>
          </cell>
          <cell r="AU461">
            <v>2590718.7367661856</v>
          </cell>
          <cell r="AV461">
            <v>4356674.0322777592</v>
          </cell>
          <cell r="AW461">
            <v>7424556.6474338677</v>
          </cell>
          <cell r="AX461">
            <v>5060604.3614734616</v>
          </cell>
          <cell r="AY461">
            <v>14450268.464962393</v>
          </cell>
          <cell r="AZ461">
            <v>25615411.349121034</v>
          </cell>
          <cell r="BA461">
            <v>27547458.461322956</v>
          </cell>
          <cell r="BB461">
            <v>27547458.461322956</v>
          </cell>
        </row>
        <row r="462">
          <cell r="A462" t="str">
            <v>qtd</v>
          </cell>
          <cell r="B462">
            <v>559603.19647657871</v>
          </cell>
          <cell r="C462">
            <v>1114754.6418290301</v>
          </cell>
          <cell r="D462">
            <v>1726674.5210743928</v>
          </cell>
          <cell r="E462">
            <v>2411106.7427169448</v>
          </cell>
          <cell r="F462">
            <v>3156162.4844010412</v>
          </cell>
          <cell r="G462">
            <v>4048705.3898784188</v>
          </cell>
          <cell r="H462">
            <v>4841943.6997478614</v>
          </cell>
          <cell r="I462">
            <v>5418689.9533526776</v>
          </cell>
          <cell r="J462">
            <v>6035982.7322674319</v>
          </cell>
          <cell r="K462">
            <v>6619000.503388661</v>
          </cell>
          <cell r="L462">
            <v>7334861.7103092587</v>
          </cell>
          <cell r="M462">
            <v>8006365.4475344438</v>
          </cell>
          <cell r="N462">
            <v>670190.31618178019</v>
          </cell>
          <cell r="O462">
            <v>1671885.6690878293</v>
          </cell>
          <cell r="P462">
            <v>2294815.0059814746</v>
          </cell>
          <cell r="Q462">
            <v>3018584.3157943748</v>
          </cell>
          <cell r="R462">
            <v>3894785.0505292611</v>
          </cell>
          <cell r="S462">
            <v>5331668.7588321259</v>
          </cell>
          <cell r="T462">
            <v>6466959.1540868822</v>
          </cell>
          <cell r="U462">
            <v>7370294.8883597208</v>
          </cell>
          <cell r="V462">
            <v>8430335.114092838</v>
          </cell>
          <cell r="W462">
            <v>9441153.5124216173</v>
          </cell>
          <cell r="X462">
            <v>10696699.955416119</v>
          </cell>
          <cell r="Y462">
            <v>12690479.837045234</v>
          </cell>
          <cell r="Z462">
            <v>1395425.1036040576</v>
          </cell>
          <cell r="AA462">
            <v>2375434.6156673431</v>
          </cell>
          <cell r="AB462">
            <v>3331722.6204921757</v>
          </cell>
          <cell r="AC462">
            <v>4277347.939100231</v>
          </cell>
          <cell r="AD462">
            <v>5312577.8578530159</v>
          </cell>
          <cell r="AE462">
            <v>6330711.4074590467</v>
          </cell>
          <cell r="AF462">
            <v>7352485.7691652859</v>
          </cell>
          <cell r="AG462">
            <v>8480907.7072827406</v>
          </cell>
          <cell r="AH462">
            <v>9596996.9865253922</v>
          </cell>
          <cell r="AI462">
            <v>10647074.016481336</v>
          </cell>
          <cell r="AJ462">
            <v>11729641.106655931</v>
          </cell>
          <cell r="AK462">
            <v>12521272.008059263</v>
          </cell>
          <cell r="AL462">
            <v>795145.3524880379</v>
          </cell>
          <cell r="AM462">
            <v>1548763.4865600127</v>
          </cell>
          <cell r="AN462">
            <v>2334331.5947265755</v>
          </cell>
          <cell r="AO462">
            <v>3138438.4285116177</v>
          </cell>
          <cell r="AP462">
            <v>3921420.3353550569</v>
          </cell>
          <cell r="AQ462">
            <v>4907214.0972967139</v>
          </cell>
          <cell r="AR462">
            <v>5929905.056564928</v>
          </cell>
          <cell r="AS462">
            <v>7300968.7379341694</v>
          </cell>
          <cell r="AT462">
            <v>8514434.5124026667</v>
          </cell>
          <cell r="AU462">
            <v>9891687.4747003559</v>
          </cell>
          <cell r="AV462">
            <v>11657642.770211929</v>
          </cell>
          <cell r="AW462">
            <v>14725525.385368038</v>
          </cell>
          <cell r="AX462">
            <v>19786129.746841498</v>
          </cell>
          <cell r="AY462">
            <v>29175793.850330427</v>
          </cell>
          <cell r="AZ462">
            <v>40340936.734489068</v>
          </cell>
          <cell r="BA462">
            <v>42272983.84669099</v>
          </cell>
          <cell r="BB462">
            <v>42272983.84669099</v>
          </cell>
        </row>
        <row r="463">
          <cell r="A463" t="str">
            <v>ytd</v>
          </cell>
          <cell r="B463">
            <v>559603.19647657871</v>
          </cell>
          <cell r="C463">
            <v>1114754.6418290301</v>
          </cell>
          <cell r="D463">
            <v>1726674.5210743928</v>
          </cell>
          <cell r="E463">
            <v>2411106.7427169448</v>
          </cell>
          <cell r="F463">
            <v>3156162.4844010412</v>
          </cell>
          <cell r="G463">
            <v>4048705.3898784188</v>
          </cell>
          <cell r="H463">
            <v>4841943.6997478614</v>
          </cell>
          <cell r="I463">
            <v>5418689.9533526776</v>
          </cell>
          <cell r="J463">
            <v>6035982.7322674319</v>
          </cell>
          <cell r="K463">
            <v>6619000.503388661</v>
          </cell>
          <cell r="L463">
            <v>7334861.7103092587</v>
          </cell>
          <cell r="M463">
            <v>8006365.4475344438</v>
          </cell>
          <cell r="N463">
            <v>8676555.7637162246</v>
          </cell>
          <cell r="O463">
            <v>9678251.1166222729</v>
          </cell>
          <cell r="P463">
            <v>10301180.453515919</v>
          </cell>
          <cell r="Q463">
            <v>11024949.763328819</v>
          </cell>
          <cell r="R463">
            <v>11901150.498063706</v>
          </cell>
          <cell r="S463">
            <v>13338034.206366571</v>
          </cell>
          <cell r="T463">
            <v>14473324.601621328</v>
          </cell>
          <cell r="U463">
            <v>15376660.335894166</v>
          </cell>
          <cell r="V463">
            <v>16436700.561627284</v>
          </cell>
          <cell r="W463">
            <v>17447518.959956061</v>
          </cell>
          <cell r="X463">
            <v>18703065.402950563</v>
          </cell>
          <cell r="Y463">
            <v>20696845.284579679</v>
          </cell>
          <cell r="Z463">
            <v>22092270.388183735</v>
          </cell>
          <cell r="AA463">
            <v>23072279.900247023</v>
          </cell>
          <cell r="AB463">
            <v>24028567.905071855</v>
          </cell>
          <cell r="AC463">
            <v>24974193.223679911</v>
          </cell>
          <cell r="AD463">
            <v>26009423.142432697</v>
          </cell>
          <cell r="AE463">
            <v>27027556.692038726</v>
          </cell>
          <cell r="AF463">
            <v>28049331.053744964</v>
          </cell>
          <cell r="AG463">
            <v>29177752.99186242</v>
          </cell>
          <cell r="AH463">
            <v>30293842.271105073</v>
          </cell>
          <cell r="AI463">
            <v>31343919.301061019</v>
          </cell>
          <cell r="AJ463">
            <v>32426486.391235612</v>
          </cell>
          <cell r="AK463">
            <v>33218117.292638943</v>
          </cell>
          <cell r="AL463">
            <v>34013262.645126984</v>
          </cell>
          <cell r="AM463">
            <v>34766880.779198959</v>
          </cell>
          <cell r="AN463">
            <v>35552448.88736552</v>
          </cell>
          <cell r="AO463">
            <v>36356555.721150562</v>
          </cell>
          <cell r="AP463">
            <v>37139537.627994001</v>
          </cell>
          <cell r="AQ463">
            <v>38125331.389935657</v>
          </cell>
          <cell r="AR463">
            <v>39148022.34920387</v>
          </cell>
          <cell r="AS463">
            <v>40519086.030573115</v>
          </cell>
          <cell r="AT463">
            <v>41732551.805041611</v>
          </cell>
          <cell r="AU463">
            <v>43109804.767339297</v>
          </cell>
          <cell r="AV463">
            <v>44875760.06285087</v>
          </cell>
          <cell r="AW463">
            <v>47943642.678006977</v>
          </cell>
          <cell r="AX463">
            <v>53004247.03948044</v>
          </cell>
          <cell r="AY463">
            <v>62393911.14296937</v>
          </cell>
          <cell r="AZ463">
            <v>73559054.027128011</v>
          </cell>
          <cell r="BA463">
            <v>75491101.13932994</v>
          </cell>
          <cell r="BB463">
            <v>75491101.13932994</v>
          </cell>
        </row>
        <row r="464">
          <cell r="A464" t="str">
            <v>PART</v>
          </cell>
          <cell r="B464">
            <v>27060665.644244272</v>
          </cell>
          <cell r="C464">
            <v>26506189.02444049</v>
          </cell>
          <cell r="D464">
            <v>24621394.01185976</v>
          </cell>
          <cell r="E464">
            <v>24549707.739458602</v>
          </cell>
          <cell r="F464">
            <v>24970518.771900784</v>
          </cell>
          <cell r="G464">
            <v>38073898.232978538</v>
          </cell>
          <cell r="H464">
            <v>27773338.850440003</v>
          </cell>
          <cell r="I464">
            <v>24853975.450399578</v>
          </cell>
          <cell r="J464">
            <v>25717207.423560724</v>
          </cell>
          <cell r="K464">
            <v>26097484.060130086</v>
          </cell>
          <cell r="L464">
            <v>29082202.366189081</v>
          </cell>
          <cell r="M464">
            <v>28902995.655110583</v>
          </cell>
          <cell r="N464">
            <v>28916604.029752746</v>
          </cell>
          <cell r="O464">
            <v>40885766.621872954</v>
          </cell>
          <cell r="P464">
            <v>27451195.863579825</v>
          </cell>
          <cell r="Q464">
            <v>30865201.064651739</v>
          </cell>
          <cell r="R464">
            <v>35985125.125549726</v>
          </cell>
          <cell r="S464">
            <v>59405807.897927612</v>
          </cell>
          <cell r="T464">
            <v>46946205.372968189</v>
          </cell>
          <cell r="U464">
            <v>37006017.421074875</v>
          </cell>
          <cell r="V464">
            <v>42364389.680159628</v>
          </cell>
          <cell r="W464">
            <v>42264042.91449099</v>
          </cell>
          <cell r="X464">
            <v>49544882.913477562</v>
          </cell>
          <cell r="Y464">
            <v>73453432.684191972</v>
          </cell>
          <cell r="Z464">
            <v>53970988.095848024</v>
          </cell>
          <cell r="AA464">
            <v>40642338.652393728</v>
          </cell>
          <cell r="AB464">
            <v>36050876.015057445</v>
          </cell>
          <cell r="AC464">
            <v>36314930.254496284</v>
          </cell>
          <cell r="AD464">
            <v>36103977.702430278</v>
          </cell>
          <cell r="AE464">
            <v>35256408.381947234</v>
          </cell>
          <cell r="AF464">
            <v>35939007.023563385</v>
          </cell>
          <cell r="AG464">
            <v>37746141.87913616</v>
          </cell>
          <cell r="AH464">
            <v>39641288.341038831</v>
          </cell>
          <cell r="AI464">
            <v>41269947.249943808</v>
          </cell>
          <cell r="AJ464">
            <v>40840634.563000441</v>
          </cell>
          <cell r="AK464">
            <v>34192090.706785716</v>
          </cell>
          <cell r="AL464">
            <v>34689927.837368421</v>
          </cell>
          <cell r="AM464">
            <v>34641305.435365237</v>
          </cell>
          <cell r="AN464">
            <v>34924650.77602163</v>
          </cell>
          <cell r="AO464">
            <v>35721700.002873488</v>
          </cell>
          <cell r="AP464">
            <v>35298401.932289235</v>
          </cell>
          <cell r="AQ464">
            <v>39029620.583440885</v>
          </cell>
          <cell r="AR464">
            <v>39568881.186507151</v>
          </cell>
          <cell r="AS464">
            <v>38730067.12874686</v>
          </cell>
          <cell r="AT464">
            <v>43237636.003540002</v>
          </cell>
          <cell r="AU464">
            <v>49280092.396490477</v>
          </cell>
          <cell r="AV464">
            <v>57936890.767956957</v>
          </cell>
          <cell r="AW464">
            <v>93787736.42868419</v>
          </cell>
          <cell r="AX464">
            <v>163743430.58549085</v>
          </cell>
          <cell r="AY464">
            <v>321470154.42576408</v>
          </cell>
          <cell r="AZ464">
            <v>417339183.98057431</v>
          </cell>
          <cell r="BA464">
            <v>89918598.803695679</v>
          </cell>
          <cell r="BB464">
            <v>0</v>
          </cell>
        </row>
        <row r="465">
          <cell r="A465" t="str">
            <v>ptd</v>
          </cell>
          <cell r="B465">
            <v>27060665.644244272</v>
          </cell>
          <cell r="C465">
            <v>53566854.668684766</v>
          </cell>
          <cell r="D465">
            <v>78188248.680544525</v>
          </cell>
          <cell r="E465">
            <v>102737956.42000313</v>
          </cell>
          <cell r="F465">
            <v>24970518.771900784</v>
          </cell>
          <cell r="G465">
            <v>63044417.004879326</v>
          </cell>
          <cell r="H465">
            <v>90817755.855319321</v>
          </cell>
          <cell r="I465">
            <v>115671731.3057189</v>
          </cell>
          <cell r="J465">
            <v>25717207.423560724</v>
          </cell>
          <cell r="K465">
            <v>51814691.483690813</v>
          </cell>
          <cell r="L465">
            <v>80896893.849879891</v>
          </cell>
          <cell r="M465">
            <v>109799889.50499047</v>
          </cell>
          <cell r="N465">
            <v>28916604.029752746</v>
          </cell>
          <cell r="O465">
            <v>69802370.651625693</v>
          </cell>
          <cell r="P465">
            <v>97253566.515205517</v>
          </cell>
          <cell r="Q465">
            <v>128118767.57985726</v>
          </cell>
          <cell r="R465">
            <v>35985125.125549726</v>
          </cell>
          <cell r="S465">
            <v>95390933.023477346</v>
          </cell>
          <cell r="T465">
            <v>142337138.39644554</v>
          </cell>
          <cell r="U465">
            <v>179343155.81752041</v>
          </cell>
          <cell r="V465">
            <v>42364389.680159628</v>
          </cell>
          <cell r="W465">
            <v>84628432.594650626</v>
          </cell>
          <cell r="X465">
            <v>134173315.5081282</v>
          </cell>
          <cell r="Y465">
            <v>207626748.19232017</v>
          </cell>
          <cell r="Z465">
            <v>53970988.095848024</v>
          </cell>
          <cell r="AA465">
            <v>94613326.748241752</v>
          </cell>
          <cell r="AB465">
            <v>130664202.7632992</v>
          </cell>
          <cell r="AC465">
            <v>166979133.01779547</v>
          </cell>
          <cell r="AD465">
            <v>36103977.702430278</v>
          </cell>
          <cell r="AE465">
            <v>71360386.084377512</v>
          </cell>
          <cell r="AF465">
            <v>107299393.1079409</v>
          </cell>
          <cell r="AG465">
            <v>145045534.98707706</v>
          </cell>
          <cell r="AH465">
            <v>39641288.341038831</v>
          </cell>
          <cell r="AI465">
            <v>80911235.590982646</v>
          </cell>
          <cell r="AJ465">
            <v>121751870.15398309</v>
          </cell>
          <cell r="AK465">
            <v>155943960.8607688</v>
          </cell>
          <cell r="AL465">
            <v>34689927.837368421</v>
          </cell>
          <cell r="AM465">
            <v>69331233.272733659</v>
          </cell>
          <cell r="AN465">
            <v>104255884.04875529</v>
          </cell>
          <cell r="AO465">
            <v>139977584.05162877</v>
          </cell>
          <cell r="AP465">
            <v>35298401.932289235</v>
          </cell>
          <cell r="AQ465">
            <v>74328022.515730113</v>
          </cell>
          <cell r="AR465">
            <v>113896903.70223726</v>
          </cell>
          <cell r="AS465">
            <v>152626970.83098412</v>
          </cell>
          <cell r="AT465">
            <v>43237636.003540002</v>
          </cell>
          <cell r="AU465">
            <v>92517728.400030479</v>
          </cell>
          <cell r="AV465">
            <v>150454619.16798744</v>
          </cell>
          <cell r="AW465">
            <v>244242355.59667164</v>
          </cell>
          <cell r="AX465">
            <v>163743430.58549085</v>
          </cell>
          <cell r="AY465">
            <v>485213585.01125491</v>
          </cell>
          <cell r="AZ465">
            <v>902552768.99182916</v>
          </cell>
          <cell r="BA465">
            <v>992471367.79552484</v>
          </cell>
          <cell r="BB465">
            <v>992471367.79552484</v>
          </cell>
        </row>
        <row r="466">
          <cell r="A466" t="str">
            <v>qtd</v>
          </cell>
          <cell r="B466">
            <v>27060665.644244272</v>
          </cell>
          <cell r="C466">
            <v>53566854.668684766</v>
          </cell>
          <cell r="D466">
            <v>78188248.680544525</v>
          </cell>
          <cell r="E466">
            <v>102737956.42000313</v>
          </cell>
          <cell r="F466">
            <v>127708475.19190392</v>
          </cell>
          <cell r="G466">
            <v>165782373.42488247</v>
          </cell>
          <cell r="H466">
            <v>193555712.27532247</v>
          </cell>
          <cell r="I466">
            <v>218409687.72572204</v>
          </cell>
          <cell r="J466">
            <v>244126895.14928275</v>
          </cell>
          <cell r="K466">
            <v>270224379.20941281</v>
          </cell>
          <cell r="L466">
            <v>299306581.57560188</v>
          </cell>
          <cell r="M466">
            <v>328209577.23071247</v>
          </cell>
          <cell r="N466">
            <v>28916604.029752746</v>
          </cell>
          <cell r="O466">
            <v>69802370.651625693</v>
          </cell>
          <cell r="P466">
            <v>97253566.515205517</v>
          </cell>
          <cell r="Q466">
            <v>128118767.57985726</v>
          </cell>
          <cell r="R466">
            <v>164103892.70540699</v>
          </cell>
          <cell r="S466">
            <v>223509700.60333461</v>
          </cell>
          <cell r="T466">
            <v>270455905.9763028</v>
          </cell>
          <cell r="U466">
            <v>307461923.39737767</v>
          </cell>
          <cell r="V466">
            <v>349826313.0775373</v>
          </cell>
          <cell r="W466">
            <v>392090355.9920283</v>
          </cell>
          <cell r="X466">
            <v>441635238.90550584</v>
          </cell>
          <cell r="Y466">
            <v>515088671.58969784</v>
          </cell>
          <cell r="Z466">
            <v>53970988.095848024</v>
          </cell>
          <cell r="AA466">
            <v>94613326.748241752</v>
          </cell>
          <cell r="AB466">
            <v>130664202.7632992</v>
          </cell>
          <cell r="AC466">
            <v>166979133.01779547</v>
          </cell>
          <cell r="AD466">
            <v>203083110.72022575</v>
          </cell>
          <cell r="AE466">
            <v>238339519.10217297</v>
          </cell>
          <cell r="AF466">
            <v>274278526.12573636</v>
          </cell>
          <cell r="AG466">
            <v>312024668.0048725</v>
          </cell>
          <cell r="AH466">
            <v>351665956.34591132</v>
          </cell>
          <cell r="AI466">
            <v>392935903.59585512</v>
          </cell>
          <cell r="AJ466">
            <v>433776538.15885556</v>
          </cell>
          <cell r="AK466">
            <v>467968628.8656413</v>
          </cell>
          <cell r="AL466">
            <v>34689927.837368421</v>
          </cell>
          <cell r="AM466">
            <v>69331233.272733659</v>
          </cell>
          <cell r="AN466">
            <v>104255884.04875529</v>
          </cell>
          <cell r="AO466">
            <v>139977584.05162877</v>
          </cell>
          <cell r="AP466">
            <v>175275985.98391801</v>
          </cell>
          <cell r="AQ466">
            <v>214305606.56735891</v>
          </cell>
          <cell r="AR466">
            <v>253874487.75386608</v>
          </cell>
          <cell r="AS466">
            <v>292604554.88261294</v>
          </cell>
          <cell r="AT466">
            <v>335842190.88615292</v>
          </cell>
          <cell r="AU466">
            <v>385122283.28264338</v>
          </cell>
          <cell r="AV466">
            <v>443059174.05060035</v>
          </cell>
          <cell r="AW466">
            <v>536846910.47928452</v>
          </cell>
          <cell r="AX466">
            <v>700590341.06477535</v>
          </cell>
          <cell r="AY466">
            <v>1022060495.4905394</v>
          </cell>
          <cell r="AZ466">
            <v>1439399679.4711137</v>
          </cell>
          <cell r="BA466">
            <v>1529318278.2748094</v>
          </cell>
          <cell r="BB466">
            <v>1529318278.2748094</v>
          </cell>
        </row>
        <row r="467">
          <cell r="A467" t="str">
            <v>ytd</v>
          </cell>
          <cell r="B467">
            <v>27060665.644244272</v>
          </cell>
          <cell r="C467">
            <v>53566854.668684766</v>
          </cell>
          <cell r="D467">
            <v>78188248.680544525</v>
          </cell>
          <cell r="E467">
            <v>102737956.42000313</v>
          </cell>
          <cell r="F467">
            <v>127708475.19190392</v>
          </cell>
          <cell r="G467">
            <v>165782373.42488247</v>
          </cell>
          <cell r="H467">
            <v>193555712.27532247</v>
          </cell>
          <cell r="I467">
            <v>218409687.72572204</v>
          </cell>
          <cell r="J467">
            <v>244126895.14928275</v>
          </cell>
          <cell r="K467">
            <v>270224379.20941281</v>
          </cell>
          <cell r="L467">
            <v>299306581.57560188</v>
          </cell>
          <cell r="M467">
            <v>328209577.23071247</v>
          </cell>
          <cell r="N467">
            <v>357126181.2604652</v>
          </cell>
          <cell r="O467">
            <v>398011947.88233817</v>
          </cell>
          <cell r="P467">
            <v>425463143.74591798</v>
          </cell>
          <cell r="Q467">
            <v>456328344.8105697</v>
          </cell>
          <cell r="R467">
            <v>492313469.93611944</v>
          </cell>
          <cell r="S467">
            <v>551719277.83404708</v>
          </cell>
          <cell r="T467">
            <v>598665483.20701528</v>
          </cell>
          <cell r="U467">
            <v>635671500.62809014</v>
          </cell>
          <cell r="V467">
            <v>678035890.30824971</v>
          </cell>
          <cell r="W467">
            <v>720299933.22274065</v>
          </cell>
          <cell r="X467">
            <v>769844816.13621819</v>
          </cell>
          <cell r="Y467">
            <v>843298248.82041013</v>
          </cell>
          <cell r="Z467">
            <v>897269236.9162581</v>
          </cell>
          <cell r="AA467">
            <v>937911575.5686518</v>
          </cell>
          <cell r="AB467">
            <v>973962451.58370924</v>
          </cell>
          <cell r="AC467">
            <v>1010277381.8382056</v>
          </cell>
          <cell r="AD467">
            <v>1046381359.5406358</v>
          </cell>
          <cell r="AE467">
            <v>1081637767.9225831</v>
          </cell>
          <cell r="AF467">
            <v>1117576774.9461465</v>
          </cell>
          <cell r="AG467">
            <v>1155322916.8252826</v>
          </cell>
          <cell r="AH467">
            <v>1194964205.1663215</v>
          </cell>
          <cell r="AI467">
            <v>1236234152.4162652</v>
          </cell>
          <cell r="AJ467">
            <v>1277074786.9792657</v>
          </cell>
          <cell r="AK467">
            <v>1311266877.6860514</v>
          </cell>
          <cell r="AL467">
            <v>1345956805.5234199</v>
          </cell>
          <cell r="AM467">
            <v>1380598110.9587851</v>
          </cell>
          <cell r="AN467">
            <v>1415522761.7348068</v>
          </cell>
          <cell r="AO467">
            <v>1451244461.7376802</v>
          </cell>
          <cell r="AP467">
            <v>1486542863.6699693</v>
          </cell>
          <cell r="AQ467">
            <v>1525572484.2534101</v>
          </cell>
          <cell r="AR467">
            <v>1565141365.4399173</v>
          </cell>
          <cell r="AS467">
            <v>1603871432.5686641</v>
          </cell>
          <cell r="AT467">
            <v>1647109068.5722041</v>
          </cell>
          <cell r="AU467">
            <v>1696389160.9686947</v>
          </cell>
          <cell r="AV467">
            <v>1754326051.7366517</v>
          </cell>
          <cell r="AW467">
            <v>1848113788.1653359</v>
          </cell>
          <cell r="AX467">
            <v>2011857218.7508268</v>
          </cell>
          <cell r="AY467">
            <v>2333327373.1765909</v>
          </cell>
          <cell r="AZ467">
            <v>2750666557.1571651</v>
          </cell>
          <cell r="BA467">
            <v>2840585155.9608607</v>
          </cell>
          <cell r="BB467">
            <v>2840585155.9608607</v>
          </cell>
        </row>
        <row r="468">
          <cell r="A468" t="str">
            <v>PRED</v>
          </cell>
          <cell r="B468">
            <v>2803220.5779340137</v>
          </cell>
          <cell r="C468">
            <v>2869708.6736042006</v>
          </cell>
          <cell r="D468">
            <v>2902599.301350045</v>
          </cell>
          <cell r="E468">
            <v>3072051.567871511</v>
          </cell>
          <cell r="F468">
            <v>3502316.4483394204</v>
          </cell>
          <cell r="G468">
            <v>3447909.2584651331</v>
          </cell>
          <cell r="H468">
            <v>3421040.8382611284</v>
          </cell>
          <cell r="I468">
            <v>3413764.780439523</v>
          </cell>
          <cell r="J468">
            <v>2871543.7637587828</v>
          </cell>
          <cell r="K468">
            <v>2814706.4405797222</v>
          </cell>
          <cell r="L468">
            <v>2720951.014395691</v>
          </cell>
          <cell r="M468">
            <v>2849989.7614123463</v>
          </cell>
          <cell r="N468">
            <v>2972862.5417420221</v>
          </cell>
          <cell r="O468">
            <v>3035297.1711301147</v>
          </cell>
          <cell r="P468">
            <v>2829912.1067631487</v>
          </cell>
          <cell r="Q468">
            <v>2845152.6584441992</v>
          </cell>
          <cell r="R468">
            <v>3046745.8079880411</v>
          </cell>
          <cell r="S468">
            <v>3225195.2112363325</v>
          </cell>
          <cell r="T468">
            <v>3031859.2613057331</v>
          </cell>
          <cell r="U468">
            <v>3089762.8487811955</v>
          </cell>
          <cell r="V468">
            <v>3234286.3992387271</v>
          </cell>
          <cell r="W468">
            <v>3323755.4326445865</v>
          </cell>
          <cell r="X468">
            <v>3424469.9336034339</v>
          </cell>
          <cell r="Y468">
            <v>3402870.8090760764</v>
          </cell>
          <cell r="Z468">
            <v>3605413.0168501828</v>
          </cell>
          <cell r="AA468">
            <v>3535956.3693355275</v>
          </cell>
          <cell r="AB468">
            <v>3509128.0815377557</v>
          </cell>
          <cell r="AC468">
            <v>3493184.5495067616</v>
          </cell>
          <cell r="AD468">
            <v>3677403.6032083966</v>
          </cell>
          <cell r="AE468">
            <v>3590478.1271968968</v>
          </cell>
          <cell r="AF468">
            <v>3702026.3977672323</v>
          </cell>
          <cell r="AG468">
            <v>3590670.5415214123</v>
          </cell>
          <cell r="AH468">
            <v>3671044.3991967579</v>
          </cell>
          <cell r="AI468">
            <v>3705192.4286461845</v>
          </cell>
          <cell r="AJ468">
            <v>3736078.8670130228</v>
          </cell>
          <cell r="AK468">
            <v>3707583.2375282827</v>
          </cell>
          <cell r="AL468">
            <v>4019146.8245538217</v>
          </cell>
          <cell r="AM468">
            <v>4025482.8576109484</v>
          </cell>
          <cell r="AN468">
            <v>4044749.3385867127</v>
          </cell>
          <cell r="AO468">
            <v>4182051.5049825492</v>
          </cell>
          <cell r="AP468">
            <v>4196490.0580847422</v>
          </cell>
          <cell r="AQ468">
            <v>4236674.7444313951</v>
          </cell>
          <cell r="AR468">
            <v>4156097.5446270863</v>
          </cell>
          <cell r="AS468">
            <v>4278923.7441951642</v>
          </cell>
          <cell r="AT468">
            <v>4408895.6704286002</v>
          </cell>
          <cell r="AU468">
            <v>4342599.82836386</v>
          </cell>
          <cell r="AV468">
            <v>4363399.3899946865</v>
          </cell>
          <cell r="AW468">
            <v>4701143.3024982531</v>
          </cell>
          <cell r="AX468">
            <v>5037683.6781211887</v>
          </cell>
          <cell r="AY468">
            <v>5081715.0946481796</v>
          </cell>
          <cell r="AZ468">
            <v>5097369.9945220696</v>
          </cell>
          <cell r="BA468">
            <v>5061918.0104198288</v>
          </cell>
          <cell r="BB468">
            <v>0</v>
          </cell>
        </row>
        <row r="469">
          <cell r="A469" t="str">
            <v>ptd</v>
          </cell>
          <cell r="B469">
            <v>2803220.5779340137</v>
          </cell>
          <cell r="C469">
            <v>5672929.2515382143</v>
          </cell>
          <cell r="D469">
            <v>8575528.5528882593</v>
          </cell>
          <cell r="E469">
            <v>11647580.12075977</v>
          </cell>
          <cell r="F469">
            <v>3502316.4483394204</v>
          </cell>
          <cell r="G469">
            <v>6950225.706804553</v>
          </cell>
          <cell r="H469">
            <v>10371266.545065682</v>
          </cell>
          <cell r="I469">
            <v>13785031.325505204</v>
          </cell>
          <cell r="J469">
            <v>2871543.7637587828</v>
          </cell>
          <cell r="K469">
            <v>5686250.2043385049</v>
          </cell>
          <cell r="L469">
            <v>8407201.2187341955</v>
          </cell>
          <cell r="M469">
            <v>11257190.980146542</v>
          </cell>
          <cell r="N469">
            <v>2972862.5417420221</v>
          </cell>
          <cell r="O469">
            <v>6008159.7128721364</v>
          </cell>
          <cell r="P469">
            <v>8838071.8196352851</v>
          </cell>
          <cell r="Q469">
            <v>11683224.478079485</v>
          </cell>
          <cell r="R469">
            <v>3046745.8079880411</v>
          </cell>
          <cell r="S469">
            <v>6271941.0192243736</v>
          </cell>
          <cell r="T469">
            <v>9303800.2805301063</v>
          </cell>
          <cell r="U469">
            <v>12393563.129311301</v>
          </cell>
          <cell r="V469">
            <v>3234286.3992387271</v>
          </cell>
          <cell r="W469">
            <v>6558041.8318833131</v>
          </cell>
          <cell r="X469">
            <v>9982511.765486747</v>
          </cell>
          <cell r="Y469">
            <v>13385382.574562823</v>
          </cell>
          <cell r="Z469">
            <v>3605413.0168501828</v>
          </cell>
          <cell r="AA469">
            <v>7141369.3861857103</v>
          </cell>
          <cell r="AB469">
            <v>10650497.467723466</v>
          </cell>
          <cell r="AC469">
            <v>14143682.017230228</v>
          </cell>
          <cell r="AD469">
            <v>3677403.6032083966</v>
          </cell>
          <cell r="AE469">
            <v>7267881.7304052934</v>
          </cell>
          <cell r="AF469">
            <v>10969908.128172526</v>
          </cell>
          <cell r="AG469">
            <v>14560578.669693939</v>
          </cell>
          <cell r="AH469">
            <v>3671044.3991967579</v>
          </cell>
          <cell r="AI469">
            <v>7376236.8278429424</v>
          </cell>
          <cell r="AJ469">
            <v>11112315.694855966</v>
          </cell>
          <cell r="AK469">
            <v>14819898.932384249</v>
          </cell>
          <cell r="AL469">
            <v>4019146.8245538217</v>
          </cell>
          <cell r="AM469">
            <v>8044629.6821647696</v>
          </cell>
          <cell r="AN469">
            <v>12089379.020751482</v>
          </cell>
          <cell r="AO469">
            <v>16271430.525734032</v>
          </cell>
          <cell r="AP469">
            <v>4196490.0580847422</v>
          </cell>
          <cell r="AQ469">
            <v>8433164.8025161363</v>
          </cell>
          <cell r="AR469">
            <v>12589262.347143222</v>
          </cell>
          <cell r="AS469">
            <v>16868186.091338385</v>
          </cell>
          <cell r="AT469">
            <v>4408895.6704286002</v>
          </cell>
          <cell r="AU469">
            <v>8751495.4987924602</v>
          </cell>
          <cell r="AV469">
            <v>13114894.888787147</v>
          </cell>
          <cell r="AW469">
            <v>17816038.191285402</v>
          </cell>
          <cell r="AX469">
            <v>5037683.6781211887</v>
          </cell>
          <cell r="AY469">
            <v>10119398.772769369</v>
          </cell>
          <cell r="AZ469">
            <v>15216768.767291438</v>
          </cell>
          <cell r="BA469">
            <v>20278686.777711265</v>
          </cell>
          <cell r="BB469">
            <v>20278686.777711265</v>
          </cell>
        </row>
        <row r="470">
          <cell r="A470" t="str">
            <v>qtd</v>
          </cell>
          <cell r="B470">
            <v>2803220.5779340137</v>
          </cell>
          <cell r="C470">
            <v>5672929.2515382143</v>
          </cell>
          <cell r="D470">
            <v>8575528.5528882593</v>
          </cell>
          <cell r="E470">
            <v>11647580.12075977</v>
          </cell>
          <cell r="F470">
            <v>15149896.569099192</v>
          </cell>
          <cell r="G470">
            <v>18597805.827564325</v>
          </cell>
          <cell r="H470">
            <v>22018846.665825453</v>
          </cell>
          <cell r="I470">
            <v>25432611.446264975</v>
          </cell>
          <cell r="J470">
            <v>28304155.210023757</v>
          </cell>
          <cell r="K470">
            <v>31118861.650603481</v>
          </cell>
          <cell r="L470">
            <v>33839812.664999172</v>
          </cell>
          <cell r="M470">
            <v>36689802.426411517</v>
          </cell>
          <cell r="N470">
            <v>2972862.5417420221</v>
          </cell>
          <cell r="O470">
            <v>6008159.7128721364</v>
          </cell>
          <cell r="P470">
            <v>8838071.8196352851</v>
          </cell>
          <cell r="Q470">
            <v>11683224.478079485</v>
          </cell>
          <cell r="R470">
            <v>14729970.286067527</v>
          </cell>
          <cell r="S470">
            <v>17955165.497303858</v>
          </cell>
          <cell r="T470">
            <v>20987024.758609593</v>
          </cell>
          <cell r="U470">
            <v>24076787.607390787</v>
          </cell>
          <cell r="V470">
            <v>27311074.006629515</v>
          </cell>
          <cell r="W470">
            <v>30634829.439274102</v>
          </cell>
          <cell r="X470">
            <v>34059299.372877538</v>
          </cell>
          <cell r="Y470">
            <v>37462170.181953616</v>
          </cell>
          <cell r="Z470">
            <v>3605413.0168501828</v>
          </cell>
          <cell r="AA470">
            <v>7141369.3861857103</v>
          </cell>
          <cell r="AB470">
            <v>10650497.467723466</v>
          </cell>
          <cell r="AC470">
            <v>14143682.017230228</v>
          </cell>
          <cell r="AD470">
            <v>17821085.620438624</v>
          </cell>
          <cell r="AE470">
            <v>21411563.747635521</v>
          </cell>
          <cell r="AF470">
            <v>25113590.145402752</v>
          </cell>
          <cell r="AG470">
            <v>28704260.686924163</v>
          </cell>
          <cell r="AH470">
            <v>32375305.086120922</v>
          </cell>
          <cell r="AI470">
            <v>36080497.51476711</v>
          </cell>
          <cell r="AJ470">
            <v>39816576.381780133</v>
          </cell>
          <cell r="AK470">
            <v>43524159.619308412</v>
          </cell>
          <cell r="AL470">
            <v>4019146.8245538217</v>
          </cell>
          <cell r="AM470">
            <v>8044629.6821647696</v>
          </cell>
          <cell r="AN470">
            <v>12089379.020751482</v>
          </cell>
          <cell r="AO470">
            <v>16271430.525734032</v>
          </cell>
          <cell r="AP470">
            <v>20467920.583818775</v>
          </cell>
          <cell r="AQ470">
            <v>24704595.32825017</v>
          </cell>
          <cell r="AR470">
            <v>28860692.872877255</v>
          </cell>
          <cell r="AS470">
            <v>33139616.617072418</v>
          </cell>
          <cell r="AT470">
            <v>37548512.287501022</v>
          </cell>
          <cell r="AU470">
            <v>41891112.11586488</v>
          </cell>
          <cell r="AV470">
            <v>46254511.505859569</v>
          </cell>
          <cell r="AW470">
            <v>50955654.80835782</v>
          </cell>
          <cell r="AX470">
            <v>55993338.486479007</v>
          </cell>
          <cell r="AY470">
            <v>61075053.581127189</v>
          </cell>
          <cell r="AZ470">
            <v>66172423.575649261</v>
          </cell>
          <cell r="BA470">
            <v>71234341.586069092</v>
          </cell>
          <cell r="BB470">
            <v>71234341.586069092</v>
          </cell>
        </row>
        <row r="471">
          <cell r="A471" t="str">
            <v>ytd</v>
          </cell>
          <cell r="B471">
            <v>2803220.5779340137</v>
          </cell>
          <cell r="C471">
            <v>5672929.2515382143</v>
          </cell>
          <cell r="D471">
            <v>8575528.5528882593</v>
          </cell>
          <cell r="E471">
            <v>11647580.12075977</v>
          </cell>
          <cell r="F471">
            <v>15149896.569099192</v>
          </cell>
          <cell r="G471">
            <v>18597805.827564325</v>
          </cell>
          <cell r="H471">
            <v>22018846.665825453</v>
          </cell>
          <cell r="I471">
            <v>25432611.446264975</v>
          </cell>
          <cell r="J471">
            <v>28304155.210023757</v>
          </cell>
          <cell r="K471">
            <v>31118861.650603481</v>
          </cell>
          <cell r="L471">
            <v>33839812.664999172</v>
          </cell>
          <cell r="M471">
            <v>36689802.426411517</v>
          </cell>
          <cell r="N471">
            <v>39662664.968153536</v>
          </cell>
          <cell r="O471">
            <v>42697962.13928365</v>
          </cell>
          <cell r="P471">
            <v>45527874.246046796</v>
          </cell>
          <cell r="Q471">
            <v>48373026.904490992</v>
          </cell>
          <cell r="R471">
            <v>51419772.712479033</v>
          </cell>
          <cell r="S471">
            <v>54644967.923715368</v>
          </cell>
          <cell r="T471">
            <v>57676827.185021102</v>
          </cell>
          <cell r="U471">
            <v>60766590.033802301</v>
          </cell>
          <cell r="V471">
            <v>64000876.433041029</v>
          </cell>
          <cell r="W471">
            <v>67324631.865685612</v>
          </cell>
          <cell r="X471">
            <v>70749101.799289048</v>
          </cell>
          <cell r="Y471">
            <v>74151972.608365119</v>
          </cell>
          <cell r="Z471">
            <v>77757385.625215307</v>
          </cell>
          <cell r="AA471">
            <v>81293341.994550839</v>
          </cell>
          <cell r="AB471">
            <v>84802470.076088592</v>
          </cell>
          <cell r="AC471">
            <v>88295654.625595361</v>
          </cell>
          <cell r="AD471">
            <v>91973058.228803754</v>
          </cell>
          <cell r="AE471">
            <v>95563536.356000647</v>
          </cell>
          <cell r="AF471">
            <v>99265562.753767878</v>
          </cell>
          <cell r="AG471">
            <v>102856233.29528929</v>
          </cell>
          <cell r="AH471">
            <v>106527277.69448605</v>
          </cell>
          <cell r="AI471">
            <v>110232470.12313223</v>
          </cell>
          <cell r="AJ471">
            <v>113968548.99014525</v>
          </cell>
          <cell r="AK471">
            <v>117676132.22767353</v>
          </cell>
          <cell r="AL471">
            <v>121695279.05222735</v>
          </cell>
          <cell r="AM471">
            <v>125720761.90983829</v>
          </cell>
          <cell r="AN471">
            <v>129765511.24842501</v>
          </cell>
          <cell r="AO471">
            <v>133947562.75340755</v>
          </cell>
          <cell r="AP471">
            <v>138144052.81149229</v>
          </cell>
          <cell r="AQ471">
            <v>142380727.5559237</v>
          </cell>
          <cell r="AR471">
            <v>146536825.1005508</v>
          </cell>
          <cell r="AS471">
            <v>150815748.84474596</v>
          </cell>
          <cell r="AT471">
            <v>155224644.51517457</v>
          </cell>
          <cell r="AU471">
            <v>159567244.34353843</v>
          </cell>
          <cell r="AV471">
            <v>163930643.73353311</v>
          </cell>
          <cell r="AW471">
            <v>168631787.03603137</v>
          </cell>
          <cell r="AX471">
            <v>173669470.71415254</v>
          </cell>
          <cell r="AY471">
            <v>178751185.80880073</v>
          </cell>
          <cell r="AZ471">
            <v>183848555.80332279</v>
          </cell>
          <cell r="BA471">
            <v>188910473.81374261</v>
          </cell>
          <cell r="BB471">
            <v>188910473.81374261</v>
          </cell>
        </row>
        <row r="472">
          <cell r="A472" t="str">
            <v>PREG</v>
          </cell>
          <cell r="B472">
            <v>10716734.251361428</v>
          </cell>
          <cell r="C472">
            <v>10108611.45153835</v>
          </cell>
          <cell r="D472">
            <v>9700725.4913375378</v>
          </cell>
          <cell r="E472">
            <v>9665307.7712447923</v>
          </cell>
          <cell r="F472">
            <v>10078354.091331849</v>
          </cell>
          <cell r="G472">
            <v>11856496.664775804</v>
          </cell>
          <cell r="H472">
            <v>9680637.4819594733</v>
          </cell>
          <cell r="I472">
            <v>9949985.7473446727</v>
          </cell>
          <cell r="J472">
            <v>10272676.462811347</v>
          </cell>
          <cell r="K472">
            <v>10944715.335765343</v>
          </cell>
          <cell r="L472">
            <v>10637503.452311734</v>
          </cell>
          <cell r="M472">
            <v>10625008.190111319</v>
          </cell>
          <cell r="N472">
            <v>10416545.064223006</v>
          </cell>
          <cell r="O472">
            <v>13281629.934325552</v>
          </cell>
          <cell r="P472">
            <v>11103682.533270942</v>
          </cell>
          <cell r="Q472">
            <v>12494194.408617198</v>
          </cell>
          <cell r="R472">
            <v>12364695.561293812</v>
          </cell>
          <cell r="S472">
            <v>17895291.016701069</v>
          </cell>
          <cell r="T472">
            <v>15882638.286323827</v>
          </cell>
          <cell r="U472">
            <v>14576725.631657723</v>
          </cell>
          <cell r="V472">
            <v>15198378.212437468</v>
          </cell>
          <cell r="W472">
            <v>17716882.262019292</v>
          </cell>
          <cell r="X472">
            <v>21707639.686606422</v>
          </cell>
          <cell r="Y472">
            <v>18097281.299007617</v>
          </cell>
          <cell r="Z472">
            <v>12647144.272264814</v>
          </cell>
          <cell r="AA472">
            <v>10588286.475293439</v>
          </cell>
          <cell r="AB472">
            <v>10335623.791191347</v>
          </cell>
          <cell r="AC472">
            <v>10291763.895127472</v>
          </cell>
          <cell r="AD472">
            <v>10498626.845887981</v>
          </cell>
          <cell r="AE472">
            <v>10994295.873425726</v>
          </cell>
          <cell r="AF472">
            <v>11191935.891692957</v>
          </cell>
          <cell r="AG472">
            <v>11356891.640064685</v>
          </cell>
          <cell r="AH472">
            <v>11537984.603333674</v>
          </cell>
          <cell r="AI472">
            <v>10899303.184459219</v>
          </cell>
          <cell r="AJ472">
            <v>10137850.468758455</v>
          </cell>
          <cell r="AK472">
            <v>10258979.544518529</v>
          </cell>
          <cell r="AL472">
            <v>10402316.709018338</v>
          </cell>
          <cell r="AM472">
            <v>10674352.7716197</v>
          </cell>
          <cell r="AN472">
            <v>10934859.009743281</v>
          </cell>
          <cell r="AO472">
            <v>10521402.444311479</v>
          </cell>
          <cell r="AP472">
            <v>10783145.125011556</v>
          </cell>
          <cell r="AQ472">
            <v>10860065.269874441</v>
          </cell>
          <cell r="AR472">
            <v>11028169.160324562</v>
          </cell>
          <cell r="AS472">
            <v>11068419.094010897</v>
          </cell>
          <cell r="AT472">
            <v>11628405.928304575</v>
          </cell>
          <cell r="AU472">
            <v>13347789.092592767</v>
          </cell>
          <cell r="AV472">
            <v>14866944.612183128</v>
          </cell>
          <cell r="AW472">
            <v>21509612.681586355</v>
          </cell>
          <cell r="AX472">
            <v>39514782.096841946</v>
          </cell>
          <cell r="AY472">
            <v>92118642.078875288</v>
          </cell>
          <cell r="AZ472">
            <v>118359422.86383112</v>
          </cell>
          <cell r="BA472">
            <v>25778156.065650389</v>
          </cell>
          <cell r="BB472">
            <v>0</v>
          </cell>
        </row>
        <row r="473">
          <cell r="A473" t="str">
            <v>ptd</v>
          </cell>
          <cell r="B473">
            <v>10716734.251361428</v>
          </cell>
          <cell r="C473">
            <v>20825345.702899776</v>
          </cell>
          <cell r="D473">
            <v>30526071.194237314</v>
          </cell>
          <cell r="E473">
            <v>40191378.965482108</v>
          </cell>
          <cell r="F473">
            <v>10078354.091331849</v>
          </cell>
          <cell r="G473">
            <v>21934850.756107651</v>
          </cell>
          <cell r="H473">
            <v>31615488.238067124</v>
          </cell>
          <cell r="I473">
            <v>41565473.985411793</v>
          </cell>
          <cell r="J473">
            <v>10272676.462811347</v>
          </cell>
          <cell r="K473">
            <v>21217391.79857669</v>
          </cell>
          <cell r="L473">
            <v>31854895.250888422</v>
          </cell>
          <cell r="M473">
            <v>42479903.440999739</v>
          </cell>
          <cell r="N473">
            <v>10416545.064223006</v>
          </cell>
          <cell r="O473">
            <v>23698174.99854856</v>
          </cell>
          <cell r="P473">
            <v>34801857.5318195</v>
          </cell>
          <cell r="Q473">
            <v>47296051.940436698</v>
          </cell>
          <cell r="R473">
            <v>12364695.561293812</v>
          </cell>
          <cell r="S473">
            <v>30259986.577994883</v>
          </cell>
          <cell r="T473">
            <v>46142624.864318714</v>
          </cell>
          <cell r="U473">
            <v>60719350.495976433</v>
          </cell>
          <cell r="V473">
            <v>15198378.212437468</v>
          </cell>
          <cell r="W473">
            <v>32915260.474456757</v>
          </cell>
          <cell r="X473">
            <v>54622900.161063179</v>
          </cell>
          <cell r="Y473">
            <v>72720181.460070789</v>
          </cell>
          <cell r="Z473">
            <v>12647144.272264814</v>
          </cell>
          <cell r="AA473">
            <v>23235430.747558251</v>
          </cell>
          <cell r="AB473">
            <v>33571054.538749598</v>
          </cell>
          <cell r="AC473">
            <v>43862818.433877066</v>
          </cell>
          <cell r="AD473">
            <v>10498626.845887981</v>
          </cell>
          <cell r="AE473">
            <v>21492922.719313707</v>
          </cell>
          <cell r="AF473">
            <v>32684858.611006662</v>
          </cell>
          <cell r="AG473">
            <v>44041750.251071349</v>
          </cell>
          <cell r="AH473">
            <v>11537984.603333674</v>
          </cell>
          <cell r="AI473">
            <v>22437287.787792891</v>
          </cell>
          <cell r="AJ473">
            <v>32575138.256551348</v>
          </cell>
          <cell r="AK473">
            <v>42834117.801069878</v>
          </cell>
          <cell r="AL473">
            <v>10402316.709018338</v>
          </cell>
          <cell r="AM473">
            <v>21076669.480638038</v>
          </cell>
          <cell r="AN473">
            <v>32011528.490381319</v>
          </cell>
          <cell r="AO473">
            <v>42532930.9346928</v>
          </cell>
          <cell r="AP473">
            <v>10783145.125011556</v>
          </cell>
          <cell r="AQ473">
            <v>21643210.394885994</v>
          </cell>
          <cell r="AR473">
            <v>32671379.555210557</v>
          </cell>
          <cell r="AS473">
            <v>43739798.64922145</v>
          </cell>
          <cell r="AT473">
            <v>11628405.928304575</v>
          </cell>
          <cell r="AU473">
            <v>24976195.020897344</v>
          </cell>
          <cell r="AV473">
            <v>39843139.633080468</v>
          </cell>
          <cell r="AW473">
            <v>61352752.314666823</v>
          </cell>
          <cell r="AX473">
            <v>39514782.096841946</v>
          </cell>
          <cell r="AY473">
            <v>131633424.17571723</v>
          </cell>
          <cell r="AZ473">
            <v>249992847.03954834</v>
          </cell>
          <cell r="BA473">
            <v>275771003.10519874</v>
          </cell>
          <cell r="BB473">
            <v>275771003.10519874</v>
          </cell>
        </row>
        <row r="474">
          <cell r="A474" t="str">
            <v>qtd</v>
          </cell>
          <cell r="B474">
            <v>10716734.251361428</v>
          </cell>
          <cell r="C474">
            <v>20825345.702899776</v>
          </cell>
          <cell r="D474">
            <v>30526071.194237314</v>
          </cell>
          <cell r="E474">
            <v>40191378.965482108</v>
          </cell>
          <cell r="F474">
            <v>50269733.056813955</v>
          </cell>
          <cell r="G474">
            <v>62126229.721589759</v>
          </cell>
          <cell r="H474">
            <v>71806867.203549236</v>
          </cell>
          <cell r="I474">
            <v>81756852.950893909</v>
          </cell>
          <cell r="J474">
            <v>92029529.41370526</v>
          </cell>
          <cell r="K474">
            <v>102974244.74947061</v>
          </cell>
          <cell r="L474">
            <v>113611748.20178235</v>
          </cell>
          <cell r="M474">
            <v>124236756.39189367</v>
          </cell>
          <cell r="N474">
            <v>10416545.064223006</v>
          </cell>
          <cell r="O474">
            <v>23698174.99854856</v>
          </cell>
          <cell r="P474">
            <v>34801857.5318195</v>
          </cell>
          <cell r="Q474">
            <v>47296051.940436698</v>
          </cell>
          <cell r="R474">
            <v>59660747.501730509</v>
          </cell>
          <cell r="S474">
            <v>77556038.518431574</v>
          </cell>
          <cell r="T474">
            <v>93438676.804755405</v>
          </cell>
          <cell r="U474">
            <v>108015402.43641312</v>
          </cell>
          <cell r="V474">
            <v>123213780.64885059</v>
          </cell>
          <cell r="W474">
            <v>140930662.9108699</v>
          </cell>
          <cell r="X474">
            <v>162638302.5974763</v>
          </cell>
          <cell r="Y474">
            <v>180735583.89648393</v>
          </cell>
          <cell r="Z474">
            <v>12647144.272264814</v>
          </cell>
          <cell r="AA474">
            <v>23235430.747558251</v>
          </cell>
          <cell r="AB474">
            <v>33571054.538749598</v>
          </cell>
          <cell r="AC474">
            <v>43862818.433877066</v>
          </cell>
          <cell r="AD474">
            <v>54361445.279765047</v>
          </cell>
          <cell r="AE474">
            <v>65355741.153190777</v>
          </cell>
          <cell r="AF474">
            <v>76547677.044883728</v>
          </cell>
          <cell r="AG474">
            <v>87904568.684948415</v>
          </cell>
          <cell r="AH474">
            <v>99442553.288282096</v>
          </cell>
          <cell r="AI474">
            <v>110341856.47274132</v>
          </cell>
          <cell r="AJ474">
            <v>120479706.94149977</v>
          </cell>
          <cell r="AK474">
            <v>130738686.4860183</v>
          </cell>
          <cell r="AL474">
            <v>10402316.709018338</v>
          </cell>
          <cell r="AM474">
            <v>21076669.480638038</v>
          </cell>
          <cell r="AN474">
            <v>32011528.490381319</v>
          </cell>
          <cell r="AO474">
            <v>42532930.9346928</v>
          </cell>
          <cell r="AP474">
            <v>53316076.059704356</v>
          </cell>
          <cell r="AQ474">
            <v>64176141.329578795</v>
          </cell>
          <cell r="AR474">
            <v>75204310.489903361</v>
          </cell>
          <cell r="AS474">
            <v>86272729.58391425</v>
          </cell>
          <cell r="AT474">
            <v>97901135.512218833</v>
          </cell>
          <cell r="AU474">
            <v>111248924.60481159</v>
          </cell>
          <cell r="AV474">
            <v>126115869.21699472</v>
          </cell>
          <cell r="AW474">
            <v>147625481.89858109</v>
          </cell>
          <cell r="AX474">
            <v>187140263.99542302</v>
          </cell>
          <cell r="AY474">
            <v>279258906.07429832</v>
          </cell>
          <cell r="AZ474">
            <v>397618328.93812943</v>
          </cell>
          <cell r="BA474">
            <v>423396485.00377983</v>
          </cell>
          <cell r="BB474">
            <v>423396485.00377983</v>
          </cell>
        </row>
        <row r="475">
          <cell r="A475" t="str">
            <v>ytd</v>
          </cell>
          <cell r="B475">
            <v>10716734.251361428</v>
          </cell>
          <cell r="C475">
            <v>20825345.702899776</v>
          </cell>
          <cell r="D475">
            <v>30526071.194237314</v>
          </cell>
          <cell r="E475">
            <v>40191378.965482108</v>
          </cell>
          <cell r="F475">
            <v>50269733.056813955</v>
          </cell>
          <cell r="G475">
            <v>62126229.721589759</v>
          </cell>
          <cell r="H475">
            <v>71806867.203549236</v>
          </cell>
          <cell r="I475">
            <v>81756852.950893909</v>
          </cell>
          <cell r="J475">
            <v>92029529.41370526</v>
          </cell>
          <cell r="K475">
            <v>102974244.74947061</v>
          </cell>
          <cell r="L475">
            <v>113611748.20178235</v>
          </cell>
          <cell r="M475">
            <v>124236756.39189367</v>
          </cell>
          <cell r="N475">
            <v>134653301.45611668</v>
          </cell>
          <cell r="O475">
            <v>147934931.39044222</v>
          </cell>
          <cell r="P475">
            <v>159038613.92371318</v>
          </cell>
          <cell r="Q475">
            <v>171532808.33233038</v>
          </cell>
          <cell r="R475">
            <v>183897503.89362419</v>
          </cell>
          <cell r="S475">
            <v>201792794.91032526</v>
          </cell>
          <cell r="T475">
            <v>217675433.19664907</v>
          </cell>
          <cell r="U475">
            <v>232252158.82830679</v>
          </cell>
          <cell r="V475">
            <v>247450537.04074427</v>
          </cell>
          <cell r="W475">
            <v>265167419.30276358</v>
          </cell>
          <cell r="X475">
            <v>286875058.98936999</v>
          </cell>
          <cell r="Y475">
            <v>304972340.28837758</v>
          </cell>
          <cell r="Z475">
            <v>317619484.56064242</v>
          </cell>
          <cell r="AA475">
            <v>328207771.03593588</v>
          </cell>
          <cell r="AB475">
            <v>338543394.82712722</v>
          </cell>
          <cell r="AC475">
            <v>348835158.72225469</v>
          </cell>
          <cell r="AD475">
            <v>359333785.56814265</v>
          </cell>
          <cell r="AE475">
            <v>370328081.44156837</v>
          </cell>
          <cell r="AF475">
            <v>381520017.33326131</v>
          </cell>
          <cell r="AG475">
            <v>392876908.97332597</v>
          </cell>
          <cell r="AH475">
            <v>404414893.57665962</v>
          </cell>
          <cell r="AI475">
            <v>415314196.76111883</v>
          </cell>
          <cell r="AJ475">
            <v>425452047.22987729</v>
          </cell>
          <cell r="AK475">
            <v>435711026.77439582</v>
          </cell>
          <cell r="AL475">
            <v>446113343.48341417</v>
          </cell>
          <cell r="AM475">
            <v>456787696.25503385</v>
          </cell>
          <cell r="AN475">
            <v>467722555.26477712</v>
          </cell>
          <cell r="AO475">
            <v>478243957.70908862</v>
          </cell>
          <cell r="AP475">
            <v>489027102.83410019</v>
          </cell>
          <cell r="AQ475">
            <v>499887168.10397464</v>
          </cell>
          <cell r="AR475">
            <v>510915337.26429921</v>
          </cell>
          <cell r="AS475">
            <v>521983756.3583101</v>
          </cell>
          <cell r="AT475">
            <v>533612162.28661466</v>
          </cell>
          <cell r="AU475">
            <v>546959951.37920737</v>
          </cell>
          <cell r="AV475">
            <v>561826895.99139047</v>
          </cell>
          <cell r="AW475">
            <v>583336508.67297685</v>
          </cell>
          <cell r="AX475">
            <v>622851290.76981878</v>
          </cell>
          <cell r="AY475">
            <v>714969932.84869409</v>
          </cell>
          <cell r="AZ475">
            <v>833329355.71252525</v>
          </cell>
          <cell r="BA475">
            <v>859107511.77817559</v>
          </cell>
          <cell r="BB475">
            <v>859107511.77817559</v>
          </cell>
        </row>
        <row r="476">
          <cell r="A476" t="str">
            <v>SPRT</v>
          </cell>
          <cell r="B476">
            <v>233109.88373922688</v>
          </cell>
          <cell r="C476">
            <v>233806.80226633401</v>
          </cell>
          <cell r="D476">
            <v>193155.42821330726</v>
          </cell>
          <cell r="E476">
            <v>193143.36459074004</v>
          </cell>
          <cell r="F476">
            <v>207900.35088626735</v>
          </cell>
          <cell r="G476">
            <v>366187.34015368903</v>
          </cell>
          <cell r="H476">
            <v>243237.16671169267</v>
          </cell>
          <cell r="I476">
            <v>205648.18767156074</v>
          </cell>
          <cell r="J476">
            <v>223781.94519868289</v>
          </cell>
          <cell r="K476">
            <v>224819.65841257031</v>
          </cell>
          <cell r="L476">
            <v>236356.87834151695</v>
          </cell>
          <cell r="M476">
            <v>271093.73218928056</v>
          </cell>
          <cell r="N476">
            <v>249186.29911616805</v>
          </cell>
          <cell r="O476">
            <v>366534.36982450663</v>
          </cell>
          <cell r="P476">
            <v>239022.70776050343</v>
          </cell>
          <cell r="Q476">
            <v>264446.31629049382</v>
          </cell>
          <cell r="R476">
            <v>276781.37692649406</v>
          </cell>
          <cell r="S476">
            <v>385308.55703388859</v>
          </cell>
          <cell r="T476">
            <v>329543.95523482311</v>
          </cell>
          <cell r="U476">
            <v>290444.33203168679</v>
          </cell>
          <cell r="V476">
            <v>339186.67449436936</v>
          </cell>
          <cell r="W476">
            <v>326025.27680025308</v>
          </cell>
          <cell r="X476">
            <v>418183.13484161964</v>
          </cell>
          <cell r="Y476">
            <v>767107.39639888203</v>
          </cell>
          <cell r="Z476">
            <v>528008.11231066717</v>
          </cell>
          <cell r="AA476">
            <v>282711.78553818056</v>
          </cell>
          <cell r="AB476">
            <v>244550.7507658141</v>
          </cell>
          <cell r="AC476">
            <v>243593.29791279018</v>
          </cell>
          <cell r="AD476">
            <v>241038.30001097231</v>
          </cell>
          <cell r="AE476">
            <v>246603.37087246569</v>
          </cell>
          <cell r="AF476">
            <v>247018.35143340431</v>
          </cell>
          <cell r="AG476">
            <v>270522.81877589843</v>
          </cell>
          <cell r="AH476">
            <v>279139.31330817292</v>
          </cell>
          <cell r="AI476">
            <v>263770.92012568528</v>
          </cell>
          <cell r="AJ476">
            <v>269902.02802609355</v>
          </cell>
          <cell r="AK476">
            <v>236836.0534365249</v>
          </cell>
          <cell r="AL476">
            <v>266216.97461082239</v>
          </cell>
          <cell r="AM476">
            <v>263237.09447590227</v>
          </cell>
          <cell r="AN476">
            <v>242486.97880778278</v>
          </cell>
          <cell r="AO476">
            <v>240758.50833309814</v>
          </cell>
          <cell r="AP476">
            <v>234292.92196470554</v>
          </cell>
          <cell r="AQ476">
            <v>253832.21183928027</v>
          </cell>
          <cell r="AR476">
            <v>228722.02586372098</v>
          </cell>
          <cell r="AS476">
            <v>3052216.7065890464</v>
          </cell>
          <cell r="AT476">
            <v>723050.28145329072</v>
          </cell>
          <cell r="AU476">
            <v>477977.79997954698</v>
          </cell>
          <cell r="AV476">
            <v>356746.78729728173</v>
          </cell>
          <cell r="AW476">
            <v>627310.09030697972</v>
          </cell>
          <cell r="AX476">
            <v>1168927.4308249506</v>
          </cell>
          <cell r="AY476">
            <v>2338328.744053395</v>
          </cell>
          <cell r="AZ476">
            <v>3731115.7492706962</v>
          </cell>
          <cell r="BA476">
            <v>634320.01556010311</v>
          </cell>
          <cell r="BB476">
            <v>0</v>
          </cell>
        </row>
        <row r="477">
          <cell r="A477" t="str">
            <v>ptd</v>
          </cell>
          <cell r="B477">
            <v>233109.88373922688</v>
          </cell>
          <cell r="C477">
            <v>466916.68600556091</v>
          </cell>
          <cell r="D477">
            <v>660072.1142188682</v>
          </cell>
          <cell r="E477">
            <v>853215.47880960826</v>
          </cell>
          <cell r="F477">
            <v>207900.35088626735</v>
          </cell>
          <cell r="G477">
            <v>574087.69103995641</v>
          </cell>
          <cell r="H477">
            <v>817324.85775164911</v>
          </cell>
          <cell r="I477">
            <v>1022973.0454232099</v>
          </cell>
          <cell r="J477">
            <v>223781.94519868289</v>
          </cell>
          <cell r="K477">
            <v>448601.6036112532</v>
          </cell>
          <cell r="L477">
            <v>684958.48195277015</v>
          </cell>
          <cell r="M477">
            <v>956052.21414205071</v>
          </cell>
          <cell r="N477">
            <v>249186.29911616805</v>
          </cell>
          <cell r="O477">
            <v>615720.66894067475</v>
          </cell>
          <cell r="P477">
            <v>854743.37670117815</v>
          </cell>
          <cell r="Q477">
            <v>1119189.6929916721</v>
          </cell>
          <cell r="R477">
            <v>276781.37692649406</v>
          </cell>
          <cell r="S477">
            <v>662089.93396038259</v>
          </cell>
          <cell r="T477">
            <v>991633.88919520564</v>
          </cell>
          <cell r="U477">
            <v>1282078.2212268924</v>
          </cell>
          <cell r="V477">
            <v>339186.67449436936</v>
          </cell>
          <cell r="W477">
            <v>665211.95129462238</v>
          </cell>
          <cell r="X477">
            <v>1083395.0861362419</v>
          </cell>
          <cell r="Y477">
            <v>1850502.4825351238</v>
          </cell>
          <cell r="Z477">
            <v>528008.11231066717</v>
          </cell>
          <cell r="AA477">
            <v>810719.89784884779</v>
          </cell>
          <cell r="AB477">
            <v>1055270.6486146618</v>
          </cell>
          <cell r="AC477">
            <v>1298863.946527452</v>
          </cell>
          <cell r="AD477">
            <v>241038.30001097231</v>
          </cell>
          <cell r="AE477">
            <v>487641.67088343797</v>
          </cell>
          <cell r="AF477">
            <v>734660.02231684234</v>
          </cell>
          <cell r="AG477">
            <v>1005182.8410927408</v>
          </cell>
          <cell r="AH477">
            <v>279139.31330817292</v>
          </cell>
          <cell r="AI477">
            <v>542910.23343385826</v>
          </cell>
          <cell r="AJ477">
            <v>812812.26145995175</v>
          </cell>
          <cell r="AK477">
            <v>1049648.3148964767</v>
          </cell>
          <cell r="AL477">
            <v>266216.97461082239</v>
          </cell>
          <cell r="AM477">
            <v>529454.06908672466</v>
          </cell>
          <cell r="AN477">
            <v>771941.04789450741</v>
          </cell>
          <cell r="AO477">
            <v>1012699.5562276056</v>
          </cell>
          <cell r="AP477">
            <v>234292.92196470554</v>
          </cell>
          <cell r="AQ477">
            <v>488125.13380398578</v>
          </cell>
          <cell r="AR477">
            <v>716847.15966770682</v>
          </cell>
          <cell r="AS477">
            <v>3769063.866256753</v>
          </cell>
          <cell r="AT477">
            <v>723050.28145329072</v>
          </cell>
          <cell r="AU477">
            <v>1201028.0814328378</v>
          </cell>
          <cell r="AV477">
            <v>1557774.8687301194</v>
          </cell>
          <cell r="AW477">
            <v>2185084.959037099</v>
          </cell>
          <cell r="AX477">
            <v>1168927.4308249506</v>
          </cell>
          <cell r="AY477">
            <v>3507256.1748783458</v>
          </cell>
          <cell r="AZ477">
            <v>7238371.924149042</v>
          </cell>
          <cell r="BA477">
            <v>7872691.9397091456</v>
          </cell>
          <cell r="BB477">
            <v>7872691.9397091456</v>
          </cell>
        </row>
        <row r="478">
          <cell r="A478" t="str">
            <v>qtd</v>
          </cell>
          <cell r="B478">
            <v>233109.88373922688</v>
          </cell>
          <cell r="C478">
            <v>466916.68600556091</v>
          </cell>
          <cell r="D478">
            <v>660072.1142188682</v>
          </cell>
          <cell r="E478">
            <v>853215.47880960826</v>
          </cell>
          <cell r="F478">
            <v>1061115.8296958755</v>
          </cell>
          <cell r="G478">
            <v>1427303.1698495646</v>
          </cell>
          <cell r="H478">
            <v>1670540.3365612573</v>
          </cell>
          <cell r="I478">
            <v>1876188.524232818</v>
          </cell>
          <cell r="J478">
            <v>2099970.4694315009</v>
          </cell>
          <cell r="K478">
            <v>2324790.127844071</v>
          </cell>
          <cell r="L478">
            <v>2561147.006185588</v>
          </cell>
          <cell r="M478">
            <v>2832240.7383748684</v>
          </cell>
          <cell r="N478">
            <v>249186.29911616805</v>
          </cell>
          <cell r="O478">
            <v>615720.66894067475</v>
          </cell>
          <cell r="P478">
            <v>854743.37670117815</v>
          </cell>
          <cell r="Q478">
            <v>1119189.6929916721</v>
          </cell>
          <cell r="R478">
            <v>1395971.0699181661</v>
          </cell>
          <cell r="S478">
            <v>1781279.6269520547</v>
          </cell>
          <cell r="T478">
            <v>2110823.5821868777</v>
          </cell>
          <cell r="U478">
            <v>2401267.9142185645</v>
          </cell>
          <cell r="V478">
            <v>2740454.5887129339</v>
          </cell>
          <cell r="W478">
            <v>3066479.8655131869</v>
          </cell>
          <cell r="X478">
            <v>3484663.0003548064</v>
          </cell>
          <cell r="Y478">
            <v>4251770.3967536883</v>
          </cell>
          <cell r="Z478">
            <v>528008.11231066717</v>
          </cell>
          <cell r="AA478">
            <v>810719.89784884779</v>
          </cell>
          <cell r="AB478">
            <v>1055270.6486146618</v>
          </cell>
          <cell r="AC478">
            <v>1298863.946527452</v>
          </cell>
          <cell r="AD478">
            <v>1539902.2465384244</v>
          </cell>
          <cell r="AE478">
            <v>1786505.6174108901</v>
          </cell>
          <cell r="AF478">
            <v>2033523.9688442943</v>
          </cell>
          <cell r="AG478">
            <v>2304046.7876201929</v>
          </cell>
          <cell r="AH478">
            <v>2583186.1009283657</v>
          </cell>
          <cell r="AI478">
            <v>2846957.0210540509</v>
          </cell>
          <cell r="AJ478">
            <v>3116859.0490801446</v>
          </cell>
          <cell r="AK478">
            <v>3353695.1025166693</v>
          </cell>
          <cell r="AL478">
            <v>266216.97461082239</v>
          </cell>
          <cell r="AM478">
            <v>529454.06908672466</v>
          </cell>
          <cell r="AN478">
            <v>771941.04789450741</v>
          </cell>
          <cell r="AO478">
            <v>1012699.5562276056</v>
          </cell>
          <cell r="AP478">
            <v>1246992.478192311</v>
          </cell>
          <cell r="AQ478">
            <v>1500824.6900315913</v>
          </cell>
          <cell r="AR478">
            <v>1729546.7158953124</v>
          </cell>
          <cell r="AS478">
            <v>4781763.4224843588</v>
          </cell>
          <cell r="AT478">
            <v>5504813.7039376497</v>
          </cell>
          <cell r="AU478">
            <v>5982791.5039171968</v>
          </cell>
          <cell r="AV478">
            <v>6339538.2912144782</v>
          </cell>
          <cell r="AW478">
            <v>6966848.3815214578</v>
          </cell>
          <cell r="AX478">
            <v>8135775.8123464081</v>
          </cell>
          <cell r="AY478">
            <v>10474104.556399804</v>
          </cell>
          <cell r="AZ478">
            <v>14205220.3056705</v>
          </cell>
          <cell r="BA478">
            <v>14839540.321230603</v>
          </cell>
          <cell r="BB478">
            <v>14839540.321230603</v>
          </cell>
        </row>
        <row r="479">
          <cell r="A479" t="str">
            <v>ytd</v>
          </cell>
          <cell r="B479">
            <v>233109.88373922688</v>
          </cell>
          <cell r="C479">
            <v>466916.68600556091</v>
          </cell>
          <cell r="D479">
            <v>660072.1142188682</v>
          </cell>
          <cell r="E479">
            <v>853215.47880960826</v>
          </cell>
          <cell r="F479">
            <v>1061115.8296958755</v>
          </cell>
          <cell r="G479">
            <v>1427303.1698495646</v>
          </cell>
          <cell r="H479">
            <v>1670540.3365612573</v>
          </cell>
          <cell r="I479">
            <v>1876188.524232818</v>
          </cell>
          <cell r="J479">
            <v>2099970.4694315009</v>
          </cell>
          <cell r="K479">
            <v>2324790.127844071</v>
          </cell>
          <cell r="L479">
            <v>2561147.006185588</v>
          </cell>
          <cell r="M479">
            <v>2832240.7383748684</v>
          </cell>
          <cell r="N479">
            <v>3081427.0374910366</v>
          </cell>
          <cell r="O479">
            <v>3447961.4073155434</v>
          </cell>
          <cell r="P479">
            <v>3686984.1150760469</v>
          </cell>
          <cell r="Q479">
            <v>3951430.4313665405</v>
          </cell>
          <cell r="R479">
            <v>4228211.8082930343</v>
          </cell>
          <cell r="S479">
            <v>4613520.3653269233</v>
          </cell>
          <cell r="T479">
            <v>4943064.3205617461</v>
          </cell>
          <cell r="U479">
            <v>5233508.6525934329</v>
          </cell>
          <cell r="V479">
            <v>5572695.3270878019</v>
          </cell>
          <cell r="W479">
            <v>5898720.6038880553</v>
          </cell>
          <cell r="X479">
            <v>6316903.7387296753</v>
          </cell>
          <cell r="Y479">
            <v>7084011.1351285577</v>
          </cell>
          <cell r="Z479">
            <v>7612019.2474392252</v>
          </cell>
          <cell r="AA479">
            <v>7894731.0329774059</v>
          </cell>
          <cell r="AB479">
            <v>8139281.7837432204</v>
          </cell>
          <cell r="AC479">
            <v>8382875.0816560108</v>
          </cell>
          <cell r="AD479">
            <v>8623913.3816669825</v>
          </cell>
          <cell r="AE479">
            <v>8870516.7525394484</v>
          </cell>
          <cell r="AF479">
            <v>9117535.1039728522</v>
          </cell>
          <cell r="AG479">
            <v>9388057.9227487501</v>
          </cell>
          <cell r="AH479">
            <v>9667197.2360569239</v>
          </cell>
          <cell r="AI479">
            <v>9930968.1561826095</v>
          </cell>
          <cell r="AJ479">
            <v>10200870.184208702</v>
          </cell>
          <cell r="AK479">
            <v>10437706.237645227</v>
          </cell>
          <cell r="AL479">
            <v>10703923.21225605</v>
          </cell>
          <cell r="AM479">
            <v>10967160.306731952</v>
          </cell>
          <cell r="AN479">
            <v>11209647.285539735</v>
          </cell>
          <cell r="AO479">
            <v>11450405.793872833</v>
          </cell>
          <cell r="AP479">
            <v>11684698.715837538</v>
          </cell>
          <cell r="AQ479">
            <v>11938530.927676819</v>
          </cell>
          <cell r="AR479">
            <v>12167252.953540539</v>
          </cell>
          <cell r="AS479">
            <v>15219469.660129586</v>
          </cell>
          <cell r="AT479">
            <v>15942519.941582877</v>
          </cell>
          <cell r="AU479">
            <v>16420497.741562424</v>
          </cell>
          <cell r="AV479">
            <v>16777244.528859705</v>
          </cell>
          <cell r="AW479">
            <v>17404554.619166683</v>
          </cell>
          <cell r="AX479">
            <v>18573482.049991634</v>
          </cell>
          <cell r="AY479">
            <v>20911810.794045027</v>
          </cell>
          <cell r="AZ479">
            <v>24642926.543315724</v>
          </cell>
          <cell r="BA479">
            <v>25277246.558875825</v>
          </cell>
          <cell r="BB479">
            <v>25277246.558875825</v>
          </cell>
        </row>
        <row r="480">
          <cell r="A480" t="str">
            <v>TELE</v>
          </cell>
          <cell r="B480">
            <v>6347535.2116240794</v>
          </cell>
          <cell r="C480">
            <v>6173783.4627651582</v>
          </cell>
          <cell r="D480">
            <v>6073836.053882706</v>
          </cell>
          <cell r="E480">
            <v>5922729.9511357564</v>
          </cell>
          <cell r="F480">
            <v>6556980.1286555948</v>
          </cell>
          <cell r="G480">
            <v>6327164.6963039069</v>
          </cell>
          <cell r="H480">
            <v>6454548.6983546894</v>
          </cell>
          <cell r="I480">
            <v>5971452.4899658756</v>
          </cell>
          <cell r="J480">
            <v>6213522.883228261</v>
          </cell>
          <cell r="K480">
            <v>6284947.8799069235</v>
          </cell>
          <cell r="L480">
            <v>5975338.7322520055</v>
          </cell>
          <cell r="M480">
            <v>6512066.7862300798</v>
          </cell>
          <cell r="N480">
            <v>5974973.5821873602</v>
          </cell>
          <cell r="O480">
            <v>6249957.9873451777</v>
          </cell>
          <cell r="P480">
            <v>5901570.5066451775</v>
          </cell>
          <cell r="Q480">
            <v>5988535.6373178856</v>
          </cell>
          <cell r="R480">
            <v>5899916.8141137045</v>
          </cell>
          <cell r="S480">
            <v>6397453.9029435879</v>
          </cell>
          <cell r="T480">
            <v>6372917.8087117895</v>
          </cell>
          <cell r="U480">
            <v>6444636.9377263924</v>
          </cell>
          <cell r="V480">
            <v>6468417.1047842884</v>
          </cell>
          <cell r="W480">
            <v>6351256.9011818226</v>
          </cell>
          <cell r="X480">
            <v>7060019.5735879587</v>
          </cell>
          <cell r="Y480">
            <v>6839649.9922598582</v>
          </cell>
          <cell r="Z480">
            <v>6912680.727985586</v>
          </cell>
          <cell r="AA480">
            <v>6744715.0546912858</v>
          </cell>
          <cell r="AB480">
            <v>7142033.1917673023</v>
          </cell>
          <cell r="AC480">
            <v>7253294.7298939805</v>
          </cell>
          <cell r="AD480">
            <v>6798847.8614454009</v>
          </cell>
          <cell r="AE480">
            <v>6632874.92173013</v>
          </cell>
          <cell r="AF480">
            <v>7040404.7680299236</v>
          </cell>
          <cell r="AG480">
            <v>6828403.9262171071</v>
          </cell>
          <cell r="AH480">
            <v>6683762.7763971882</v>
          </cell>
          <cell r="AI480">
            <v>6708585.5163583299</v>
          </cell>
          <cell r="AJ480">
            <v>6899387.072319597</v>
          </cell>
          <cell r="AK480">
            <v>7001484.1366293449</v>
          </cell>
          <cell r="AL480">
            <v>6587272.6431390969</v>
          </cell>
          <cell r="AM480">
            <v>6713783.5639635688</v>
          </cell>
          <cell r="AN480">
            <v>6512162.7060300475</v>
          </cell>
          <cell r="AO480">
            <v>7348473.0453609433</v>
          </cell>
          <cell r="AP480">
            <v>7035504.6670259088</v>
          </cell>
          <cell r="AQ480">
            <v>6708800.7552131107</v>
          </cell>
          <cell r="AR480">
            <v>6678678.8762931451</v>
          </cell>
          <cell r="AS480">
            <v>6684942.7193644522</v>
          </cell>
          <cell r="AT480">
            <v>7296210.4545775931</v>
          </cell>
          <cell r="AU480">
            <v>6766999.3109657187</v>
          </cell>
          <cell r="AV480">
            <v>6939316.967488328</v>
          </cell>
          <cell r="AW480">
            <v>7684830.2725710655</v>
          </cell>
          <cell r="AX480">
            <v>7797629.5990988966</v>
          </cell>
          <cell r="AY480">
            <v>8092377.2081004158</v>
          </cell>
          <cell r="AZ480">
            <v>9172755.0714621749</v>
          </cell>
          <cell r="BA480">
            <v>8124959.8097980842</v>
          </cell>
          <cell r="BB480">
            <v>0</v>
          </cell>
        </row>
        <row r="481">
          <cell r="A481" t="str">
            <v>ptd</v>
          </cell>
          <cell r="B481">
            <v>6347535.2116240794</v>
          </cell>
          <cell r="C481">
            <v>12521318.674389238</v>
          </cell>
          <cell r="D481">
            <v>18595154.728271943</v>
          </cell>
          <cell r="E481">
            <v>24517884.679407701</v>
          </cell>
          <cell r="F481">
            <v>6556980.1286555948</v>
          </cell>
          <cell r="G481">
            <v>12884144.824959502</v>
          </cell>
          <cell r="H481">
            <v>19338693.523314193</v>
          </cell>
          <cell r="I481">
            <v>25310146.013280068</v>
          </cell>
          <cell r="J481">
            <v>6213522.883228261</v>
          </cell>
          <cell r="K481">
            <v>12498470.763135184</v>
          </cell>
          <cell r="L481">
            <v>18473809.495387189</v>
          </cell>
          <cell r="M481">
            <v>24985876.281617269</v>
          </cell>
          <cell r="N481">
            <v>5974973.5821873602</v>
          </cell>
          <cell r="O481">
            <v>12224931.569532538</v>
          </cell>
          <cell r="P481">
            <v>18126502.076177716</v>
          </cell>
          <cell r="Q481">
            <v>24115037.713495601</v>
          </cell>
          <cell r="R481">
            <v>5899916.8141137045</v>
          </cell>
          <cell r="S481">
            <v>12297370.717057291</v>
          </cell>
          <cell r="T481">
            <v>18670288.525769081</v>
          </cell>
          <cell r="U481">
            <v>25114925.463495474</v>
          </cell>
          <cell r="V481">
            <v>6468417.1047842884</v>
          </cell>
          <cell r="W481">
            <v>12819674.005966112</v>
          </cell>
          <cell r="X481">
            <v>19879693.57955407</v>
          </cell>
          <cell r="Y481">
            <v>26719343.571813926</v>
          </cell>
          <cell r="Z481">
            <v>6912680.727985586</v>
          </cell>
          <cell r="AA481">
            <v>13657395.782676872</v>
          </cell>
          <cell r="AB481">
            <v>20799428.974444173</v>
          </cell>
          <cell r="AC481">
            <v>28052723.704338156</v>
          </cell>
          <cell r="AD481">
            <v>6798847.8614454009</v>
          </cell>
          <cell r="AE481">
            <v>13431722.783175532</v>
          </cell>
          <cell r="AF481">
            <v>20472127.551205456</v>
          </cell>
          <cell r="AG481">
            <v>27300531.477422565</v>
          </cell>
          <cell r="AH481">
            <v>6683762.7763971882</v>
          </cell>
          <cell r="AI481">
            <v>13392348.292755518</v>
          </cell>
          <cell r="AJ481">
            <v>20291735.365075115</v>
          </cell>
          <cell r="AK481">
            <v>27293219.501704462</v>
          </cell>
          <cell r="AL481">
            <v>6587272.6431390969</v>
          </cell>
          <cell r="AM481">
            <v>13301056.207102666</v>
          </cell>
          <cell r="AN481">
            <v>19813218.913132712</v>
          </cell>
          <cell r="AO481">
            <v>27161691.958493657</v>
          </cell>
          <cell r="AP481">
            <v>7035504.6670259088</v>
          </cell>
          <cell r="AQ481">
            <v>13744305.42223902</v>
          </cell>
          <cell r="AR481">
            <v>20422984.298532166</v>
          </cell>
          <cell r="AS481">
            <v>27107927.017896619</v>
          </cell>
          <cell r="AT481">
            <v>7296210.4545775931</v>
          </cell>
          <cell r="AU481">
            <v>14063209.765543312</v>
          </cell>
          <cell r="AV481">
            <v>21002526.733031638</v>
          </cell>
          <cell r="AW481">
            <v>28687357.005602702</v>
          </cell>
          <cell r="AX481">
            <v>7797629.5990988966</v>
          </cell>
          <cell r="AY481">
            <v>15890006.807199312</v>
          </cell>
          <cell r="AZ481">
            <v>25062761.878661487</v>
          </cell>
          <cell r="BA481">
            <v>33187721.688459571</v>
          </cell>
          <cell r="BB481">
            <v>33187721.688459571</v>
          </cell>
        </row>
        <row r="482">
          <cell r="A482" t="str">
            <v>qtd</v>
          </cell>
          <cell r="B482">
            <v>6347535.2116240794</v>
          </cell>
          <cell r="C482">
            <v>12521318.674389238</v>
          </cell>
          <cell r="D482">
            <v>18595154.728271943</v>
          </cell>
          <cell r="E482">
            <v>24517884.679407701</v>
          </cell>
          <cell r="F482">
            <v>31074864.808063295</v>
          </cell>
          <cell r="G482">
            <v>37402029.504367203</v>
          </cell>
          <cell r="H482">
            <v>43856578.202721894</v>
          </cell>
          <cell r="I482">
            <v>49828030.692687772</v>
          </cell>
          <cell r="J482">
            <v>56041553.575916037</v>
          </cell>
          <cell r="K482">
            <v>62326501.45582296</v>
          </cell>
          <cell r="L482">
            <v>68301840.188074961</v>
          </cell>
          <cell r="M482">
            <v>74813906.974305034</v>
          </cell>
          <cell r="N482">
            <v>5974973.5821873602</v>
          </cell>
          <cell r="O482">
            <v>12224931.569532538</v>
          </cell>
          <cell r="P482">
            <v>18126502.076177716</v>
          </cell>
          <cell r="Q482">
            <v>24115037.713495601</v>
          </cell>
          <cell r="R482">
            <v>30014954.527609304</v>
          </cell>
          <cell r="S482">
            <v>36412408.430552892</v>
          </cell>
          <cell r="T482">
            <v>42785326.239264682</v>
          </cell>
          <cell r="U482">
            <v>49229963.176991075</v>
          </cell>
          <cell r="V482">
            <v>55698380.281775363</v>
          </cell>
          <cell r="W482">
            <v>62049637.182957187</v>
          </cell>
          <cell r="X482">
            <v>69109656.756545141</v>
          </cell>
          <cell r="Y482">
            <v>75949306.748805001</v>
          </cell>
          <cell r="Z482">
            <v>6912680.727985586</v>
          </cell>
          <cell r="AA482">
            <v>13657395.782676872</v>
          </cell>
          <cell r="AB482">
            <v>20799428.974444173</v>
          </cell>
          <cell r="AC482">
            <v>28052723.704338156</v>
          </cell>
          <cell r="AD482">
            <v>34851571.56578356</v>
          </cell>
          <cell r="AE482">
            <v>41484446.487513691</v>
          </cell>
          <cell r="AF482">
            <v>48524851.255543612</v>
          </cell>
          <cell r="AG482">
            <v>55353255.181760721</v>
          </cell>
          <cell r="AH482">
            <v>62037017.958157912</v>
          </cell>
          <cell r="AI482">
            <v>68745603.474516243</v>
          </cell>
          <cell r="AJ482">
            <v>75644990.54683584</v>
          </cell>
          <cell r="AK482">
            <v>82646474.683465183</v>
          </cell>
          <cell r="AL482">
            <v>6587272.6431390969</v>
          </cell>
          <cell r="AM482">
            <v>13301056.207102666</v>
          </cell>
          <cell r="AN482">
            <v>19813218.913132712</v>
          </cell>
          <cell r="AO482">
            <v>27161691.958493657</v>
          </cell>
          <cell r="AP482">
            <v>34197196.625519566</v>
          </cell>
          <cell r="AQ482">
            <v>40905997.380732678</v>
          </cell>
          <cell r="AR482">
            <v>47584676.257025823</v>
          </cell>
          <cell r="AS482">
            <v>54269618.976390272</v>
          </cell>
          <cell r="AT482">
            <v>61565829.430967867</v>
          </cell>
          <cell r="AU482">
            <v>68332828.741933584</v>
          </cell>
          <cell r="AV482">
            <v>75272145.709421918</v>
          </cell>
          <cell r="AW482">
            <v>82956975.98199299</v>
          </cell>
          <cell r="AX482">
            <v>90754605.581091881</v>
          </cell>
          <cell r="AY482">
            <v>98846982.789192289</v>
          </cell>
          <cell r="AZ482">
            <v>108019737.86065446</v>
          </cell>
          <cell r="BA482">
            <v>116144697.67045254</v>
          </cell>
          <cell r="BB482">
            <v>116144697.67045254</v>
          </cell>
        </row>
        <row r="483">
          <cell r="A483" t="str">
            <v>ytd</v>
          </cell>
          <cell r="B483">
            <v>6347535.2116240794</v>
          </cell>
          <cell r="C483">
            <v>12521318.674389238</v>
          </cell>
          <cell r="D483">
            <v>18595154.728271943</v>
          </cell>
          <cell r="E483">
            <v>24517884.679407701</v>
          </cell>
          <cell r="F483">
            <v>31074864.808063295</v>
          </cell>
          <cell r="G483">
            <v>37402029.504367203</v>
          </cell>
          <cell r="H483">
            <v>43856578.202721894</v>
          </cell>
          <cell r="I483">
            <v>49828030.692687772</v>
          </cell>
          <cell r="J483">
            <v>56041553.575916037</v>
          </cell>
          <cell r="K483">
            <v>62326501.45582296</v>
          </cell>
          <cell r="L483">
            <v>68301840.188074961</v>
          </cell>
          <cell r="M483">
            <v>74813906.974305034</v>
          </cell>
          <cell r="N483">
            <v>80788880.556492388</v>
          </cell>
          <cell r="O483">
            <v>87038838.543837562</v>
          </cell>
          <cell r="P483">
            <v>92940409.050482735</v>
          </cell>
          <cell r="Q483">
            <v>98928944.687800616</v>
          </cell>
          <cell r="R483">
            <v>104828861.50191432</v>
          </cell>
          <cell r="S483">
            <v>111226315.4048579</v>
          </cell>
          <cell r="T483">
            <v>117599233.2135697</v>
          </cell>
          <cell r="U483">
            <v>124043870.15129609</v>
          </cell>
          <cell r="V483">
            <v>130512287.25608039</v>
          </cell>
          <cell r="W483">
            <v>136863544.15726221</v>
          </cell>
          <cell r="X483">
            <v>143923563.73085016</v>
          </cell>
          <cell r="Y483">
            <v>150763213.72311002</v>
          </cell>
          <cell r="Z483">
            <v>157675894.45109561</v>
          </cell>
          <cell r="AA483">
            <v>164420609.5057869</v>
          </cell>
          <cell r="AB483">
            <v>171562642.6975542</v>
          </cell>
          <cell r="AC483">
            <v>178815937.42744818</v>
          </cell>
          <cell r="AD483">
            <v>185614785.28889358</v>
          </cell>
          <cell r="AE483">
            <v>192247660.21062371</v>
          </cell>
          <cell r="AF483">
            <v>199288064.97865364</v>
          </cell>
          <cell r="AG483">
            <v>206116468.90487075</v>
          </cell>
          <cell r="AH483">
            <v>212800231.68126795</v>
          </cell>
          <cell r="AI483">
            <v>219508817.19762626</v>
          </cell>
          <cell r="AJ483">
            <v>226408204.26994586</v>
          </cell>
          <cell r="AK483">
            <v>233409688.4065752</v>
          </cell>
          <cell r="AL483">
            <v>239996961.0497143</v>
          </cell>
          <cell r="AM483">
            <v>246710744.61367786</v>
          </cell>
          <cell r="AN483">
            <v>253222907.3197079</v>
          </cell>
          <cell r="AO483">
            <v>260571380.36506885</v>
          </cell>
          <cell r="AP483">
            <v>267606885.03209478</v>
          </cell>
          <cell r="AQ483">
            <v>274315685.78730786</v>
          </cell>
          <cell r="AR483">
            <v>280994364.66360098</v>
          </cell>
          <cell r="AS483">
            <v>287679307.38296545</v>
          </cell>
          <cell r="AT483">
            <v>294975517.83754301</v>
          </cell>
          <cell r="AU483">
            <v>301742517.14850873</v>
          </cell>
          <cell r="AV483">
            <v>308681834.11599708</v>
          </cell>
          <cell r="AW483">
            <v>316366664.38856816</v>
          </cell>
          <cell r="AX483">
            <v>324164293.98766708</v>
          </cell>
          <cell r="AY483">
            <v>332256671.19576752</v>
          </cell>
          <cell r="AZ483">
            <v>341429426.26722968</v>
          </cell>
          <cell r="BA483">
            <v>349554386.07702774</v>
          </cell>
          <cell r="BB483">
            <v>349554386.07702774</v>
          </cell>
        </row>
        <row r="484">
          <cell r="A484" t="str">
            <v>TICK</v>
          </cell>
          <cell r="B484">
            <v>308184.94818288274</v>
          </cell>
          <cell r="C484">
            <v>312071.00289654831</v>
          </cell>
          <cell r="D484">
            <v>528024.93715179828</v>
          </cell>
          <cell r="E484">
            <v>432979.82576548419</v>
          </cell>
          <cell r="F484">
            <v>544630.44194126513</v>
          </cell>
          <cell r="G484">
            <v>1221683.1535414294</v>
          </cell>
          <cell r="H484">
            <v>707829.41577434377</v>
          </cell>
          <cell r="I484">
            <v>850001.13082005084</v>
          </cell>
          <cell r="J484">
            <v>857160.92465671862</v>
          </cell>
          <cell r="K484">
            <v>990804.67511966953</v>
          </cell>
          <cell r="L484">
            <v>1071878.8745201821</v>
          </cell>
          <cell r="M484">
            <v>1200516.6125701424</v>
          </cell>
          <cell r="N484">
            <v>1324051.7334577367</v>
          </cell>
          <cell r="O484">
            <v>1433269.930309017</v>
          </cell>
          <cell r="P484">
            <v>1462257.4489179952</v>
          </cell>
          <cell r="Q484">
            <v>1283499.8206203124</v>
          </cell>
          <cell r="R484">
            <v>1398253.7561453111</v>
          </cell>
          <cell r="S484">
            <v>1351464.9054868817</v>
          </cell>
          <cell r="T484">
            <v>1379531.6333946246</v>
          </cell>
          <cell r="U484">
            <v>1160063.7777137179</v>
          </cell>
          <cell r="V484">
            <v>2530343.7232824992</v>
          </cell>
          <cell r="W484">
            <v>1970634.3803882794</v>
          </cell>
          <cell r="X484">
            <v>1831254.866677562</v>
          </cell>
          <cell r="Y484">
            <v>2418190.7233595303</v>
          </cell>
          <cell r="Z484">
            <v>2344691.5358758373</v>
          </cell>
          <cell r="AA484">
            <v>2552403.2782659996</v>
          </cell>
          <cell r="AB484">
            <v>3233278.2861882579</v>
          </cell>
          <cell r="AC484">
            <v>3284475.6727358927</v>
          </cell>
          <cell r="AD484">
            <v>3621565.7085924372</v>
          </cell>
          <cell r="AE484">
            <v>3507519.3505008593</v>
          </cell>
          <cell r="AF484">
            <v>3503516.7173089003</v>
          </cell>
          <cell r="AG484">
            <v>3528640.2572115054</v>
          </cell>
          <cell r="AH484">
            <v>3016687.7858324209</v>
          </cell>
          <cell r="AI484">
            <v>2737100.7778835632</v>
          </cell>
          <cell r="AJ484">
            <v>1938764.1220164634</v>
          </cell>
          <cell r="AK484">
            <v>668054.45380440692</v>
          </cell>
          <cell r="AL484">
            <v>288565.90909589082</v>
          </cell>
          <cell r="AM484">
            <v>393936.56316980056</v>
          </cell>
          <cell r="AN484">
            <v>559441.8960990567</v>
          </cell>
          <cell r="AO484">
            <v>1096595.5014299408</v>
          </cell>
          <cell r="AP484">
            <v>1812939.7940104539</v>
          </cell>
          <cell r="AQ484">
            <v>2707303.9474780234</v>
          </cell>
          <cell r="AR484">
            <v>1260666.7141282344</v>
          </cell>
          <cell r="AS484">
            <v>2826292.4994471548</v>
          </cell>
          <cell r="AT484">
            <v>274099.26025054092</v>
          </cell>
          <cell r="AU484">
            <v>252461.24627716414</v>
          </cell>
          <cell r="AV484">
            <v>313784.29442490492</v>
          </cell>
          <cell r="AW484">
            <v>397186.44657014462</v>
          </cell>
          <cell r="AX484">
            <v>518204.06546015787</v>
          </cell>
          <cell r="AY484">
            <v>899845.73822694528</v>
          </cell>
          <cell r="AZ484">
            <v>1326088.0308341775</v>
          </cell>
          <cell r="BA484">
            <v>397292.05684334651</v>
          </cell>
          <cell r="BB484">
            <v>0</v>
          </cell>
        </row>
        <row r="485">
          <cell r="A485" t="str">
            <v>ptd</v>
          </cell>
          <cell r="B485">
            <v>308184.94818288274</v>
          </cell>
          <cell r="C485">
            <v>620255.95107943099</v>
          </cell>
          <cell r="D485">
            <v>1148280.8882312293</v>
          </cell>
          <cell r="E485">
            <v>1581260.7139967135</v>
          </cell>
          <cell r="F485">
            <v>544630.44194126513</v>
          </cell>
          <cell r="G485">
            <v>1766313.5954826945</v>
          </cell>
          <cell r="H485">
            <v>2474143.0112570385</v>
          </cell>
          <cell r="I485">
            <v>3324144.1420770893</v>
          </cell>
          <cell r="J485">
            <v>857160.92465671862</v>
          </cell>
          <cell r="K485">
            <v>1847965.5997763881</v>
          </cell>
          <cell r="L485">
            <v>2919844.4742965703</v>
          </cell>
          <cell r="M485">
            <v>4120361.0868667127</v>
          </cell>
          <cell r="N485">
            <v>1324051.7334577367</v>
          </cell>
          <cell r="O485">
            <v>2757321.6637667539</v>
          </cell>
          <cell r="P485">
            <v>4219579.1126847491</v>
          </cell>
          <cell r="Q485">
            <v>5503078.9333050614</v>
          </cell>
          <cell r="R485">
            <v>1398253.7561453111</v>
          </cell>
          <cell r="S485">
            <v>2749718.6616321928</v>
          </cell>
          <cell r="T485">
            <v>4129250.2950268174</v>
          </cell>
          <cell r="U485">
            <v>5289314.0727405353</v>
          </cell>
          <cell r="V485">
            <v>2530343.7232824992</v>
          </cell>
          <cell r="W485">
            <v>4500978.1036707787</v>
          </cell>
          <cell r="X485">
            <v>6332232.9703483405</v>
          </cell>
          <cell r="Y485">
            <v>8750423.6937078703</v>
          </cell>
          <cell r="Z485">
            <v>2344691.5358758373</v>
          </cell>
          <cell r="AA485">
            <v>4897094.8141418369</v>
          </cell>
          <cell r="AB485">
            <v>8130373.1003300948</v>
          </cell>
          <cell r="AC485">
            <v>11414848.773065988</v>
          </cell>
          <cell r="AD485">
            <v>3621565.7085924372</v>
          </cell>
          <cell r="AE485">
            <v>7129085.0590932965</v>
          </cell>
          <cell r="AF485">
            <v>10632601.776402198</v>
          </cell>
          <cell r="AG485">
            <v>14161242.033613704</v>
          </cell>
          <cell r="AH485">
            <v>3016687.7858324209</v>
          </cell>
          <cell r="AI485">
            <v>5753788.5637159841</v>
          </cell>
          <cell r="AJ485">
            <v>7692552.6857324475</v>
          </cell>
          <cell r="AK485">
            <v>8360607.1395368548</v>
          </cell>
          <cell r="AL485">
            <v>288565.90909589082</v>
          </cell>
          <cell r="AM485">
            <v>682502.47226569138</v>
          </cell>
          <cell r="AN485">
            <v>1241944.3683647481</v>
          </cell>
          <cell r="AO485">
            <v>2338539.8697946891</v>
          </cell>
          <cell r="AP485">
            <v>1812939.7940104539</v>
          </cell>
          <cell r="AQ485">
            <v>4520243.7414884772</v>
          </cell>
          <cell r="AR485">
            <v>5780910.4556167116</v>
          </cell>
          <cell r="AS485">
            <v>8607202.9550638665</v>
          </cell>
          <cell r="AT485">
            <v>274099.26025054092</v>
          </cell>
          <cell r="AU485">
            <v>526560.50652770512</v>
          </cell>
          <cell r="AV485">
            <v>840344.80095261009</v>
          </cell>
          <cell r="AW485">
            <v>1237531.2475227546</v>
          </cell>
          <cell r="AX485">
            <v>518204.06546015787</v>
          </cell>
          <cell r="AY485">
            <v>1418049.8036871031</v>
          </cell>
          <cell r="AZ485">
            <v>2744137.8345212806</v>
          </cell>
          <cell r="BA485">
            <v>3141429.8913646271</v>
          </cell>
          <cell r="BB485">
            <v>3141429.8913646271</v>
          </cell>
        </row>
        <row r="486">
          <cell r="A486" t="str">
            <v>qtd</v>
          </cell>
          <cell r="B486">
            <v>308184.94818288274</v>
          </cell>
          <cell r="C486">
            <v>620255.95107943099</v>
          </cell>
          <cell r="D486">
            <v>1148280.8882312293</v>
          </cell>
          <cell r="E486">
            <v>1581260.7139967135</v>
          </cell>
          <cell r="F486">
            <v>2125891.1559379785</v>
          </cell>
          <cell r="G486">
            <v>3347574.309479408</v>
          </cell>
          <cell r="H486">
            <v>4055403.7252537515</v>
          </cell>
          <cell r="I486">
            <v>4905404.8560738023</v>
          </cell>
          <cell r="J486">
            <v>5762565.7807305213</v>
          </cell>
          <cell r="K486">
            <v>6753370.4558501905</v>
          </cell>
          <cell r="L486">
            <v>7825249.3303703722</v>
          </cell>
          <cell r="M486">
            <v>9025765.9429405145</v>
          </cell>
          <cell r="N486">
            <v>1324051.7334577367</v>
          </cell>
          <cell r="O486">
            <v>2757321.6637667539</v>
          </cell>
          <cell r="P486">
            <v>4219579.1126847491</v>
          </cell>
          <cell r="Q486">
            <v>5503078.9333050614</v>
          </cell>
          <cell r="R486">
            <v>6901332.689450372</v>
          </cell>
          <cell r="S486">
            <v>8252797.5949372537</v>
          </cell>
          <cell r="T486">
            <v>9632329.2283318788</v>
          </cell>
          <cell r="U486">
            <v>10792393.006045597</v>
          </cell>
          <cell r="V486">
            <v>13322736.729328096</v>
          </cell>
          <cell r="W486">
            <v>15293371.109716374</v>
          </cell>
          <cell r="X486">
            <v>17124625.976393938</v>
          </cell>
          <cell r="Y486">
            <v>19542816.699753467</v>
          </cell>
          <cell r="Z486">
            <v>2344691.5358758373</v>
          </cell>
          <cell r="AA486">
            <v>4897094.8141418369</v>
          </cell>
          <cell r="AB486">
            <v>8130373.1003300948</v>
          </cell>
          <cell r="AC486">
            <v>11414848.773065988</v>
          </cell>
          <cell r="AD486">
            <v>15036414.481658425</v>
          </cell>
          <cell r="AE486">
            <v>18543933.832159285</v>
          </cell>
          <cell r="AF486">
            <v>22047450.549468186</v>
          </cell>
          <cell r="AG486">
            <v>25576090.806679692</v>
          </cell>
          <cell r="AH486">
            <v>28592778.592512112</v>
          </cell>
          <cell r="AI486">
            <v>31329879.370395675</v>
          </cell>
          <cell r="AJ486">
            <v>33268643.492412139</v>
          </cell>
          <cell r="AK486">
            <v>33936697.946216546</v>
          </cell>
          <cell r="AL486">
            <v>288565.90909589082</v>
          </cell>
          <cell r="AM486">
            <v>682502.47226569138</v>
          </cell>
          <cell r="AN486">
            <v>1241944.3683647481</v>
          </cell>
          <cell r="AO486">
            <v>2338539.8697946891</v>
          </cell>
          <cell r="AP486">
            <v>4151479.663805143</v>
          </cell>
          <cell r="AQ486">
            <v>6858783.6112831663</v>
          </cell>
          <cell r="AR486">
            <v>8119450.3254114008</v>
          </cell>
          <cell r="AS486">
            <v>10945742.824858556</v>
          </cell>
          <cell r="AT486">
            <v>11219842.085109096</v>
          </cell>
          <cell r="AU486">
            <v>11472303.331386261</v>
          </cell>
          <cell r="AV486">
            <v>11786087.625811165</v>
          </cell>
          <cell r="AW486">
            <v>12183274.07238131</v>
          </cell>
          <cell r="AX486">
            <v>12701478.137841469</v>
          </cell>
          <cell r="AY486">
            <v>13601323.876068413</v>
          </cell>
          <cell r="AZ486">
            <v>14927411.906902591</v>
          </cell>
          <cell r="BA486">
            <v>15324703.963745937</v>
          </cell>
          <cell r="BB486">
            <v>15324703.963745937</v>
          </cell>
        </row>
        <row r="487">
          <cell r="A487" t="str">
            <v>ytd</v>
          </cell>
          <cell r="B487">
            <v>308184.94818288274</v>
          </cell>
          <cell r="C487">
            <v>620255.95107943099</v>
          </cell>
          <cell r="D487">
            <v>1148280.8882312293</v>
          </cell>
          <cell r="E487">
            <v>1581260.7139967135</v>
          </cell>
          <cell r="F487">
            <v>2125891.1559379785</v>
          </cell>
          <cell r="G487">
            <v>3347574.309479408</v>
          </cell>
          <cell r="H487">
            <v>4055403.7252537515</v>
          </cell>
          <cell r="I487">
            <v>4905404.8560738023</v>
          </cell>
          <cell r="J487">
            <v>5762565.7807305213</v>
          </cell>
          <cell r="K487">
            <v>6753370.4558501905</v>
          </cell>
          <cell r="L487">
            <v>7825249.3303703722</v>
          </cell>
          <cell r="M487">
            <v>9025765.9429405145</v>
          </cell>
          <cell r="N487">
            <v>10349817.676398251</v>
          </cell>
          <cell r="O487">
            <v>11783087.606707267</v>
          </cell>
          <cell r="P487">
            <v>13245345.055625264</v>
          </cell>
          <cell r="Q487">
            <v>14528844.876245577</v>
          </cell>
          <cell r="R487">
            <v>15927098.632390888</v>
          </cell>
          <cell r="S487">
            <v>17278563.537877768</v>
          </cell>
          <cell r="T487">
            <v>18658095.171272393</v>
          </cell>
          <cell r="U487">
            <v>19818158.948986113</v>
          </cell>
          <cell r="V487">
            <v>22348502.672268614</v>
          </cell>
          <cell r="W487">
            <v>24319137.052656893</v>
          </cell>
          <cell r="X487">
            <v>26150391.919334456</v>
          </cell>
          <cell r="Y487">
            <v>28568582.642693985</v>
          </cell>
          <cell r="Z487">
            <v>30913274.178569824</v>
          </cell>
          <cell r="AA487">
            <v>33465677.456835821</v>
          </cell>
          <cell r="AB487">
            <v>36698955.743024081</v>
          </cell>
          <cell r="AC487">
            <v>39983431.415759973</v>
          </cell>
          <cell r="AD487">
            <v>43604997.12435241</v>
          </cell>
          <cell r="AE487">
            <v>47112516.47485327</v>
          </cell>
          <cell r="AF487">
            <v>50616033.192162171</v>
          </cell>
          <cell r="AG487">
            <v>54144673.449373677</v>
          </cell>
          <cell r="AH487">
            <v>57161361.235206097</v>
          </cell>
          <cell r="AI487">
            <v>59898462.013089657</v>
          </cell>
          <cell r="AJ487">
            <v>61837226.135106117</v>
          </cell>
          <cell r="AK487">
            <v>62505280.58891052</v>
          </cell>
          <cell r="AL487">
            <v>62793846.498006411</v>
          </cell>
          <cell r="AM487">
            <v>63187783.061176211</v>
          </cell>
          <cell r="AN487">
            <v>63747224.957275264</v>
          </cell>
          <cell r="AO487">
            <v>64843820.458705202</v>
          </cell>
          <cell r="AP487">
            <v>66656760.252715655</v>
          </cell>
          <cell r="AQ487">
            <v>69364064.200193673</v>
          </cell>
          <cell r="AR487">
            <v>70624730.914321914</v>
          </cell>
          <cell r="AS487">
            <v>73451023.413769066</v>
          </cell>
          <cell r="AT487">
            <v>73725122.674019605</v>
          </cell>
          <cell r="AU487">
            <v>73977583.920296773</v>
          </cell>
          <cell r="AV487">
            <v>74291368.21472168</v>
          </cell>
          <cell r="AW487">
            <v>74688554.661291823</v>
          </cell>
          <cell r="AX487">
            <v>75206758.726751983</v>
          </cell>
          <cell r="AY487">
            <v>76106604.464978933</v>
          </cell>
          <cell r="AZ487">
            <v>77432692.495813116</v>
          </cell>
          <cell r="BA487">
            <v>77829984.552656457</v>
          </cell>
          <cell r="BB487">
            <v>77829984.552656457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</row>
        <row r="492">
          <cell r="A492" t="str">
            <v>TOTAL</v>
          </cell>
          <cell r="B492">
            <v>48029053.713562474</v>
          </cell>
          <cell r="C492">
            <v>46759321.862863533</v>
          </cell>
          <cell r="D492">
            <v>44631655.103040516</v>
          </cell>
          <cell r="E492">
            <v>44520352.441709444</v>
          </cell>
          <cell r="F492">
            <v>46605755.974739268</v>
          </cell>
          <cell r="G492">
            <v>62185882.251695879</v>
          </cell>
          <cell r="H492">
            <v>49073870.761370778</v>
          </cell>
          <cell r="I492">
            <v>45821574.040246069</v>
          </cell>
          <cell r="J492">
            <v>46773186.182129271</v>
          </cell>
          <cell r="K492">
            <v>47940495.821035542</v>
          </cell>
          <cell r="L492">
            <v>50440092.52493082</v>
          </cell>
          <cell r="M492">
            <v>51033174.474848934</v>
          </cell>
          <cell r="N492">
            <v>50524413.566660821</v>
          </cell>
          <cell r="O492">
            <v>66254151.367713369</v>
          </cell>
          <cell r="P492">
            <v>49610570.503831238</v>
          </cell>
          <cell r="Q492">
            <v>54464799.215754732</v>
          </cell>
          <cell r="R492">
            <v>59847719.176751971</v>
          </cell>
          <cell r="S492">
            <v>90097405.199632242</v>
          </cell>
          <cell r="T492">
            <v>75077986.713193744</v>
          </cell>
          <cell r="U492">
            <v>63470986.683258422</v>
          </cell>
          <cell r="V492">
            <v>71195042.020130113</v>
          </cell>
          <cell r="W492">
            <v>72963415.565853998</v>
          </cell>
          <cell r="X492">
            <v>85241996.55178906</v>
          </cell>
          <cell r="Y492">
            <v>106972312.78592305</v>
          </cell>
          <cell r="Z492">
            <v>81404350.864739165</v>
          </cell>
          <cell r="AA492">
            <v>65326421.127581447</v>
          </cell>
          <cell r="AB492">
            <v>61471778.12133275</v>
          </cell>
          <cell r="AC492">
            <v>61826867.718281239</v>
          </cell>
          <cell r="AD492">
            <v>61976689.940328263</v>
          </cell>
          <cell r="AE492">
            <v>61246313.575279355</v>
          </cell>
          <cell r="AF492">
            <v>62645683.511502042</v>
          </cell>
          <cell r="AG492">
            <v>64449693.001044214</v>
          </cell>
          <cell r="AH492">
            <v>65945996.498349689</v>
          </cell>
          <cell r="AI492">
            <v>66633977.107372731</v>
          </cell>
          <cell r="AJ492">
            <v>64905184.211308666</v>
          </cell>
          <cell r="AK492">
            <v>56856659.034106135</v>
          </cell>
          <cell r="AL492">
            <v>57048592.250274435</v>
          </cell>
          <cell r="AM492">
            <v>57465716.420277126</v>
          </cell>
          <cell r="AN492">
            <v>58003918.813455075</v>
          </cell>
          <cell r="AO492">
            <v>59915087.841076545</v>
          </cell>
          <cell r="AP492">
            <v>60143756.405230045</v>
          </cell>
          <cell r="AQ492">
            <v>64782091.27421879</v>
          </cell>
          <cell r="AR492">
            <v>63943906.467012107</v>
          </cell>
          <cell r="AS492">
            <v>68011925.57372281</v>
          </cell>
          <cell r="AT492">
            <v>68781763.373023093</v>
          </cell>
          <cell r="AU492">
            <v>75845172.636967212</v>
          </cell>
          <cell r="AV492">
            <v>86543038.114856884</v>
          </cell>
          <cell r="AW492">
            <v>131775701.83737306</v>
          </cell>
          <cell r="AX492">
            <v>222841261.8173115</v>
          </cell>
          <cell r="AY492">
            <v>439390727.39315724</v>
          </cell>
          <cell r="AZ492">
            <v>566191078.57465315</v>
          </cell>
          <cell r="BA492">
            <v>131847291.87416935</v>
          </cell>
          <cell r="BB492">
            <v>0</v>
          </cell>
        </row>
        <row r="493">
          <cell r="A493" t="str">
            <v>ptd</v>
          </cell>
          <cell r="B493">
            <v>48029053.713562474</v>
          </cell>
          <cell r="C493">
            <v>94788375.576426014</v>
          </cell>
          <cell r="D493">
            <v>139420030.67946652</v>
          </cell>
          <cell r="E493">
            <v>183940383.12117597</v>
          </cell>
          <cell r="F493">
            <v>46605755.974739276</v>
          </cell>
          <cell r="G493">
            <v>108791638.22643514</v>
          </cell>
          <cell r="H493">
            <v>157865508.98780593</v>
          </cell>
          <cell r="I493">
            <v>203687083.02805197</v>
          </cell>
          <cell r="J493">
            <v>46773186.182129271</v>
          </cell>
          <cell r="K493">
            <v>94713682.003164813</v>
          </cell>
          <cell r="L493">
            <v>145153774.5280956</v>
          </cell>
          <cell r="M493">
            <v>196186949.00294453</v>
          </cell>
          <cell r="N493">
            <v>50524413.566660821</v>
          </cell>
          <cell r="O493">
            <v>116778564.93437418</v>
          </cell>
          <cell r="P493">
            <v>166389135.43820542</v>
          </cell>
          <cell r="Q493">
            <v>220853934.65396014</v>
          </cell>
          <cell r="R493">
            <v>59847719.176751979</v>
          </cell>
          <cell r="S493">
            <v>149945124.37638423</v>
          </cell>
          <cell r="T493">
            <v>225023111.089578</v>
          </cell>
          <cell r="U493">
            <v>288494097.77283633</v>
          </cell>
          <cell r="V493">
            <v>71195042.020130098</v>
          </cell>
          <cell r="W493">
            <v>144158457.58598411</v>
          </cell>
          <cell r="X493">
            <v>229400454.13777316</v>
          </cell>
          <cell r="Y493">
            <v>336372766.92369622</v>
          </cell>
          <cell r="Z493">
            <v>81404350.864739165</v>
          </cell>
          <cell r="AA493">
            <v>146730771.99232063</v>
          </cell>
          <cell r="AB493">
            <v>208202550.11365339</v>
          </cell>
          <cell r="AC493">
            <v>270029417.83193457</v>
          </cell>
          <cell r="AD493">
            <v>61976689.940328248</v>
          </cell>
          <cell r="AE493">
            <v>123223003.5156076</v>
          </cell>
          <cell r="AF493">
            <v>185868687.02710962</v>
          </cell>
          <cell r="AG493">
            <v>250318380.02815387</v>
          </cell>
          <cell r="AH493">
            <v>65945996.498349696</v>
          </cell>
          <cell r="AI493">
            <v>132579973.60572244</v>
          </cell>
          <cell r="AJ493">
            <v>197485157.81703112</v>
          </cell>
          <cell r="AK493">
            <v>254341816.85113725</v>
          </cell>
          <cell r="AL493">
            <v>57048592.250274435</v>
          </cell>
          <cell r="AM493">
            <v>114514308.67055157</v>
          </cell>
          <cell r="AN493">
            <v>172518227.48400661</v>
          </cell>
          <cell r="AO493">
            <v>232433315.3250832</v>
          </cell>
          <cell r="AP493">
            <v>60143756.405230038</v>
          </cell>
          <cell r="AQ493">
            <v>124925847.67944883</v>
          </cell>
          <cell r="AR493">
            <v>188869754.14646095</v>
          </cell>
          <cell r="AS493">
            <v>256881679.72018373</v>
          </cell>
          <cell r="AT493">
            <v>68781763.373023093</v>
          </cell>
          <cell r="AU493">
            <v>144626936.00999033</v>
          </cell>
          <cell r="AV493">
            <v>231169974.12484717</v>
          </cell>
          <cell r="AW493">
            <v>362945675.96222031</v>
          </cell>
          <cell r="AX493">
            <v>222841261.81731147</v>
          </cell>
          <cell r="AY493">
            <v>662231989.21046865</v>
          </cell>
          <cell r="AZ493">
            <v>1228423067.7851219</v>
          </cell>
          <cell r="BA493">
            <v>1360270359.6592913</v>
          </cell>
          <cell r="BB493">
            <v>1360270359.6592913</v>
          </cell>
        </row>
        <row r="494">
          <cell r="A494" t="str">
            <v>qtd</v>
          </cell>
          <cell r="B494">
            <v>48029053.713562474</v>
          </cell>
          <cell r="C494">
            <v>94788375.576426014</v>
          </cell>
          <cell r="D494">
            <v>139420030.67946652</v>
          </cell>
          <cell r="E494">
            <v>183940383.12117597</v>
          </cell>
          <cell r="F494">
            <v>230546139.09591526</v>
          </cell>
          <cell r="G494">
            <v>292732021.34761113</v>
          </cell>
          <cell r="H494">
            <v>341805892.10898191</v>
          </cell>
          <cell r="I494">
            <v>387627466.14922798</v>
          </cell>
          <cell r="J494">
            <v>434400652.3313573</v>
          </cell>
          <cell r="K494">
            <v>482341148.15239275</v>
          </cell>
          <cell r="L494">
            <v>532781240.67732358</v>
          </cell>
          <cell r="M494">
            <v>583814415.15217245</v>
          </cell>
          <cell r="N494">
            <v>50524413.566660821</v>
          </cell>
          <cell r="O494">
            <v>116778564.93437418</v>
          </cell>
          <cell r="P494">
            <v>166389135.43820542</v>
          </cell>
          <cell r="Q494">
            <v>220853934.65396014</v>
          </cell>
          <cell r="R494">
            <v>280701653.83071208</v>
          </cell>
          <cell r="S494">
            <v>370799059.03034437</v>
          </cell>
          <cell r="T494">
            <v>445877045.74353814</v>
          </cell>
          <cell r="U494">
            <v>509348032.42679656</v>
          </cell>
          <cell r="V494">
            <v>580543074.44692659</v>
          </cell>
          <cell r="W494">
            <v>653506490.01278067</v>
          </cell>
          <cell r="X494">
            <v>738748486.56456959</v>
          </cell>
          <cell r="Y494">
            <v>845720799.35049272</v>
          </cell>
          <cell r="Z494">
            <v>81404350.864739165</v>
          </cell>
          <cell r="AA494">
            <v>146730771.99232063</v>
          </cell>
          <cell r="AB494">
            <v>208202550.11365339</v>
          </cell>
          <cell r="AC494">
            <v>270029417.83193457</v>
          </cell>
          <cell r="AD494">
            <v>332006107.77226281</v>
          </cell>
          <cell r="AE494">
            <v>393252421.34754217</v>
          </cell>
          <cell r="AF494">
            <v>455898104.85904419</v>
          </cell>
          <cell r="AG494">
            <v>520347797.86008841</v>
          </cell>
          <cell r="AH494">
            <v>586293794.35843813</v>
          </cell>
          <cell r="AI494">
            <v>652927771.46581078</v>
          </cell>
          <cell r="AJ494">
            <v>717832955.67711961</v>
          </cell>
          <cell r="AK494">
            <v>774689614.71122575</v>
          </cell>
          <cell r="AL494">
            <v>57048592.250274435</v>
          </cell>
          <cell r="AM494">
            <v>114514308.67055157</v>
          </cell>
          <cell r="AN494">
            <v>172518227.48400661</v>
          </cell>
          <cell r="AO494">
            <v>232433315.3250832</v>
          </cell>
          <cell r="AP494">
            <v>292577071.73031318</v>
          </cell>
          <cell r="AQ494">
            <v>357359163.00453204</v>
          </cell>
          <cell r="AR494">
            <v>421303069.47154415</v>
          </cell>
          <cell r="AS494">
            <v>489314995.04526699</v>
          </cell>
          <cell r="AT494">
            <v>558096758.41829002</v>
          </cell>
          <cell r="AU494">
            <v>633941931.0552572</v>
          </cell>
          <cell r="AV494">
            <v>720484969.17011404</v>
          </cell>
          <cell r="AW494">
            <v>852260671.00748718</v>
          </cell>
          <cell r="AX494">
            <v>1075101932.8247986</v>
          </cell>
          <cell r="AY494">
            <v>1514492660.2179558</v>
          </cell>
          <cell r="AZ494">
            <v>2080683738.7926087</v>
          </cell>
          <cell r="BA494">
            <v>2212531030.6667786</v>
          </cell>
          <cell r="BB494">
            <v>2212531030.6667786</v>
          </cell>
        </row>
        <row r="495">
          <cell r="A495" t="str">
            <v>ytd</v>
          </cell>
          <cell r="B495">
            <v>48029053.713562474</v>
          </cell>
          <cell r="C495">
            <v>94788375.576426014</v>
          </cell>
          <cell r="D495">
            <v>139420030.67946652</v>
          </cell>
          <cell r="E495">
            <v>183940383.12117597</v>
          </cell>
          <cell r="F495">
            <v>230546139.09591526</v>
          </cell>
          <cell r="G495">
            <v>292732021.34761113</v>
          </cell>
          <cell r="H495">
            <v>341805892.10898191</v>
          </cell>
          <cell r="I495">
            <v>387627466.14922798</v>
          </cell>
          <cell r="J495">
            <v>434400652.3313573</v>
          </cell>
          <cell r="K495">
            <v>482341148.15239275</v>
          </cell>
          <cell r="L495">
            <v>532781240.67732358</v>
          </cell>
          <cell r="M495">
            <v>583814415.15217245</v>
          </cell>
          <cell r="N495">
            <v>634338828.71883333</v>
          </cell>
          <cell r="O495">
            <v>700592980.08654678</v>
          </cell>
          <cell r="P495">
            <v>750203550.59037793</v>
          </cell>
          <cell r="Q495">
            <v>804668349.80613256</v>
          </cell>
          <cell r="R495">
            <v>864516068.98288453</v>
          </cell>
          <cell r="S495">
            <v>954613474.18251681</v>
          </cell>
          <cell r="T495">
            <v>1029691460.8957106</v>
          </cell>
          <cell r="U495">
            <v>1093162447.578969</v>
          </cell>
          <cell r="V495">
            <v>1164357489.5990992</v>
          </cell>
          <cell r="W495">
            <v>1237320905.1649532</v>
          </cell>
          <cell r="X495">
            <v>1322562901.716742</v>
          </cell>
          <cell r="Y495">
            <v>1429535214.502665</v>
          </cell>
          <cell r="Z495">
            <v>1510939565.3674042</v>
          </cell>
          <cell r="AA495">
            <v>1576265986.4949856</v>
          </cell>
          <cell r="AB495">
            <v>1637737764.6163182</v>
          </cell>
          <cell r="AC495">
            <v>1699564632.3345997</v>
          </cell>
          <cell r="AD495">
            <v>1761541322.2749279</v>
          </cell>
          <cell r="AE495">
            <v>1822787635.8502073</v>
          </cell>
          <cell r="AF495">
            <v>1885433319.3617094</v>
          </cell>
          <cell r="AG495">
            <v>1949883012.3627536</v>
          </cell>
          <cell r="AH495">
            <v>2015829008.8611033</v>
          </cell>
          <cell r="AI495">
            <v>2082462985.9684756</v>
          </cell>
          <cell r="AJ495">
            <v>2147368170.1797845</v>
          </cell>
          <cell r="AK495">
            <v>2204224829.2138906</v>
          </cell>
          <cell r="AL495">
            <v>2261273421.4641652</v>
          </cell>
          <cell r="AM495">
            <v>2318739137.8844423</v>
          </cell>
          <cell r="AN495">
            <v>2376743056.697897</v>
          </cell>
          <cell r="AO495">
            <v>2436658144.5389738</v>
          </cell>
          <cell r="AP495">
            <v>2496801900.9442039</v>
          </cell>
          <cell r="AQ495">
            <v>2561583992.2184219</v>
          </cell>
          <cell r="AR495">
            <v>2625527898.6854348</v>
          </cell>
          <cell r="AS495">
            <v>2693539824.2591572</v>
          </cell>
          <cell r="AT495">
            <v>2762321587.6321807</v>
          </cell>
          <cell r="AU495">
            <v>2838166760.2691474</v>
          </cell>
          <cell r="AV495">
            <v>2924709798.3840046</v>
          </cell>
          <cell r="AW495">
            <v>3056485500.2213783</v>
          </cell>
          <cell r="AX495">
            <v>3279326762.0386891</v>
          </cell>
          <cell r="AY495">
            <v>3718717489.4318466</v>
          </cell>
          <cell r="AZ495">
            <v>4284908568.0064998</v>
          </cell>
          <cell r="BA495">
            <v>4416755859.8806686</v>
          </cell>
          <cell r="BB495">
            <v>4416755859.8806686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6209298</v>
          </cell>
          <cell r="C498">
            <v>6094259</v>
          </cell>
          <cell r="D498">
            <v>5525995</v>
          </cell>
          <cell r="E498">
            <v>5414138</v>
          </cell>
          <cell r="F498">
            <v>5791562</v>
          </cell>
          <cell r="G498">
            <v>8774767</v>
          </cell>
          <cell r="H498">
            <v>6214382</v>
          </cell>
          <cell r="I498">
            <v>5714227</v>
          </cell>
          <cell r="J498">
            <v>5914236</v>
          </cell>
          <cell r="K498">
            <v>5952146</v>
          </cell>
          <cell r="L498">
            <v>6293261</v>
          </cell>
          <cell r="M498">
            <v>6198993</v>
          </cell>
          <cell r="N498">
            <v>5981973</v>
          </cell>
          <cell r="O498">
            <v>8412431</v>
          </cell>
          <cell r="P498">
            <v>6102945</v>
          </cell>
          <cell r="Q498">
            <v>6517756</v>
          </cell>
          <cell r="R498">
            <v>7305918</v>
          </cell>
          <cell r="S498">
            <v>13400156</v>
          </cell>
          <cell r="T498">
            <v>10343949</v>
          </cell>
          <cell r="U498">
            <v>7832600</v>
          </cell>
          <cell r="V498">
            <v>9881236</v>
          </cell>
          <cell r="W498">
            <v>9830126</v>
          </cell>
          <cell r="X498">
            <v>11088423</v>
          </cell>
          <cell r="Y498">
            <v>16075113</v>
          </cell>
          <cell r="Z498">
            <v>10121169</v>
          </cell>
          <cell r="AA498">
            <v>6994835</v>
          </cell>
          <cell r="AB498">
            <v>7112722</v>
          </cell>
          <cell r="AC498">
            <v>7035119</v>
          </cell>
          <cell r="AD498">
            <v>7216169</v>
          </cell>
          <cell r="AE498">
            <v>6951457</v>
          </cell>
          <cell r="AF498">
            <v>7423729</v>
          </cell>
          <cell r="AG498">
            <v>6989024</v>
          </cell>
          <cell r="AH498">
            <v>6640605</v>
          </cell>
          <cell r="AI498">
            <v>6366582</v>
          </cell>
          <cell r="AJ498">
            <v>5864236</v>
          </cell>
          <cell r="AK498">
            <v>5558930</v>
          </cell>
          <cell r="AL498">
            <v>5348581</v>
          </cell>
          <cell r="AM498">
            <v>5332419</v>
          </cell>
          <cell r="AN498">
            <v>5287744</v>
          </cell>
          <cell r="AO498">
            <v>5822339</v>
          </cell>
          <cell r="AP498">
            <v>6071320</v>
          </cell>
          <cell r="AQ498">
            <v>7183627</v>
          </cell>
          <cell r="AR498">
            <v>6689474</v>
          </cell>
          <cell r="AS498">
            <v>7135591</v>
          </cell>
          <cell r="AT498">
            <v>6722151</v>
          </cell>
          <cell r="AU498">
            <v>7362731</v>
          </cell>
          <cell r="AV498">
            <v>8864638</v>
          </cell>
          <cell r="AW498">
            <v>17518743</v>
          </cell>
          <cell r="AX498">
            <v>31428357</v>
          </cell>
          <cell r="AY498">
            <v>68101461</v>
          </cell>
          <cell r="AZ498">
            <v>83697777</v>
          </cell>
          <cell r="BA498">
            <v>11682120</v>
          </cell>
          <cell r="BB498">
            <v>0</v>
          </cell>
        </row>
        <row r="499">
          <cell r="A499" t="str">
            <v>GE</v>
          </cell>
          <cell r="B499">
            <v>7295572.80105625</v>
          </cell>
          <cell r="C499">
            <v>7342817.80105625</v>
          </cell>
          <cell r="D499">
            <v>8090224.2278562505</v>
          </cell>
          <cell r="E499">
            <v>8444558.9162562508</v>
          </cell>
          <cell r="F499">
            <v>8735365.3768000007</v>
          </cell>
          <cell r="G499">
            <v>9109641.0492000002</v>
          </cell>
          <cell r="H499">
            <v>8946636.8107999992</v>
          </cell>
          <cell r="I499">
            <v>8465280.0767999999</v>
          </cell>
          <cell r="J499">
            <v>7397801.4035999998</v>
          </cell>
          <cell r="K499">
            <v>7251932.6883999994</v>
          </cell>
          <cell r="L499">
            <v>9122153.0384</v>
          </cell>
          <cell r="M499">
            <v>9910463.5499999989</v>
          </cell>
          <cell r="N499">
            <v>10321098.899999999</v>
          </cell>
          <cell r="O499">
            <v>10937627.6384</v>
          </cell>
          <cell r="P499">
            <v>8323773.6499999994</v>
          </cell>
          <cell r="Q499">
            <v>11243852.838399999</v>
          </cell>
          <cell r="R499">
            <v>12957013.75</v>
          </cell>
          <cell r="S499">
            <v>16729068.0384</v>
          </cell>
          <cell r="T499">
            <v>14608026.65</v>
          </cell>
          <cell r="U499">
            <v>13147650.399999999</v>
          </cell>
          <cell r="V499">
            <v>14983136.849999998</v>
          </cell>
          <cell r="W499">
            <v>15399441.4384</v>
          </cell>
          <cell r="X499">
            <v>16146495.949999999</v>
          </cell>
          <cell r="Y499">
            <v>18761962.649999999</v>
          </cell>
          <cell r="Z499">
            <v>15179112.5</v>
          </cell>
          <cell r="AA499">
            <v>14902884.050000001</v>
          </cell>
          <cell r="AB499">
            <v>13980284.399999999</v>
          </cell>
          <cell r="AC499">
            <v>14692646.499999998</v>
          </cell>
          <cell r="AD499">
            <v>14187405.22746875</v>
          </cell>
          <cell r="AE499">
            <v>13728035.227468751</v>
          </cell>
          <cell r="AF499">
            <v>13498724.52746875</v>
          </cell>
          <cell r="AG499">
            <v>15940310.37746875</v>
          </cell>
          <cell r="AH499">
            <v>17487505.819068749</v>
          </cell>
          <cell r="AI499">
            <v>18279578.627468746</v>
          </cell>
          <cell r="AJ499">
            <v>19018060.977468748</v>
          </cell>
          <cell r="AK499">
            <v>12292893.877468752</v>
          </cell>
          <cell r="AL499">
            <v>12000584.97746875</v>
          </cell>
          <cell r="AM499">
            <v>11852613.02746875</v>
          </cell>
          <cell r="AN499">
            <v>12079393.827468751</v>
          </cell>
          <cell r="AO499">
            <v>12265105.22746875</v>
          </cell>
          <cell r="AP499">
            <v>11668148.70426875</v>
          </cell>
          <cell r="AQ499">
            <v>13355296.127468752</v>
          </cell>
          <cell r="AR499">
            <v>14074784.02746875</v>
          </cell>
          <cell r="AS499">
            <v>13692172.727468751</v>
          </cell>
          <cell r="AT499">
            <v>14195258.931068752</v>
          </cell>
          <cell r="AU499">
            <v>16797790.361468751</v>
          </cell>
          <cell r="AV499">
            <v>18824312.641868748</v>
          </cell>
          <cell r="AW499">
            <v>25120254.203468747</v>
          </cell>
          <cell r="AX499">
            <v>39454985.494800001</v>
          </cell>
          <cell r="AY499">
            <v>51119756.905599989</v>
          </cell>
          <cell r="AZ499">
            <v>48581021.302000001</v>
          </cell>
          <cell r="BA499">
            <v>23294179.452799998</v>
          </cell>
          <cell r="BB499">
            <v>0</v>
          </cell>
        </row>
        <row r="500">
          <cell r="A500" t="str">
            <v>SWY</v>
          </cell>
          <cell r="B500">
            <v>11125162.705059463</v>
          </cell>
          <cell r="C500">
            <v>11008178.705059463</v>
          </cell>
          <cell r="D500">
            <v>10454552.108152121</v>
          </cell>
          <cell r="E500">
            <v>10413130.42595683</v>
          </cell>
          <cell r="F500">
            <v>10773571.397763668</v>
          </cell>
          <cell r="G500">
            <v>15658703.159300653</v>
          </cell>
          <cell r="H500">
            <v>11216233.19968977</v>
          </cell>
          <cell r="I500">
            <v>10665240.803104518</v>
          </cell>
          <cell r="J500">
            <v>11176455.216425458</v>
          </cell>
          <cell r="K500">
            <v>11686004.068944242</v>
          </cell>
          <cell r="L500">
            <v>11797066.520167645</v>
          </cell>
          <cell r="M500">
            <v>11613500.612594593</v>
          </cell>
          <cell r="N500">
            <v>11969315.610115347</v>
          </cell>
          <cell r="O500">
            <v>15703294.757392706</v>
          </cell>
          <cell r="P500">
            <v>12396597.146453844</v>
          </cell>
          <cell r="Q500">
            <v>12724430.992666818</v>
          </cell>
          <cell r="R500">
            <v>13534293.1143423</v>
          </cell>
          <cell r="S500">
            <v>21007193.541854434</v>
          </cell>
          <cell r="T500">
            <v>16932673.174338076</v>
          </cell>
          <cell r="U500">
            <v>14385244.573766269</v>
          </cell>
          <cell r="V500">
            <v>16186282.991992002</v>
          </cell>
          <cell r="W500">
            <v>16693442.287158104</v>
          </cell>
          <cell r="X500">
            <v>19957982.955399729</v>
          </cell>
          <cell r="Y500">
            <v>23939031.425339185</v>
          </cell>
          <cell r="Z500">
            <v>17905288.806232758</v>
          </cell>
          <cell r="AA500">
            <v>14088027.581862966</v>
          </cell>
          <cell r="AB500">
            <v>13203357.356856788</v>
          </cell>
          <cell r="AC500">
            <v>13260866.34499581</v>
          </cell>
          <cell r="AD500">
            <v>13980356.126569474</v>
          </cell>
          <cell r="AE500">
            <v>13807820.137259798</v>
          </cell>
          <cell r="AF500">
            <v>14080687.03863861</v>
          </cell>
          <cell r="AG500">
            <v>14037756.07605486</v>
          </cell>
          <cell r="AH500">
            <v>14277125.425657494</v>
          </cell>
          <cell r="AI500">
            <v>14470232.679078206</v>
          </cell>
          <cell r="AJ500">
            <v>13328797.332356306</v>
          </cell>
          <cell r="AK500">
            <v>13160703.82505017</v>
          </cell>
          <cell r="AL500">
            <v>13174814.502917005</v>
          </cell>
          <cell r="AM500">
            <v>13237244.814803597</v>
          </cell>
          <cell r="AN500">
            <v>12952979.798564728</v>
          </cell>
          <cell r="AO500">
            <v>13324058.643359855</v>
          </cell>
          <cell r="AP500">
            <v>13289977.282132804</v>
          </cell>
          <cell r="AQ500">
            <v>13559983.227921061</v>
          </cell>
          <cell r="AR500">
            <v>13572103.597060136</v>
          </cell>
          <cell r="AS500">
            <v>13518952.400131188</v>
          </cell>
          <cell r="AT500">
            <v>14684989.740089465</v>
          </cell>
          <cell r="AU500">
            <v>15650939.695470372</v>
          </cell>
          <cell r="AV500">
            <v>16978727.787477586</v>
          </cell>
          <cell r="AW500">
            <v>27491717.421822049</v>
          </cell>
          <cell r="AX500">
            <v>48000701.072422102</v>
          </cell>
          <cell r="AY500">
            <v>105182118.38907193</v>
          </cell>
          <cell r="AZ500">
            <v>122926802.76097518</v>
          </cell>
          <cell r="BA500">
            <v>20192308.117133103</v>
          </cell>
          <cell r="BB500">
            <v>0</v>
          </cell>
        </row>
        <row r="501">
          <cell r="A501" t="str">
            <v>DIST</v>
          </cell>
          <cell r="B501">
            <v>36353204.333131038</v>
          </cell>
          <cell r="C501">
            <v>35198235.853280403</v>
          </cell>
          <cell r="D501">
            <v>33688455.272839248</v>
          </cell>
          <cell r="E501">
            <v>33619147.518616259</v>
          </cell>
          <cell r="F501">
            <v>35294451.396456882</v>
          </cell>
          <cell r="G501">
            <v>45806905.550064974</v>
          </cell>
          <cell r="H501">
            <v>37154395.962010607</v>
          </cell>
          <cell r="I501">
            <v>34485634.301655553</v>
          </cell>
          <cell r="J501">
            <v>34658586.51094687</v>
          </cell>
          <cell r="K501">
            <v>35485243.071028255</v>
          </cell>
          <cell r="L501">
            <v>37855338.114695817</v>
          </cell>
          <cell r="M501">
            <v>38619025.109764382</v>
          </cell>
          <cell r="N501">
            <v>37760652.209155068</v>
          </cell>
          <cell r="O501">
            <v>49701496.403422892</v>
          </cell>
          <cell r="P501">
            <v>36078130.444699615</v>
          </cell>
          <cell r="Q501">
            <v>40985604.554214634</v>
          </cell>
          <cell r="R501">
            <v>45404099.144490279</v>
          </cell>
          <cell r="S501">
            <v>68050896.563702792</v>
          </cell>
          <cell r="T501">
            <v>56337713.885518879</v>
          </cell>
          <cell r="U501">
            <v>47999052.755290844</v>
          </cell>
          <cell r="V501">
            <v>53931130.692052826</v>
          </cell>
          <cell r="W501">
            <v>55134600.160053886</v>
          </cell>
          <cell r="X501">
            <v>63595593.124892265</v>
          </cell>
          <cell r="Y501">
            <v>81758872.893857926</v>
          </cell>
          <cell r="Z501">
            <v>61899623.576744929</v>
          </cell>
          <cell r="AA501">
            <v>49832899.52334483</v>
          </cell>
          <cell r="AB501">
            <v>46536674.155175596</v>
          </cell>
          <cell r="AC501">
            <v>47342974.63391339</v>
          </cell>
          <cell r="AD501">
            <v>46593017.951006725</v>
          </cell>
          <cell r="AE501">
            <v>46058578.315205544</v>
          </cell>
          <cell r="AF501">
            <v>46852518.67143321</v>
          </cell>
          <cell r="AG501">
            <v>48986479.001996309</v>
          </cell>
          <cell r="AH501">
            <v>50113841.595826618</v>
          </cell>
          <cell r="AI501">
            <v>50545844.354976282</v>
          </cell>
          <cell r="AJ501">
            <v>49613789.959916346</v>
          </cell>
          <cell r="AK501">
            <v>41750338.95514705</v>
          </cell>
          <cell r="AL501">
            <v>41814957.966569848</v>
          </cell>
          <cell r="AM501">
            <v>42333459.624731414</v>
          </cell>
          <cell r="AN501">
            <v>42680628.448786229</v>
          </cell>
          <cell r="AO501">
            <v>44698007.168885536</v>
          </cell>
          <cell r="AP501">
            <v>45011718.553531364</v>
          </cell>
          <cell r="AQ501">
            <v>49297103.194256306</v>
          </cell>
          <cell r="AR501">
            <v>48117608.73477824</v>
          </cell>
          <cell r="AS501">
            <v>52414054.24581562</v>
          </cell>
          <cell r="AT501">
            <v>51524922.649319232</v>
          </cell>
          <cell r="AU501">
            <v>56923867.350001305</v>
          </cell>
          <cell r="AV501">
            <v>65807556.534957454</v>
          </cell>
          <cell r="AW501">
            <v>100541694.35732841</v>
          </cell>
          <cell r="AX501">
            <v>167675003.79319844</v>
          </cell>
          <cell r="AY501">
            <v>317066903.30422336</v>
          </cell>
          <cell r="AZ501">
            <v>409468114.56299686</v>
          </cell>
          <cell r="BA501">
            <v>96212839.016387105</v>
          </cell>
          <cell r="BB501">
            <v>0</v>
          </cell>
        </row>
        <row r="502">
          <cell r="A502" t="str">
            <v>INTL</v>
          </cell>
          <cell r="B502">
            <v>550686.67537197517</v>
          </cell>
          <cell r="C502">
            <v>552907.30452366651</v>
          </cell>
          <cell r="D502">
            <v>488647.72204914864</v>
          </cell>
          <cell r="E502">
            <v>488074.49713635468</v>
          </cell>
          <cell r="F502">
            <v>537733.18051871972</v>
          </cell>
          <cell r="G502">
            <v>720273.54233024805</v>
          </cell>
          <cell r="H502">
            <v>703241.59967039933</v>
          </cell>
          <cell r="I502">
            <v>670698.93548600585</v>
          </cell>
          <cell r="J502">
            <v>938144.45475694234</v>
          </cell>
          <cell r="K502">
            <v>769248.68106305087</v>
          </cell>
          <cell r="L502">
            <v>787687.89006735163</v>
          </cell>
          <cell r="M502">
            <v>800648.75248996308</v>
          </cell>
          <cell r="N502">
            <v>794445.74739040388</v>
          </cell>
          <cell r="O502">
            <v>849360.20689776994</v>
          </cell>
          <cell r="P502">
            <v>1135842.9126777777</v>
          </cell>
          <cell r="Q502">
            <v>754763.66887327738</v>
          </cell>
          <cell r="R502">
            <v>909326.91791939363</v>
          </cell>
          <cell r="S502">
            <v>1039315.0940750135</v>
          </cell>
          <cell r="T502">
            <v>1807599.6533367962</v>
          </cell>
          <cell r="U502">
            <v>1086689.3542013117</v>
          </cell>
          <cell r="V502">
            <v>1077628.3360852706</v>
          </cell>
          <cell r="W502">
            <v>1135373.1186420233</v>
          </cell>
          <cell r="X502">
            <v>1688420.4714970747</v>
          </cell>
          <cell r="Y502">
            <v>1274408.4667259464</v>
          </cell>
          <cell r="Z502">
            <v>1599438.4817614767</v>
          </cell>
          <cell r="AA502">
            <v>1405494.022373656</v>
          </cell>
          <cell r="AB502">
            <v>1731746.6093003743</v>
          </cell>
          <cell r="AC502">
            <v>1223026.739372036</v>
          </cell>
          <cell r="AD502">
            <v>1403315.8627520564</v>
          </cell>
          <cell r="AE502">
            <v>1379915.1228140108</v>
          </cell>
          <cell r="AF502">
            <v>1712477.8014302207</v>
          </cell>
          <cell r="AG502">
            <v>1425457.9229930516</v>
          </cell>
          <cell r="AH502">
            <v>1555029.4768655836</v>
          </cell>
          <cell r="AI502">
            <v>1617900.0733182426</v>
          </cell>
          <cell r="AJ502">
            <v>1962596.9190360093</v>
          </cell>
          <cell r="AK502">
            <v>1945616.2539089201</v>
          </cell>
          <cell r="AL502">
            <v>2058819.7807875837</v>
          </cell>
          <cell r="AM502">
            <v>1895011.9807421176</v>
          </cell>
          <cell r="AN502">
            <v>2370310.5661041224</v>
          </cell>
          <cell r="AO502">
            <v>1893022.028831152</v>
          </cell>
          <cell r="AP502">
            <v>1842060.569565881</v>
          </cell>
          <cell r="AQ502">
            <v>1925004.8520414205</v>
          </cell>
          <cell r="AR502">
            <v>2254194.1351737324</v>
          </cell>
          <cell r="AS502">
            <v>2078918.9277760079</v>
          </cell>
          <cell r="AT502">
            <v>2571850.9836143991</v>
          </cell>
          <cell r="AU502">
            <v>3270365.591495547</v>
          </cell>
          <cell r="AV502">
            <v>3756753.7924218317</v>
          </cell>
          <cell r="AW502">
            <v>3742290.0582226105</v>
          </cell>
          <cell r="AX502">
            <v>7165556.9516909327</v>
          </cell>
          <cell r="AY502">
            <v>17141705.699861996</v>
          </cell>
          <cell r="AZ502">
            <v>33796161.25068111</v>
          </cell>
          <cell r="BA502">
            <v>15442144.74064913</v>
          </cell>
          <cell r="BB502">
            <v>0</v>
          </cell>
        </row>
        <row r="561">
          <cell r="A561" t="str">
            <v>A &amp; P</v>
          </cell>
          <cell r="B561">
            <v>638739</v>
          </cell>
          <cell r="C561">
            <v>1265733</v>
          </cell>
          <cell r="D561">
            <v>1843784</v>
          </cell>
          <cell r="E561">
            <v>2406091</v>
          </cell>
          <cell r="F561">
            <v>584182</v>
          </cell>
          <cell r="G561">
            <v>1312137</v>
          </cell>
          <cell r="H561">
            <v>1898564</v>
          </cell>
          <cell r="I561">
            <v>2473234</v>
          </cell>
          <cell r="J561">
            <v>534311</v>
          </cell>
          <cell r="K561">
            <v>1092390</v>
          </cell>
          <cell r="L561">
            <v>1656429</v>
          </cell>
          <cell r="M561">
            <v>2214578</v>
          </cell>
          <cell r="N561">
            <v>560557</v>
          </cell>
          <cell r="O561">
            <v>1418674</v>
          </cell>
          <cell r="P561">
            <v>1976458</v>
          </cell>
          <cell r="Q561">
            <v>2568237</v>
          </cell>
          <cell r="R561">
            <v>639465</v>
          </cell>
          <cell r="S561">
            <v>1653920</v>
          </cell>
          <cell r="T561">
            <v>2484384</v>
          </cell>
          <cell r="U561">
            <v>3159813</v>
          </cell>
          <cell r="V561">
            <v>732343</v>
          </cell>
          <cell r="W561">
            <v>1534985</v>
          </cell>
          <cell r="X561">
            <v>2620163</v>
          </cell>
          <cell r="Y561">
            <v>4162264</v>
          </cell>
          <cell r="Z561">
            <v>1331886</v>
          </cell>
          <cell r="AA561">
            <v>2180809</v>
          </cell>
          <cell r="AB561">
            <v>2813485</v>
          </cell>
          <cell r="AC561">
            <v>3434287</v>
          </cell>
          <cell r="AD561">
            <v>642253</v>
          </cell>
          <cell r="AE561">
            <v>1288993</v>
          </cell>
          <cell r="AF561">
            <v>1955336</v>
          </cell>
          <cell r="AG561">
            <v>2611239</v>
          </cell>
          <cell r="AH561">
            <v>668021</v>
          </cell>
          <cell r="AI561">
            <v>1295528</v>
          </cell>
          <cell r="AJ561">
            <v>1893338</v>
          </cell>
          <cell r="AK561">
            <v>2505335</v>
          </cell>
          <cell r="AL561">
            <v>602497</v>
          </cell>
          <cell r="AM561">
            <v>1202369</v>
          </cell>
          <cell r="AN561">
            <v>1806985</v>
          </cell>
          <cell r="AO561">
            <v>2381785</v>
          </cell>
          <cell r="AP561">
            <v>587964</v>
          </cell>
          <cell r="AQ561">
            <v>1171275</v>
          </cell>
          <cell r="AR561">
            <v>1738549</v>
          </cell>
          <cell r="AS561">
            <v>2308549</v>
          </cell>
          <cell r="AT561">
            <v>652401</v>
          </cell>
          <cell r="AU561">
            <v>1340391</v>
          </cell>
          <cell r="AV561">
            <v>2115868</v>
          </cell>
          <cell r="AW561">
            <v>3206219</v>
          </cell>
          <cell r="AX561">
            <v>1779067</v>
          </cell>
          <cell r="AY561">
            <v>6141059</v>
          </cell>
          <cell r="AZ561">
            <v>12491487</v>
          </cell>
          <cell r="BA561">
            <v>13417917</v>
          </cell>
          <cell r="BB561">
            <v>13417917</v>
          </cell>
        </row>
        <row r="562">
          <cell r="A562" t="str">
            <v>AHOLD</v>
          </cell>
          <cell r="B562">
            <v>2274260</v>
          </cell>
          <cell r="C562">
            <v>4498554</v>
          </cell>
          <cell r="D562">
            <v>6479053</v>
          </cell>
          <cell r="E562">
            <v>8470293</v>
          </cell>
          <cell r="F562">
            <v>2092695</v>
          </cell>
          <cell r="G562">
            <v>4953716</v>
          </cell>
          <cell r="H562">
            <v>7108083</v>
          </cell>
          <cell r="I562">
            <v>9189771</v>
          </cell>
          <cell r="J562">
            <v>2206168</v>
          </cell>
          <cell r="K562">
            <v>4475548</v>
          </cell>
          <cell r="L562">
            <v>6820393</v>
          </cell>
          <cell r="M562">
            <v>9015231</v>
          </cell>
          <cell r="N562">
            <v>2210020</v>
          </cell>
          <cell r="O562">
            <v>5769017</v>
          </cell>
          <cell r="P562">
            <v>7963894</v>
          </cell>
          <cell r="Q562">
            <v>10340197</v>
          </cell>
          <cell r="R562">
            <v>2639410</v>
          </cell>
          <cell r="S562">
            <v>7033666</v>
          </cell>
          <cell r="T562">
            <v>10547005</v>
          </cell>
          <cell r="U562">
            <v>13368914</v>
          </cell>
          <cell r="V562">
            <v>3242852</v>
          </cell>
          <cell r="W562">
            <v>6671116</v>
          </cell>
          <cell r="X562">
            <v>11129742</v>
          </cell>
          <cell r="Y562">
            <v>17041244</v>
          </cell>
          <cell r="Z562">
            <v>4712071</v>
          </cell>
          <cell r="AA562">
            <v>8006185</v>
          </cell>
          <cell r="AB562">
            <v>10914257</v>
          </cell>
          <cell r="AC562">
            <v>13927461</v>
          </cell>
          <cell r="AD562">
            <v>2908416</v>
          </cell>
          <cell r="AE562">
            <v>5878462</v>
          </cell>
          <cell r="AF562">
            <v>8916512</v>
          </cell>
          <cell r="AG562">
            <v>12000449</v>
          </cell>
          <cell r="AH562">
            <v>3073705</v>
          </cell>
          <cell r="AI562">
            <v>6168016</v>
          </cell>
          <cell r="AJ562">
            <v>9079210</v>
          </cell>
          <cell r="AK562">
            <v>11953435</v>
          </cell>
          <cell r="AL562">
            <v>2906555</v>
          </cell>
          <cell r="AM562">
            <v>5822155</v>
          </cell>
          <cell r="AN562">
            <v>8693191</v>
          </cell>
          <cell r="AO562">
            <v>11598391</v>
          </cell>
          <cell r="AP562">
            <v>2891110</v>
          </cell>
          <cell r="AQ562">
            <v>5832364</v>
          </cell>
          <cell r="AR562">
            <v>8790967</v>
          </cell>
          <cell r="AS562">
            <v>11680236</v>
          </cell>
          <cell r="AT562">
            <v>3059158</v>
          </cell>
          <cell r="AU562">
            <v>6274903</v>
          </cell>
          <cell r="AV562">
            <v>9947370</v>
          </cell>
          <cell r="AW562">
            <v>15438269</v>
          </cell>
          <cell r="AX562">
            <v>9138449</v>
          </cell>
          <cell r="AY562">
            <v>29869966</v>
          </cell>
          <cell r="AZ562">
            <v>57876755</v>
          </cell>
          <cell r="BA562">
            <v>62550803</v>
          </cell>
          <cell r="BB562">
            <v>62550803</v>
          </cell>
        </row>
        <row r="563">
          <cell r="A563" t="str">
            <v>ALBERTSONS</v>
          </cell>
          <cell r="B563">
            <v>2217763</v>
          </cell>
          <cell r="C563">
            <v>4390593</v>
          </cell>
          <cell r="D563">
            <v>6330877</v>
          </cell>
          <cell r="E563">
            <v>8299554</v>
          </cell>
          <cell r="F563">
            <v>2109328</v>
          </cell>
          <cell r="G563">
            <v>5093944</v>
          </cell>
          <cell r="H563">
            <v>7304888</v>
          </cell>
          <cell r="I563">
            <v>9378741</v>
          </cell>
          <cell r="J563">
            <v>2201751</v>
          </cell>
          <cell r="K563">
            <v>4517989</v>
          </cell>
          <cell r="L563">
            <v>6916359</v>
          </cell>
          <cell r="M563">
            <v>9203300</v>
          </cell>
          <cell r="N563">
            <v>2300100</v>
          </cell>
          <cell r="O563">
            <v>5810220</v>
          </cell>
          <cell r="P563">
            <v>8154840</v>
          </cell>
          <cell r="Q563">
            <v>10644781</v>
          </cell>
          <cell r="R563">
            <v>2736172</v>
          </cell>
          <cell r="S563">
            <v>7171495</v>
          </cell>
          <cell r="T563">
            <v>10866470</v>
          </cell>
          <cell r="U563">
            <v>13799110</v>
          </cell>
          <cell r="V563">
            <v>3357210</v>
          </cell>
          <cell r="W563">
            <v>6793459</v>
          </cell>
          <cell r="X563">
            <v>11298768</v>
          </cell>
          <cell r="Y563">
            <v>16880833</v>
          </cell>
          <cell r="Z563">
            <v>4226712</v>
          </cell>
          <cell r="AA563">
            <v>7237228</v>
          </cell>
          <cell r="AB563">
            <v>10111953</v>
          </cell>
          <cell r="AC563">
            <v>13008518</v>
          </cell>
          <cell r="AD563">
            <v>3077439</v>
          </cell>
          <cell r="AE563">
            <v>6271538</v>
          </cell>
          <cell r="AF563">
            <v>9484207</v>
          </cell>
          <cell r="AG563">
            <v>12675561</v>
          </cell>
          <cell r="AH563">
            <v>3188719</v>
          </cell>
          <cell r="AI563">
            <v>6280238</v>
          </cell>
          <cell r="AJ563">
            <v>9288169</v>
          </cell>
          <cell r="AK563">
            <v>12157847</v>
          </cell>
          <cell r="AL563">
            <v>2852031</v>
          </cell>
          <cell r="AM563">
            <v>5719406</v>
          </cell>
          <cell r="AN563">
            <v>8589213</v>
          </cell>
          <cell r="AO563">
            <v>11435532</v>
          </cell>
          <cell r="AP563">
            <v>2838341</v>
          </cell>
          <cell r="AQ563">
            <v>5783748</v>
          </cell>
          <cell r="AR563">
            <v>8700536</v>
          </cell>
          <cell r="AS563">
            <v>11597325</v>
          </cell>
          <cell r="AT563">
            <v>2907528</v>
          </cell>
          <cell r="AU563">
            <v>6068481</v>
          </cell>
          <cell r="AV563">
            <v>9439242</v>
          </cell>
          <cell r="AW563">
            <v>14564935</v>
          </cell>
          <cell r="AX563">
            <v>8901408</v>
          </cell>
          <cell r="AY563">
            <v>29854057</v>
          </cell>
          <cell r="AZ563">
            <v>60265160</v>
          </cell>
          <cell r="BA563">
            <v>64128904</v>
          </cell>
          <cell r="BB563">
            <v>64128904</v>
          </cell>
        </row>
        <row r="564">
          <cell r="A564" t="str">
            <v>ALBERTSONS LLC</v>
          </cell>
          <cell r="B564">
            <v>328885</v>
          </cell>
          <cell r="C564">
            <v>644564</v>
          </cell>
          <cell r="D564">
            <v>935577</v>
          </cell>
          <cell r="E564">
            <v>1235199</v>
          </cell>
          <cell r="F564">
            <v>302198</v>
          </cell>
          <cell r="G564">
            <v>767113</v>
          </cell>
          <cell r="H564">
            <v>1089553</v>
          </cell>
          <cell r="I564">
            <v>1385765</v>
          </cell>
          <cell r="J564">
            <v>305112</v>
          </cell>
          <cell r="K564">
            <v>617084</v>
          </cell>
          <cell r="L564">
            <v>946073</v>
          </cell>
          <cell r="M564">
            <v>1271731</v>
          </cell>
          <cell r="N564">
            <v>312534</v>
          </cell>
          <cell r="O564">
            <v>729753</v>
          </cell>
          <cell r="P564">
            <v>1067855</v>
          </cell>
          <cell r="Q564">
            <v>1412239</v>
          </cell>
          <cell r="R564">
            <v>388818</v>
          </cell>
          <cell r="S564">
            <v>1069955</v>
          </cell>
          <cell r="T564">
            <v>1597090</v>
          </cell>
          <cell r="U564">
            <v>2035856</v>
          </cell>
          <cell r="V564">
            <v>464578</v>
          </cell>
          <cell r="W564">
            <v>959947</v>
          </cell>
          <cell r="X564">
            <v>1466527</v>
          </cell>
          <cell r="Y564">
            <v>2056290</v>
          </cell>
          <cell r="Z564">
            <v>437376</v>
          </cell>
          <cell r="AA564">
            <v>765468</v>
          </cell>
          <cell r="AB564">
            <v>1080671</v>
          </cell>
          <cell r="AC564">
            <v>1403276</v>
          </cell>
          <cell r="AD564">
            <v>321727</v>
          </cell>
          <cell r="AE564">
            <v>640041</v>
          </cell>
          <cell r="AF564">
            <v>941327</v>
          </cell>
          <cell r="AG564">
            <v>1248017</v>
          </cell>
          <cell r="AH564">
            <v>309247</v>
          </cell>
          <cell r="AI564">
            <v>601363</v>
          </cell>
          <cell r="AJ564">
            <v>899055</v>
          </cell>
          <cell r="AK564">
            <v>1179746</v>
          </cell>
          <cell r="AL564">
            <v>294153</v>
          </cell>
          <cell r="AM564">
            <v>588068</v>
          </cell>
          <cell r="AN564">
            <v>895249</v>
          </cell>
          <cell r="AO564">
            <v>1200508</v>
          </cell>
          <cell r="AP564">
            <v>307097</v>
          </cell>
          <cell r="AQ564">
            <v>632706</v>
          </cell>
          <cell r="AR564">
            <v>957408</v>
          </cell>
          <cell r="AS564">
            <v>1258822</v>
          </cell>
          <cell r="AT564">
            <v>318991</v>
          </cell>
          <cell r="AU564">
            <v>668939</v>
          </cell>
          <cell r="AV564">
            <v>1058095</v>
          </cell>
          <cell r="AW564">
            <v>1673280</v>
          </cell>
          <cell r="AX564">
            <v>1101936</v>
          </cell>
          <cell r="AY564">
            <v>3679597</v>
          </cell>
          <cell r="AZ564">
            <v>7210681</v>
          </cell>
          <cell r="BA564">
            <v>7682148</v>
          </cell>
          <cell r="BB564">
            <v>7682148</v>
          </cell>
        </row>
        <row r="565">
          <cell r="A565" t="str">
            <v>AUSTRALIAN POST</v>
          </cell>
          <cell r="B565">
            <v>272879</v>
          </cell>
          <cell r="C565">
            <v>560466</v>
          </cell>
          <cell r="D565">
            <v>791995</v>
          </cell>
          <cell r="E565">
            <v>1014009</v>
          </cell>
          <cell r="F565">
            <v>240826</v>
          </cell>
          <cell r="G565">
            <v>540651</v>
          </cell>
          <cell r="H565">
            <v>885922</v>
          </cell>
          <cell r="I565">
            <v>1216305</v>
          </cell>
          <cell r="J565">
            <v>357722</v>
          </cell>
          <cell r="K565">
            <v>706952</v>
          </cell>
          <cell r="L565">
            <v>1107554</v>
          </cell>
          <cell r="M565">
            <v>1509478</v>
          </cell>
          <cell r="N565">
            <v>393066</v>
          </cell>
          <cell r="O565">
            <v>809155</v>
          </cell>
          <cell r="P565">
            <v>1217104</v>
          </cell>
          <cell r="Q565">
            <v>1605078</v>
          </cell>
          <cell r="R565">
            <v>461604</v>
          </cell>
          <cell r="S565">
            <v>953131</v>
          </cell>
          <cell r="T565">
            <v>1678033</v>
          </cell>
          <cell r="U565">
            <v>2206859</v>
          </cell>
          <cell r="V565">
            <v>443700</v>
          </cell>
          <cell r="W565">
            <v>946843</v>
          </cell>
          <cell r="X565">
            <v>1360140</v>
          </cell>
          <cell r="Y565">
            <v>1819524</v>
          </cell>
          <cell r="Z565">
            <v>510035</v>
          </cell>
          <cell r="AA565">
            <v>1030571</v>
          </cell>
          <cell r="AB565">
            <v>1522444</v>
          </cell>
          <cell r="AC565">
            <v>1954468</v>
          </cell>
          <cell r="AD565">
            <v>497885</v>
          </cell>
          <cell r="AE565">
            <v>996680</v>
          </cell>
          <cell r="AF565">
            <v>1499890</v>
          </cell>
          <cell r="AG565">
            <v>2047156</v>
          </cell>
          <cell r="AH565">
            <v>565249</v>
          </cell>
          <cell r="AI565">
            <v>1189276</v>
          </cell>
          <cell r="AJ565">
            <v>1855517</v>
          </cell>
          <cell r="AK565">
            <v>2689507</v>
          </cell>
          <cell r="AL565">
            <v>671269</v>
          </cell>
          <cell r="AM565">
            <v>1260768</v>
          </cell>
          <cell r="AN565">
            <v>1932596</v>
          </cell>
          <cell r="AO565">
            <v>2508279</v>
          </cell>
          <cell r="AP565">
            <v>568879</v>
          </cell>
          <cell r="AQ565">
            <v>1207745</v>
          </cell>
          <cell r="AR565">
            <v>1848538</v>
          </cell>
          <cell r="AS565">
            <v>2536048</v>
          </cell>
          <cell r="AT565">
            <v>796994</v>
          </cell>
          <cell r="AU565">
            <v>1656864</v>
          </cell>
          <cell r="AV565">
            <v>2670021</v>
          </cell>
          <cell r="AW565">
            <v>3932961</v>
          </cell>
          <cell r="AX565">
            <v>1713632</v>
          </cell>
          <cell r="AY565">
            <v>4842997</v>
          </cell>
          <cell r="AZ565">
            <v>15565596</v>
          </cell>
          <cell r="BA565">
            <v>21628972</v>
          </cell>
          <cell r="BB565">
            <v>21628972</v>
          </cell>
        </row>
        <row r="566">
          <cell r="A566" t="str">
            <v>AWG - DIVISIONS</v>
          </cell>
          <cell r="B566">
            <v>176960</v>
          </cell>
          <cell r="C566">
            <v>334897</v>
          </cell>
          <cell r="D566">
            <v>461222</v>
          </cell>
          <cell r="E566">
            <v>586275</v>
          </cell>
          <cell r="F566">
            <v>139698</v>
          </cell>
          <cell r="G566">
            <v>312381</v>
          </cell>
          <cell r="H566">
            <v>445717</v>
          </cell>
          <cell r="I566">
            <v>548954</v>
          </cell>
          <cell r="J566">
            <v>160628</v>
          </cell>
          <cell r="K566">
            <v>360651</v>
          </cell>
          <cell r="L566">
            <v>513899</v>
          </cell>
          <cell r="M566">
            <v>656620</v>
          </cell>
          <cell r="N566">
            <v>129398</v>
          </cell>
          <cell r="O566">
            <v>296181</v>
          </cell>
          <cell r="P566">
            <v>438570</v>
          </cell>
          <cell r="Q566">
            <v>576761</v>
          </cell>
          <cell r="R566">
            <v>148710</v>
          </cell>
          <cell r="S566">
            <v>370696</v>
          </cell>
          <cell r="T566">
            <v>532512</v>
          </cell>
          <cell r="U566">
            <v>711985</v>
          </cell>
          <cell r="V566">
            <v>189944</v>
          </cell>
          <cell r="W566">
            <v>386656</v>
          </cell>
          <cell r="X566">
            <v>593885</v>
          </cell>
          <cell r="Y566">
            <v>897407</v>
          </cell>
          <cell r="Z566">
            <v>256100</v>
          </cell>
          <cell r="AA566">
            <v>452960</v>
          </cell>
          <cell r="AB566">
            <v>672395</v>
          </cell>
          <cell r="AC566">
            <v>890112</v>
          </cell>
          <cell r="AD566">
            <v>178093</v>
          </cell>
          <cell r="AE566">
            <v>355309</v>
          </cell>
          <cell r="AF566">
            <v>555896</v>
          </cell>
          <cell r="AG566">
            <v>845581</v>
          </cell>
          <cell r="AH566">
            <v>240568</v>
          </cell>
          <cell r="AI566">
            <v>458590</v>
          </cell>
          <cell r="AJ566">
            <v>609635</v>
          </cell>
          <cell r="AK566">
            <v>758800</v>
          </cell>
          <cell r="AL566">
            <v>163280</v>
          </cell>
          <cell r="AM566">
            <v>320415</v>
          </cell>
          <cell r="AN566">
            <v>488917</v>
          </cell>
          <cell r="AO566">
            <v>655832</v>
          </cell>
          <cell r="AP566">
            <v>179893</v>
          </cell>
          <cell r="AQ566">
            <v>369964</v>
          </cell>
          <cell r="AR566">
            <v>545703</v>
          </cell>
          <cell r="AS566">
            <v>717400</v>
          </cell>
          <cell r="AT566">
            <v>172394</v>
          </cell>
          <cell r="AU566">
            <v>365693</v>
          </cell>
          <cell r="AV566">
            <v>572227</v>
          </cell>
          <cell r="AW566">
            <v>855385</v>
          </cell>
          <cell r="AX566">
            <v>453767</v>
          </cell>
          <cell r="AY566">
            <v>1214934</v>
          </cell>
          <cell r="AZ566">
            <v>2689470</v>
          </cell>
          <cell r="BA566">
            <v>3326254</v>
          </cell>
          <cell r="BB566">
            <v>3326254</v>
          </cell>
        </row>
        <row r="567">
          <cell r="A567" t="str">
            <v>BI LO</v>
          </cell>
          <cell r="B567">
            <v>305142</v>
          </cell>
          <cell r="C567">
            <v>600100</v>
          </cell>
          <cell r="D567">
            <v>894165</v>
          </cell>
          <cell r="E567">
            <v>1189901</v>
          </cell>
          <cell r="F567">
            <v>376440</v>
          </cell>
          <cell r="G567">
            <v>929140</v>
          </cell>
          <cell r="H567">
            <v>1291103</v>
          </cell>
          <cell r="I567">
            <v>1667753</v>
          </cell>
          <cell r="J567">
            <v>402127</v>
          </cell>
          <cell r="K567">
            <v>827812</v>
          </cell>
          <cell r="L567">
            <v>1274078</v>
          </cell>
          <cell r="M567">
            <v>1626122</v>
          </cell>
          <cell r="N567">
            <v>339939</v>
          </cell>
          <cell r="O567">
            <v>849773</v>
          </cell>
          <cell r="P567">
            <v>1245407</v>
          </cell>
          <cell r="Q567">
            <v>1609606</v>
          </cell>
          <cell r="R567">
            <v>409582</v>
          </cell>
          <cell r="S567">
            <v>1047091</v>
          </cell>
          <cell r="T567">
            <v>1558333</v>
          </cell>
          <cell r="U567">
            <v>1988452</v>
          </cell>
          <cell r="V567">
            <v>507388</v>
          </cell>
          <cell r="W567">
            <v>1030976</v>
          </cell>
          <cell r="X567">
            <v>1581060</v>
          </cell>
          <cell r="Y567">
            <v>2233616</v>
          </cell>
          <cell r="Z567">
            <v>495963</v>
          </cell>
          <cell r="AA567">
            <v>928552</v>
          </cell>
          <cell r="AB567">
            <v>1402164</v>
          </cell>
          <cell r="AC567">
            <v>1872842</v>
          </cell>
          <cell r="AD567">
            <v>502460</v>
          </cell>
          <cell r="AE567">
            <v>1062045</v>
          </cell>
          <cell r="AF567">
            <v>1642302</v>
          </cell>
          <cell r="AG567">
            <v>2066240</v>
          </cell>
          <cell r="AH567">
            <v>321970</v>
          </cell>
          <cell r="AI567">
            <v>668554</v>
          </cell>
          <cell r="AJ567">
            <v>993114</v>
          </cell>
          <cell r="AK567">
            <v>1326454</v>
          </cell>
          <cell r="AL567">
            <v>336886</v>
          </cell>
          <cell r="AM567">
            <v>682665</v>
          </cell>
          <cell r="AN567">
            <v>1041415</v>
          </cell>
          <cell r="AO567">
            <v>1403113</v>
          </cell>
          <cell r="AP567">
            <v>410405</v>
          </cell>
          <cell r="AQ567">
            <v>821690</v>
          </cell>
          <cell r="AR567">
            <v>1141190</v>
          </cell>
          <cell r="AS567">
            <v>1493568</v>
          </cell>
          <cell r="AT567">
            <v>326235</v>
          </cell>
          <cell r="AU567">
            <v>650281</v>
          </cell>
          <cell r="AV567">
            <v>999559</v>
          </cell>
          <cell r="AW567">
            <v>1478430</v>
          </cell>
          <cell r="AX567">
            <v>778155</v>
          </cell>
          <cell r="AY567">
            <v>2411069</v>
          </cell>
          <cell r="AZ567">
            <v>4589783</v>
          </cell>
          <cell r="BA567">
            <v>4981922</v>
          </cell>
          <cell r="BB567">
            <v>4981922</v>
          </cell>
        </row>
        <row r="568">
          <cell r="A568" t="str">
            <v>BIG Y</v>
          </cell>
          <cell r="B568">
            <v>123772</v>
          </cell>
          <cell r="C568">
            <v>246069</v>
          </cell>
          <cell r="D568">
            <v>354803</v>
          </cell>
          <cell r="E568">
            <v>458565</v>
          </cell>
          <cell r="F568">
            <v>124683</v>
          </cell>
          <cell r="G568">
            <v>288144</v>
          </cell>
          <cell r="H568">
            <v>407743</v>
          </cell>
          <cell r="I568">
            <v>521119</v>
          </cell>
          <cell r="J568">
            <v>106400</v>
          </cell>
          <cell r="K568">
            <v>213534</v>
          </cell>
          <cell r="L568">
            <v>325451</v>
          </cell>
          <cell r="M568">
            <v>438452</v>
          </cell>
          <cell r="N568">
            <v>138742</v>
          </cell>
          <cell r="O568">
            <v>348899</v>
          </cell>
          <cell r="P568">
            <v>439934</v>
          </cell>
          <cell r="Q568">
            <v>679912</v>
          </cell>
          <cell r="R568">
            <v>265943</v>
          </cell>
          <cell r="S568">
            <v>503753</v>
          </cell>
          <cell r="T568">
            <v>730159</v>
          </cell>
          <cell r="U568">
            <v>913455</v>
          </cell>
          <cell r="V568">
            <v>304839</v>
          </cell>
          <cell r="W568">
            <v>622568</v>
          </cell>
          <cell r="X568">
            <v>856930</v>
          </cell>
          <cell r="Y568">
            <v>1194376</v>
          </cell>
          <cell r="Z568">
            <v>282564</v>
          </cell>
          <cell r="AA568">
            <v>463731</v>
          </cell>
          <cell r="AB568">
            <v>628916</v>
          </cell>
          <cell r="AC568">
            <v>793811</v>
          </cell>
          <cell r="AD568">
            <v>153553</v>
          </cell>
          <cell r="AE568">
            <v>287326</v>
          </cell>
          <cell r="AF568">
            <v>419939</v>
          </cell>
          <cell r="AG568">
            <v>562413</v>
          </cell>
          <cell r="AH568">
            <v>140716</v>
          </cell>
          <cell r="AI568">
            <v>294328</v>
          </cell>
          <cell r="AJ568">
            <v>433811</v>
          </cell>
          <cell r="AK568">
            <v>557056</v>
          </cell>
          <cell r="AL568">
            <v>122970</v>
          </cell>
          <cell r="AM568">
            <v>243037</v>
          </cell>
          <cell r="AN568">
            <v>362434</v>
          </cell>
          <cell r="AO568">
            <v>483093</v>
          </cell>
          <cell r="AP568">
            <v>127676</v>
          </cell>
          <cell r="AQ568">
            <v>260212</v>
          </cell>
          <cell r="AR568">
            <v>392544</v>
          </cell>
          <cell r="AS568">
            <v>521402</v>
          </cell>
          <cell r="AT568">
            <v>133484</v>
          </cell>
          <cell r="AU568">
            <v>266208</v>
          </cell>
          <cell r="AV568">
            <v>417585</v>
          </cell>
          <cell r="AW568">
            <v>675830</v>
          </cell>
          <cell r="AX568">
            <v>464932</v>
          </cell>
          <cell r="AY568">
            <v>1588310</v>
          </cell>
          <cell r="AZ568">
            <v>3333558</v>
          </cell>
          <cell r="BA568">
            <v>3513595</v>
          </cell>
          <cell r="BB568">
            <v>3513595</v>
          </cell>
        </row>
        <row r="569">
          <cell r="A569" t="str">
            <v>CIRCLE K</v>
          </cell>
          <cell r="B569">
            <v>93331</v>
          </cell>
          <cell r="C569">
            <v>168964</v>
          </cell>
          <cell r="D569">
            <v>246655</v>
          </cell>
          <cell r="E569">
            <v>324089</v>
          </cell>
          <cell r="F569">
            <v>73425</v>
          </cell>
          <cell r="G569">
            <v>151577</v>
          </cell>
          <cell r="H569">
            <v>243800</v>
          </cell>
          <cell r="I569">
            <v>316737</v>
          </cell>
          <cell r="J569">
            <v>75382</v>
          </cell>
          <cell r="K569">
            <v>154210</v>
          </cell>
          <cell r="L569">
            <v>224824</v>
          </cell>
          <cell r="M569">
            <v>304919</v>
          </cell>
          <cell r="N569">
            <v>63522</v>
          </cell>
          <cell r="O569">
            <v>132338</v>
          </cell>
          <cell r="P569">
            <v>197239</v>
          </cell>
          <cell r="Q569">
            <v>267307</v>
          </cell>
          <cell r="R569">
            <v>74093</v>
          </cell>
          <cell r="S569">
            <v>150348</v>
          </cell>
          <cell r="T569">
            <v>246955</v>
          </cell>
          <cell r="U569">
            <v>340366</v>
          </cell>
          <cell r="V569">
            <v>94574</v>
          </cell>
          <cell r="W569">
            <v>176376</v>
          </cell>
          <cell r="X569">
            <v>262101</v>
          </cell>
          <cell r="Y569">
            <v>357969</v>
          </cell>
          <cell r="Z569">
            <v>90848</v>
          </cell>
          <cell r="AA569">
            <v>166082</v>
          </cell>
          <cell r="AB569">
            <v>237997</v>
          </cell>
          <cell r="AC569">
            <v>308029</v>
          </cell>
          <cell r="AD569">
            <v>66734</v>
          </cell>
          <cell r="AE569">
            <v>133157</v>
          </cell>
          <cell r="AF569">
            <v>197480</v>
          </cell>
          <cell r="AG569">
            <v>268272</v>
          </cell>
          <cell r="AH569">
            <v>71286</v>
          </cell>
          <cell r="AI569">
            <v>137563</v>
          </cell>
          <cell r="AJ569">
            <v>207916</v>
          </cell>
          <cell r="AK569">
            <v>275461</v>
          </cell>
          <cell r="AL569">
            <v>61784</v>
          </cell>
          <cell r="AM569">
            <v>130340</v>
          </cell>
          <cell r="AN569">
            <v>198639</v>
          </cell>
          <cell r="AO569">
            <v>272417</v>
          </cell>
          <cell r="AP569">
            <v>67025</v>
          </cell>
          <cell r="AQ569">
            <v>137986</v>
          </cell>
          <cell r="AR569">
            <v>206876</v>
          </cell>
          <cell r="AS569">
            <v>279544</v>
          </cell>
          <cell r="AT569">
            <v>69755</v>
          </cell>
          <cell r="AU569">
            <v>136737</v>
          </cell>
          <cell r="AV569">
            <v>208606</v>
          </cell>
          <cell r="AW569">
            <v>287344</v>
          </cell>
          <cell r="AX569">
            <v>103388</v>
          </cell>
          <cell r="AY569">
            <v>251976</v>
          </cell>
          <cell r="AZ569">
            <v>556503</v>
          </cell>
          <cell r="BA569">
            <v>1191095</v>
          </cell>
          <cell r="BB569">
            <v>1191095</v>
          </cell>
        </row>
        <row r="570">
          <cell r="A570" t="str">
            <v>CVS PHARMACY</v>
          </cell>
          <cell r="B570">
            <v>1110865</v>
          </cell>
          <cell r="C570">
            <v>2221730</v>
          </cell>
          <cell r="D570">
            <v>3295268</v>
          </cell>
          <cell r="E570">
            <v>4371638</v>
          </cell>
          <cell r="F570">
            <v>958662</v>
          </cell>
          <cell r="G570">
            <v>2275439</v>
          </cell>
          <cell r="H570">
            <v>3280507</v>
          </cell>
          <cell r="I570">
            <v>4216916</v>
          </cell>
          <cell r="J570">
            <v>880940</v>
          </cell>
          <cell r="K570">
            <v>1773590</v>
          </cell>
          <cell r="L570">
            <v>2696512</v>
          </cell>
          <cell r="M570">
            <v>3583995</v>
          </cell>
          <cell r="N570">
            <v>763485</v>
          </cell>
          <cell r="O570">
            <v>1742284</v>
          </cell>
          <cell r="P570">
            <v>2516938</v>
          </cell>
          <cell r="Q570">
            <v>3288165</v>
          </cell>
          <cell r="R570">
            <v>747725</v>
          </cell>
          <cell r="S570">
            <v>1852055</v>
          </cell>
          <cell r="T570">
            <v>2751963</v>
          </cell>
          <cell r="U570">
            <v>3512025</v>
          </cell>
          <cell r="V570">
            <v>796887</v>
          </cell>
          <cell r="W570">
            <v>1586172</v>
          </cell>
          <cell r="X570">
            <v>2478248</v>
          </cell>
          <cell r="Y570">
            <v>3755287</v>
          </cell>
          <cell r="Z570">
            <v>1080330</v>
          </cell>
          <cell r="AA570">
            <v>1873451</v>
          </cell>
          <cell r="AB570">
            <v>2566372</v>
          </cell>
          <cell r="AC570">
            <v>3268303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</row>
        <row r="571">
          <cell r="A571" t="str">
            <v>DW - PETRO CANADA</v>
          </cell>
          <cell r="B571">
            <v>102654</v>
          </cell>
          <cell r="C571">
            <v>205308</v>
          </cell>
          <cell r="D571">
            <v>295785</v>
          </cell>
          <cell r="E571">
            <v>371699</v>
          </cell>
          <cell r="F571">
            <v>77082</v>
          </cell>
          <cell r="G571">
            <v>200764</v>
          </cell>
          <cell r="H571">
            <v>281103</v>
          </cell>
          <cell r="I571">
            <v>359454</v>
          </cell>
          <cell r="J571">
            <v>75550</v>
          </cell>
          <cell r="K571">
            <v>152644</v>
          </cell>
          <cell r="L571">
            <v>253126</v>
          </cell>
          <cell r="M571">
            <v>341594</v>
          </cell>
          <cell r="N571">
            <v>86341</v>
          </cell>
          <cell r="O571">
            <v>203524</v>
          </cell>
          <cell r="P571">
            <v>310311</v>
          </cell>
          <cell r="Q571">
            <v>402861</v>
          </cell>
          <cell r="R571">
            <v>105195</v>
          </cell>
          <cell r="S571">
            <v>241488</v>
          </cell>
          <cell r="T571">
            <v>375515</v>
          </cell>
          <cell r="U571">
            <v>487708</v>
          </cell>
          <cell r="V571">
            <v>114474</v>
          </cell>
          <cell r="W571">
            <v>234275</v>
          </cell>
          <cell r="X571">
            <v>349990</v>
          </cell>
          <cell r="Y571">
            <v>498534</v>
          </cell>
          <cell r="Z571">
            <v>159687</v>
          </cell>
          <cell r="AA571">
            <v>289805</v>
          </cell>
          <cell r="AB571">
            <v>396407</v>
          </cell>
          <cell r="AC571">
            <v>517816</v>
          </cell>
          <cell r="AD571">
            <v>109275</v>
          </cell>
          <cell r="AE571">
            <v>216234</v>
          </cell>
          <cell r="AF571">
            <v>324279</v>
          </cell>
          <cell r="AG571">
            <v>436401</v>
          </cell>
          <cell r="AH571">
            <v>122975</v>
          </cell>
          <cell r="AI571">
            <v>238266</v>
          </cell>
          <cell r="AJ571">
            <v>356956</v>
          </cell>
          <cell r="AK571">
            <v>482172</v>
          </cell>
          <cell r="AL571">
            <v>128009</v>
          </cell>
          <cell r="AM571">
            <v>245565</v>
          </cell>
          <cell r="AN571">
            <v>387805</v>
          </cell>
          <cell r="AO571">
            <v>517674</v>
          </cell>
          <cell r="AP571">
            <v>128265</v>
          </cell>
          <cell r="AQ571">
            <v>247137</v>
          </cell>
          <cell r="AR571">
            <v>366377</v>
          </cell>
          <cell r="AS571">
            <v>488831</v>
          </cell>
          <cell r="AT571">
            <v>129140</v>
          </cell>
          <cell r="AU571">
            <v>283512</v>
          </cell>
          <cell r="AV571">
            <v>468895</v>
          </cell>
          <cell r="AW571">
            <v>779137</v>
          </cell>
          <cell r="AX571">
            <v>427592</v>
          </cell>
          <cell r="AY571">
            <v>1151224</v>
          </cell>
          <cell r="AZ571">
            <v>2261018</v>
          </cell>
          <cell r="BA571">
            <v>2485933</v>
          </cell>
          <cell r="BB571">
            <v>2485933</v>
          </cell>
        </row>
        <row r="572">
          <cell r="A572" t="str">
            <v>FEDERATED CO-OP - CANADA</v>
          </cell>
          <cell r="B572">
            <v>88881</v>
          </cell>
          <cell r="C572">
            <v>169493</v>
          </cell>
          <cell r="D572">
            <v>251238</v>
          </cell>
          <cell r="E572">
            <v>330308</v>
          </cell>
          <cell r="F572">
            <v>77816</v>
          </cell>
          <cell r="G572">
            <v>186037</v>
          </cell>
          <cell r="H572">
            <v>270819</v>
          </cell>
          <cell r="I572">
            <v>350033</v>
          </cell>
          <cell r="J572">
            <v>81405</v>
          </cell>
          <cell r="K572">
            <v>166696</v>
          </cell>
          <cell r="L572">
            <v>250708</v>
          </cell>
          <cell r="M572">
            <v>339067</v>
          </cell>
          <cell r="N572">
            <v>92954</v>
          </cell>
          <cell r="O572">
            <v>204743</v>
          </cell>
          <cell r="P572">
            <v>285649</v>
          </cell>
          <cell r="Q572">
            <v>369544</v>
          </cell>
          <cell r="R572">
            <v>95189</v>
          </cell>
          <cell r="S572">
            <v>215119</v>
          </cell>
          <cell r="T572">
            <v>306224</v>
          </cell>
          <cell r="U572">
            <v>388188</v>
          </cell>
          <cell r="V572">
            <v>91959</v>
          </cell>
          <cell r="W572">
            <v>185374</v>
          </cell>
          <cell r="X572">
            <v>290659</v>
          </cell>
          <cell r="Y572">
            <v>448465</v>
          </cell>
          <cell r="Z572">
            <v>153404</v>
          </cell>
          <cell r="AA572">
            <v>240961</v>
          </cell>
          <cell r="AB572">
            <v>376025</v>
          </cell>
          <cell r="AC572">
            <v>463231</v>
          </cell>
          <cell r="AD572">
            <v>90185</v>
          </cell>
          <cell r="AE572">
            <v>177647</v>
          </cell>
          <cell r="AF572">
            <v>266195</v>
          </cell>
          <cell r="AG572">
            <v>353479</v>
          </cell>
          <cell r="AH572">
            <v>93085</v>
          </cell>
          <cell r="AI572">
            <v>237116</v>
          </cell>
          <cell r="AJ572">
            <v>338745</v>
          </cell>
          <cell r="AK572">
            <v>467510</v>
          </cell>
          <cell r="AL572">
            <v>124860</v>
          </cell>
          <cell r="AM572">
            <v>247704</v>
          </cell>
          <cell r="AN572">
            <v>355541</v>
          </cell>
          <cell r="AO572">
            <v>477468</v>
          </cell>
          <cell r="AP572">
            <v>109044</v>
          </cell>
          <cell r="AQ572">
            <v>207157</v>
          </cell>
          <cell r="AR572">
            <v>317705</v>
          </cell>
          <cell r="AS572">
            <v>426833</v>
          </cell>
          <cell r="AT572">
            <v>151872</v>
          </cell>
          <cell r="AU572">
            <v>327764</v>
          </cell>
          <cell r="AV572">
            <v>612893</v>
          </cell>
          <cell r="AW572">
            <v>991545</v>
          </cell>
          <cell r="AX572">
            <v>628561</v>
          </cell>
          <cell r="AY572">
            <v>1802746</v>
          </cell>
          <cell r="AZ572">
            <v>2989827</v>
          </cell>
          <cell r="BA572">
            <v>3153188</v>
          </cell>
          <cell r="BB572">
            <v>3153188</v>
          </cell>
        </row>
        <row r="573">
          <cell r="A573" t="str">
            <v>FOOD LION</v>
          </cell>
          <cell r="B573">
            <v>423919</v>
          </cell>
          <cell r="C573">
            <v>850965</v>
          </cell>
          <cell r="D573">
            <v>1234593</v>
          </cell>
          <cell r="E573">
            <v>1617752</v>
          </cell>
          <cell r="F573">
            <v>359686</v>
          </cell>
          <cell r="G573">
            <v>945366</v>
          </cell>
          <cell r="H573">
            <v>1307281</v>
          </cell>
          <cell r="I573">
            <v>1664679</v>
          </cell>
          <cell r="J573">
            <v>364405</v>
          </cell>
          <cell r="K573">
            <v>728459</v>
          </cell>
          <cell r="L573">
            <v>1115099</v>
          </cell>
          <cell r="M573">
            <v>1480374</v>
          </cell>
          <cell r="N573">
            <v>374761</v>
          </cell>
          <cell r="O573">
            <v>892856</v>
          </cell>
          <cell r="P573">
            <v>1254832</v>
          </cell>
          <cell r="Q573">
            <v>1662401</v>
          </cell>
          <cell r="R573">
            <v>433339</v>
          </cell>
          <cell r="S573">
            <v>1316871</v>
          </cell>
          <cell r="T573">
            <v>2025770</v>
          </cell>
          <cell r="U573">
            <v>2595630</v>
          </cell>
          <cell r="V573">
            <v>632271</v>
          </cell>
          <cell r="W573">
            <v>1343169</v>
          </cell>
          <cell r="X573">
            <v>2259997</v>
          </cell>
          <cell r="Y573">
            <v>3390254</v>
          </cell>
          <cell r="Z573">
            <v>803377</v>
          </cell>
          <cell r="AA573">
            <v>1413036</v>
          </cell>
          <cell r="AB573">
            <v>2033846</v>
          </cell>
          <cell r="AC573">
            <v>2679880</v>
          </cell>
          <cell r="AD573">
            <v>662267</v>
          </cell>
          <cell r="AE573">
            <v>1323320</v>
          </cell>
          <cell r="AF573">
            <v>2006204</v>
          </cell>
          <cell r="AG573">
            <v>2702289</v>
          </cell>
          <cell r="AH573">
            <v>658834</v>
          </cell>
          <cell r="AI573">
            <v>1322268</v>
          </cell>
          <cell r="AJ573">
            <v>1964798</v>
          </cell>
          <cell r="AK573">
            <v>2602321</v>
          </cell>
          <cell r="AL573">
            <v>657245</v>
          </cell>
          <cell r="AM573">
            <v>1295929</v>
          </cell>
          <cell r="AN573">
            <v>1921742</v>
          </cell>
          <cell r="AO573">
            <v>2571082</v>
          </cell>
          <cell r="AP573">
            <v>638476</v>
          </cell>
          <cell r="AQ573">
            <v>1283866</v>
          </cell>
          <cell r="AR573">
            <v>1931555</v>
          </cell>
          <cell r="AS573">
            <v>2566838</v>
          </cell>
          <cell r="AT573">
            <v>716615</v>
          </cell>
          <cell r="AU573">
            <v>1471279</v>
          </cell>
          <cell r="AV573">
            <v>2333963</v>
          </cell>
          <cell r="AW573">
            <v>3723602</v>
          </cell>
          <cell r="AX573">
            <v>2208472</v>
          </cell>
          <cell r="AY573">
            <v>7450032</v>
          </cell>
          <cell r="AZ573">
            <v>14919877</v>
          </cell>
          <cell r="BA573">
            <v>15894765</v>
          </cell>
          <cell r="BB573">
            <v>15894765</v>
          </cell>
        </row>
        <row r="574">
          <cell r="A574" t="str">
            <v>GIANT EAGLE</v>
          </cell>
          <cell r="B574">
            <v>7295573</v>
          </cell>
          <cell r="C574">
            <v>14638391</v>
          </cell>
          <cell r="D574">
            <v>22728615</v>
          </cell>
          <cell r="E574">
            <v>31173174</v>
          </cell>
          <cell r="F574">
            <v>8735365</v>
          </cell>
          <cell r="G574">
            <v>17845006</v>
          </cell>
          <cell r="H574">
            <v>26791643</v>
          </cell>
          <cell r="I574">
            <v>35256924</v>
          </cell>
          <cell r="J574">
            <v>7397801</v>
          </cell>
          <cell r="K574">
            <v>14649734</v>
          </cell>
          <cell r="L574">
            <v>23771887</v>
          </cell>
          <cell r="M574">
            <v>33682351</v>
          </cell>
          <cell r="N574">
            <v>10321099</v>
          </cell>
          <cell r="O574">
            <v>21258726</v>
          </cell>
          <cell r="P574">
            <v>29582499</v>
          </cell>
          <cell r="Q574">
            <v>40826352</v>
          </cell>
          <cell r="R574">
            <v>12957014</v>
          </cell>
          <cell r="S574">
            <v>29686082</v>
          </cell>
          <cell r="T574">
            <v>44294108</v>
          </cell>
          <cell r="U574">
            <v>57441758</v>
          </cell>
          <cell r="V574">
            <v>14983137</v>
          </cell>
          <cell r="W574">
            <v>30382578</v>
          </cell>
          <cell r="X574">
            <v>46529074</v>
          </cell>
          <cell r="Y574">
            <v>65291036</v>
          </cell>
          <cell r="Z574">
            <v>15179113</v>
          </cell>
          <cell r="AA574">
            <v>30081997</v>
          </cell>
          <cell r="AB574">
            <v>44062281</v>
          </cell>
          <cell r="AC574">
            <v>58754928</v>
          </cell>
          <cell r="AD574">
            <v>14187405</v>
          </cell>
          <cell r="AE574">
            <v>27915440</v>
          </cell>
          <cell r="AF574">
            <v>41414164</v>
          </cell>
          <cell r="AG574">
            <v>57354475</v>
          </cell>
          <cell r="AH574">
            <v>17487506</v>
          </cell>
          <cell r="AI574">
            <v>35767085</v>
          </cell>
          <cell r="AJ574">
            <v>54785146</v>
          </cell>
          <cell r="AK574">
            <v>67078040</v>
          </cell>
          <cell r="AL574">
            <v>12000585</v>
          </cell>
          <cell r="AM574">
            <v>23853198</v>
          </cell>
          <cell r="AN574">
            <v>35932592</v>
          </cell>
          <cell r="AO574">
            <v>48197697</v>
          </cell>
          <cell r="AP574">
            <v>11668148</v>
          </cell>
          <cell r="AQ574">
            <v>25023444</v>
          </cell>
          <cell r="AR574">
            <v>39098228</v>
          </cell>
          <cell r="AS574">
            <v>52790400</v>
          </cell>
          <cell r="AT574">
            <v>14195259</v>
          </cell>
          <cell r="AU574">
            <v>30993049</v>
          </cell>
          <cell r="AV574">
            <v>49817362</v>
          </cell>
          <cell r="AW574">
            <v>74937617</v>
          </cell>
          <cell r="AX574">
            <v>39454986</v>
          </cell>
          <cell r="AY574">
            <v>90574743</v>
          </cell>
          <cell r="AZ574">
            <v>139155764</v>
          </cell>
          <cell r="BA574">
            <v>162449943</v>
          </cell>
          <cell r="BB574">
            <v>162449943</v>
          </cell>
        </row>
        <row r="575">
          <cell r="A575" t="str">
            <v>HANNAFORD</v>
          </cell>
          <cell r="B575">
            <v>218939</v>
          </cell>
          <cell r="C575">
            <v>436504</v>
          </cell>
          <cell r="D575">
            <v>622502</v>
          </cell>
          <cell r="E575">
            <v>815175</v>
          </cell>
          <cell r="F575">
            <v>213625</v>
          </cell>
          <cell r="G575">
            <v>511887</v>
          </cell>
          <cell r="H575">
            <v>739041</v>
          </cell>
          <cell r="I575">
            <v>933869</v>
          </cell>
          <cell r="J575">
            <v>208854</v>
          </cell>
          <cell r="K575">
            <v>441582</v>
          </cell>
          <cell r="L575">
            <v>684498</v>
          </cell>
          <cell r="M575">
            <v>909660</v>
          </cell>
          <cell r="N575">
            <v>240252</v>
          </cell>
          <cell r="O575">
            <v>600658</v>
          </cell>
          <cell r="P575">
            <v>829699</v>
          </cell>
          <cell r="Q575">
            <v>1080078</v>
          </cell>
          <cell r="R575">
            <v>265453</v>
          </cell>
          <cell r="S575">
            <v>699754</v>
          </cell>
          <cell r="T575">
            <v>1035561</v>
          </cell>
          <cell r="U575">
            <v>1327939</v>
          </cell>
          <cell r="V575">
            <v>307687</v>
          </cell>
          <cell r="W575">
            <v>643682</v>
          </cell>
          <cell r="X575">
            <v>1058150</v>
          </cell>
          <cell r="Y575">
            <v>1616304</v>
          </cell>
          <cell r="Z575">
            <v>472146</v>
          </cell>
          <cell r="AA575">
            <v>822892</v>
          </cell>
          <cell r="AB575">
            <v>1122892</v>
          </cell>
          <cell r="AC575">
            <v>1425635</v>
          </cell>
          <cell r="AD575">
            <v>302397</v>
          </cell>
          <cell r="AE575">
            <v>608863</v>
          </cell>
          <cell r="AF575">
            <v>930882</v>
          </cell>
          <cell r="AG575">
            <v>1254050</v>
          </cell>
          <cell r="AH575">
            <v>321065</v>
          </cell>
          <cell r="AI575">
            <v>647194</v>
          </cell>
          <cell r="AJ575">
            <v>950875</v>
          </cell>
          <cell r="AK575">
            <v>1253807</v>
          </cell>
          <cell r="AL575">
            <v>292345</v>
          </cell>
          <cell r="AM575">
            <v>589833</v>
          </cell>
          <cell r="AN575">
            <v>884397</v>
          </cell>
          <cell r="AO575">
            <v>1184177</v>
          </cell>
          <cell r="AP575">
            <v>296245</v>
          </cell>
          <cell r="AQ575">
            <v>591631</v>
          </cell>
          <cell r="AR575">
            <v>888854</v>
          </cell>
          <cell r="AS575">
            <v>1187208</v>
          </cell>
          <cell r="AT575">
            <v>312760</v>
          </cell>
          <cell r="AU575">
            <v>637090</v>
          </cell>
          <cell r="AV575">
            <v>1005936</v>
          </cell>
          <cell r="AW575">
            <v>1614380</v>
          </cell>
          <cell r="AX575">
            <v>883317</v>
          </cell>
          <cell r="AY575">
            <v>3069462</v>
          </cell>
          <cell r="AZ575">
            <v>6013092</v>
          </cell>
          <cell r="BA575">
            <v>6388077</v>
          </cell>
          <cell r="BB575">
            <v>6388077</v>
          </cell>
        </row>
        <row r="576">
          <cell r="A576" t="str">
            <v>HARRIS TEETER</v>
          </cell>
          <cell r="B576">
            <v>61527</v>
          </cell>
          <cell r="C576">
            <v>113049</v>
          </cell>
          <cell r="D576">
            <v>162677</v>
          </cell>
          <cell r="E576">
            <v>211418</v>
          </cell>
          <cell r="F576">
            <v>50841</v>
          </cell>
          <cell r="G576">
            <v>140891</v>
          </cell>
          <cell r="H576">
            <v>196945</v>
          </cell>
          <cell r="I576">
            <v>246629</v>
          </cell>
          <cell r="J576">
            <v>51053</v>
          </cell>
          <cell r="K576">
            <v>105200</v>
          </cell>
          <cell r="L576">
            <v>162284</v>
          </cell>
          <cell r="M576">
            <v>216146</v>
          </cell>
          <cell r="N576">
            <v>56075</v>
          </cell>
          <cell r="O576">
            <v>139487</v>
          </cell>
          <cell r="P576">
            <v>193255</v>
          </cell>
          <cell r="Q576">
            <v>250722</v>
          </cell>
          <cell r="R576">
            <v>68039</v>
          </cell>
          <cell r="S576">
            <v>194622</v>
          </cell>
          <cell r="T576">
            <v>260210</v>
          </cell>
          <cell r="U576">
            <v>353199</v>
          </cell>
          <cell r="V576">
            <v>79489</v>
          </cell>
          <cell r="W576">
            <v>162120</v>
          </cell>
          <cell r="X576">
            <v>265109</v>
          </cell>
          <cell r="Y576">
            <v>425708</v>
          </cell>
          <cell r="Z576">
            <v>104840</v>
          </cell>
          <cell r="AA576">
            <v>182894</v>
          </cell>
          <cell r="AB576">
            <v>253334</v>
          </cell>
          <cell r="AC576">
            <v>324373</v>
          </cell>
          <cell r="AD576">
            <v>75558</v>
          </cell>
          <cell r="AE576">
            <v>149320</v>
          </cell>
          <cell r="AF576">
            <v>225188</v>
          </cell>
          <cell r="AG576">
            <v>300507</v>
          </cell>
          <cell r="AH576">
            <v>76751</v>
          </cell>
          <cell r="AI576">
            <v>154511</v>
          </cell>
          <cell r="AJ576">
            <v>227924</v>
          </cell>
          <cell r="AK576">
            <v>299465</v>
          </cell>
          <cell r="AL576">
            <v>72565</v>
          </cell>
          <cell r="AM576">
            <v>146143</v>
          </cell>
          <cell r="AN576">
            <v>217260</v>
          </cell>
          <cell r="AO576">
            <v>290080</v>
          </cell>
          <cell r="AP576">
            <v>70846</v>
          </cell>
          <cell r="AQ576">
            <v>145928</v>
          </cell>
          <cell r="AR576">
            <v>218760</v>
          </cell>
          <cell r="AS576">
            <v>294665</v>
          </cell>
          <cell r="AT576">
            <v>82580</v>
          </cell>
          <cell r="AU576">
            <v>171189</v>
          </cell>
          <cell r="AV576">
            <v>272705</v>
          </cell>
          <cell r="AW576">
            <v>455232</v>
          </cell>
          <cell r="AX576">
            <v>345707</v>
          </cell>
          <cell r="AY576">
            <v>1131740</v>
          </cell>
          <cell r="AZ576">
            <v>2077442</v>
          </cell>
          <cell r="BA576">
            <v>2175106</v>
          </cell>
          <cell r="BB576">
            <v>2175106</v>
          </cell>
        </row>
        <row r="577">
          <cell r="A577" t="str">
            <v>HY-VEE</v>
          </cell>
          <cell r="B577">
            <v>341218</v>
          </cell>
          <cell r="C577">
            <v>675219</v>
          </cell>
          <cell r="D577">
            <v>970809</v>
          </cell>
          <cell r="E577">
            <v>1277602</v>
          </cell>
          <cell r="F577">
            <v>257394</v>
          </cell>
          <cell r="G577">
            <v>669678</v>
          </cell>
          <cell r="H577">
            <v>969131</v>
          </cell>
          <cell r="I577">
            <v>1224010</v>
          </cell>
          <cell r="J577">
            <v>276996</v>
          </cell>
          <cell r="K577">
            <v>561385</v>
          </cell>
          <cell r="L577">
            <v>854910</v>
          </cell>
          <cell r="M577">
            <v>1134378</v>
          </cell>
          <cell r="N577">
            <v>262714</v>
          </cell>
          <cell r="O577">
            <v>625642</v>
          </cell>
          <cell r="P577">
            <v>890518</v>
          </cell>
          <cell r="Q577">
            <v>1170623</v>
          </cell>
          <cell r="R577">
            <v>302214</v>
          </cell>
          <cell r="S577">
            <v>767705</v>
          </cell>
          <cell r="T577">
            <v>1174875</v>
          </cell>
          <cell r="U577">
            <v>1504839</v>
          </cell>
          <cell r="V577">
            <v>333059</v>
          </cell>
          <cell r="W577">
            <v>669023</v>
          </cell>
          <cell r="X577">
            <v>1010549</v>
          </cell>
          <cell r="Y577">
            <v>1498314</v>
          </cell>
          <cell r="Z577">
            <v>359310</v>
          </cell>
          <cell r="AA577">
            <v>625853</v>
          </cell>
          <cell r="AB577">
            <v>880256</v>
          </cell>
          <cell r="AC577">
            <v>1160427</v>
          </cell>
          <cell r="AD577">
            <v>273076</v>
          </cell>
          <cell r="AE577">
            <v>556231</v>
          </cell>
          <cell r="AF577">
            <v>841273</v>
          </cell>
          <cell r="AG577">
            <v>1134601</v>
          </cell>
          <cell r="AH577">
            <v>284303</v>
          </cell>
          <cell r="AI577">
            <v>560825</v>
          </cell>
          <cell r="AJ577">
            <v>823902</v>
          </cell>
          <cell r="AK577">
            <v>1093799</v>
          </cell>
          <cell r="AL577">
            <v>261624</v>
          </cell>
          <cell r="AM577">
            <v>510062</v>
          </cell>
          <cell r="AN577">
            <v>756121</v>
          </cell>
          <cell r="AO577">
            <v>998985</v>
          </cell>
          <cell r="AP577">
            <v>246305</v>
          </cell>
          <cell r="AQ577">
            <v>520537</v>
          </cell>
          <cell r="AR577">
            <v>756235</v>
          </cell>
          <cell r="AS577">
            <v>1004265</v>
          </cell>
          <cell r="AT577">
            <v>261399</v>
          </cell>
          <cell r="AU577">
            <v>552298</v>
          </cell>
          <cell r="AV577">
            <v>902647</v>
          </cell>
          <cell r="AW577">
            <v>1814096</v>
          </cell>
          <cell r="AX577">
            <v>2207148</v>
          </cell>
          <cell r="AY577">
            <v>6523361</v>
          </cell>
          <cell r="AZ577">
            <v>11342937</v>
          </cell>
          <cell r="BA577">
            <v>11802557</v>
          </cell>
          <cell r="BB577">
            <v>11802557</v>
          </cell>
        </row>
        <row r="578">
          <cell r="A578" t="str">
            <v>INGLES MARKETS</v>
          </cell>
          <cell r="B578">
            <v>114002</v>
          </cell>
          <cell r="C578">
            <v>213097</v>
          </cell>
          <cell r="D578">
            <v>307922</v>
          </cell>
          <cell r="E578">
            <v>398894</v>
          </cell>
          <cell r="F578">
            <v>99152</v>
          </cell>
          <cell r="G578">
            <v>201618</v>
          </cell>
          <cell r="H578">
            <v>340174</v>
          </cell>
          <cell r="I578">
            <v>426635</v>
          </cell>
          <cell r="J578">
            <v>90868</v>
          </cell>
          <cell r="K578">
            <v>184475</v>
          </cell>
          <cell r="L578">
            <v>281160</v>
          </cell>
          <cell r="M578">
            <v>404307</v>
          </cell>
          <cell r="N578">
            <v>99267</v>
          </cell>
          <cell r="O578">
            <v>210039</v>
          </cell>
          <cell r="P578">
            <v>313616</v>
          </cell>
          <cell r="Q578">
            <v>412536</v>
          </cell>
          <cell r="R578">
            <v>111416</v>
          </cell>
          <cell r="S578">
            <v>228199</v>
          </cell>
          <cell r="T578">
            <v>404160</v>
          </cell>
          <cell r="U578">
            <v>545044</v>
          </cell>
          <cell r="V578">
            <v>154576</v>
          </cell>
          <cell r="W578">
            <v>289482</v>
          </cell>
          <cell r="X578">
            <v>435143</v>
          </cell>
          <cell r="Y578">
            <v>638348</v>
          </cell>
          <cell r="Z578">
            <v>155571</v>
          </cell>
          <cell r="AA578">
            <v>270566</v>
          </cell>
          <cell r="AB578">
            <v>383945</v>
          </cell>
          <cell r="AC578">
            <v>499907</v>
          </cell>
          <cell r="AD578">
            <v>105333</v>
          </cell>
          <cell r="AE578">
            <v>219172</v>
          </cell>
          <cell r="AF578">
            <v>331849</v>
          </cell>
          <cell r="AG578">
            <v>454128</v>
          </cell>
          <cell r="AH578">
            <v>113577</v>
          </cell>
          <cell r="AI578">
            <v>230441</v>
          </cell>
          <cell r="AJ578">
            <v>339700</v>
          </cell>
          <cell r="AK578">
            <v>445934</v>
          </cell>
          <cell r="AL578">
            <v>119592</v>
          </cell>
          <cell r="AM578">
            <v>237039</v>
          </cell>
          <cell r="AN578">
            <v>341834</v>
          </cell>
          <cell r="AO578">
            <v>449419</v>
          </cell>
          <cell r="AP578">
            <v>116225</v>
          </cell>
          <cell r="AQ578">
            <v>258287</v>
          </cell>
          <cell r="AR578">
            <v>370923</v>
          </cell>
          <cell r="AS578">
            <v>489041</v>
          </cell>
          <cell r="AT578">
            <v>116822</v>
          </cell>
          <cell r="AU578">
            <v>230278</v>
          </cell>
          <cell r="AV578">
            <v>347313</v>
          </cell>
          <cell r="AW578">
            <v>525425</v>
          </cell>
          <cell r="AX578">
            <v>215293</v>
          </cell>
          <cell r="AY578">
            <v>521929</v>
          </cell>
          <cell r="AZ578">
            <v>1202848</v>
          </cell>
          <cell r="BA578">
            <v>2055606</v>
          </cell>
          <cell r="BB578">
            <v>2055606</v>
          </cell>
        </row>
        <row r="579">
          <cell r="A579" t="str">
            <v>KATZ</v>
          </cell>
          <cell r="B579">
            <v>108644</v>
          </cell>
          <cell r="C579">
            <v>215395</v>
          </cell>
          <cell r="D579">
            <v>316113</v>
          </cell>
          <cell r="E579">
            <v>423791</v>
          </cell>
          <cell r="F579">
            <v>100737</v>
          </cell>
          <cell r="G579">
            <v>270897</v>
          </cell>
          <cell r="H579">
            <v>383913</v>
          </cell>
          <cell r="I579">
            <v>485854</v>
          </cell>
          <cell r="J579">
            <v>97309</v>
          </cell>
          <cell r="K579">
            <v>203212</v>
          </cell>
          <cell r="L579">
            <v>319471</v>
          </cell>
          <cell r="M579">
            <v>426808</v>
          </cell>
          <cell r="N579">
            <v>116496</v>
          </cell>
          <cell r="O579">
            <v>281252</v>
          </cell>
          <cell r="P579">
            <v>393117</v>
          </cell>
          <cell r="Q579">
            <v>519985</v>
          </cell>
          <cell r="R579">
            <v>130375</v>
          </cell>
          <cell r="S579">
            <v>347180</v>
          </cell>
          <cell r="T579">
            <v>510972</v>
          </cell>
          <cell r="U579">
            <v>658907</v>
          </cell>
          <cell r="V579">
            <v>161375</v>
          </cell>
          <cell r="W579">
            <v>326030</v>
          </cell>
          <cell r="X579">
            <v>528919</v>
          </cell>
          <cell r="Y579">
            <v>788142</v>
          </cell>
          <cell r="Z579">
            <v>213453</v>
          </cell>
          <cell r="AA579">
            <v>435407</v>
          </cell>
          <cell r="AB579">
            <v>566570</v>
          </cell>
          <cell r="AC579">
            <v>696082</v>
          </cell>
          <cell r="AD579">
            <v>147145</v>
          </cell>
          <cell r="AE579">
            <v>295051</v>
          </cell>
          <cell r="AF579">
            <v>443374</v>
          </cell>
          <cell r="AG579">
            <v>599271</v>
          </cell>
          <cell r="AH579">
            <v>162095</v>
          </cell>
          <cell r="AI579">
            <v>328574</v>
          </cell>
          <cell r="AJ579">
            <v>496995</v>
          </cell>
          <cell r="AK579">
            <v>658021</v>
          </cell>
          <cell r="AL579">
            <v>168874</v>
          </cell>
          <cell r="AM579">
            <v>336784</v>
          </cell>
          <cell r="AN579">
            <v>502240</v>
          </cell>
          <cell r="AO579">
            <v>669144</v>
          </cell>
          <cell r="AP579">
            <v>164943</v>
          </cell>
          <cell r="AQ579">
            <v>315389</v>
          </cell>
          <cell r="AR579">
            <v>458925</v>
          </cell>
          <cell r="AS579">
            <v>610657</v>
          </cell>
          <cell r="AT579">
            <v>144986</v>
          </cell>
          <cell r="AU579">
            <v>319989</v>
          </cell>
          <cell r="AV579">
            <v>550520</v>
          </cell>
          <cell r="AW579">
            <v>998873</v>
          </cell>
          <cell r="AX579">
            <v>728997</v>
          </cell>
          <cell r="AY579">
            <v>2126775</v>
          </cell>
          <cell r="AZ579">
            <v>3692721</v>
          </cell>
          <cell r="BA579">
            <v>4006275</v>
          </cell>
          <cell r="BB579">
            <v>4006275</v>
          </cell>
        </row>
        <row r="580">
          <cell r="A580" t="str">
            <v>KING KULLEN</v>
          </cell>
          <cell r="B580">
            <v>109174</v>
          </cell>
          <cell r="C580">
            <v>195092</v>
          </cell>
          <cell r="D580">
            <v>278007</v>
          </cell>
          <cell r="E580">
            <v>353604</v>
          </cell>
          <cell r="F580">
            <v>76803</v>
          </cell>
          <cell r="G580">
            <v>163337</v>
          </cell>
          <cell r="H580">
            <v>264368</v>
          </cell>
          <cell r="I580">
            <v>337332</v>
          </cell>
          <cell r="J580">
            <v>87420</v>
          </cell>
          <cell r="K580">
            <v>175253</v>
          </cell>
          <cell r="L580">
            <v>273151</v>
          </cell>
          <cell r="M580">
            <v>411336</v>
          </cell>
          <cell r="N580">
            <v>72696</v>
          </cell>
          <cell r="O580">
            <v>159418</v>
          </cell>
          <cell r="P580">
            <v>243962</v>
          </cell>
          <cell r="Q580">
            <v>338756</v>
          </cell>
          <cell r="R580">
            <v>88640</v>
          </cell>
          <cell r="S580">
            <v>183059</v>
          </cell>
          <cell r="T580">
            <v>347630</v>
          </cell>
          <cell r="U580">
            <v>471525</v>
          </cell>
          <cell r="V580">
            <v>104414</v>
          </cell>
          <cell r="W580">
            <v>201127</v>
          </cell>
          <cell r="X580">
            <v>330748</v>
          </cell>
          <cell r="Y580">
            <v>564018</v>
          </cell>
          <cell r="Z580">
            <v>216045</v>
          </cell>
          <cell r="AA580">
            <v>435370</v>
          </cell>
          <cell r="AB580">
            <v>547268</v>
          </cell>
          <cell r="AC580">
            <v>653321</v>
          </cell>
          <cell r="AD580">
            <v>111719</v>
          </cell>
          <cell r="AE580">
            <v>215380</v>
          </cell>
          <cell r="AF580">
            <v>320839</v>
          </cell>
          <cell r="AG580">
            <v>426208</v>
          </cell>
          <cell r="AH580">
            <v>111004</v>
          </cell>
          <cell r="AI580">
            <v>215903</v>
          </cell>
          <cell r="AJ580">
            <v>311081</v>
          </cell>
          <cell r="AK580">
            <v>397366</v>
          </cell>
          <cell r="AL580">
            <v>90562</v>
          </cell>
          <cell r="AM580">
            <v>183682</v>
          </cell>
          <cell r="AN580">
            <v>270414</v>
          </cell>
          <cell r="AO580">
            <v>371316</v>
          </cell>
          <cell r="AP580">
            <v>91309</v>
          </cell>
          <cell r="AQ580">
            <v>188264</v>
          </cell>
          <cell r="AR580">
            <v>280507</v>
          </cell>
          <cell r="AS580">
            <v>370465</v>
          </cell>
          <cell r="AT580">
            <v>93835</v>
          </cell>
          <cell r="AU580">
            <v>190673</v>
          </cell>
          <cell r="AV580">
            <v>298531</v>
          </cell>
          <cell r="AW580">
            <v>418629</v>
          </cell>
          <cell r="AX580">
            <v>172669</v>
          </cell>
          <cell r="AY580">
            <v>476347</v>
          </cell>
          <cell r="AZ580">
            <v>1251654</v>
          </cell>
          <cell r="BA580">
            <v>2418054</v>
          </cell>
          <cell r="BB580">
            <v>2418054</v>
          </cell>
        </row>
        <row r="581">
          <cell r="A581" t="str">
            <v>KMART</v>
          </cell>
          <cell r="B581">
            <v>951410</v>
          </cell>
          <cell r="C581">
            <v>1898833</v>
          </cell>
          <cell r="D581">
            <v>2746543</v>
          </cell>
          <cell r="E581">
            <v>3607187</v>
          </cell>
          <cell r="F581">
            <v>957907</v>
          </cell>
          <cell r="G581">
            <v>2115522</v>
          </cell>
          <cell r="H581">
            <v>3136970</v>
          </cell>
          <cell r="I581">
            <v>4037261</v>
          </cell>
          <cell r="J581">
            <v>933515</v>
          </cell>
          <cell r="K581">
            <v>1880542</v>
          </cell>
          <cell r="L581">
            <v>2834144</v>
          </cell>
          <cell r="M581">
            <v>3766256</v>
          </cell>
          <cell r="N581">
            <v>883070</v>
          </cell>
          <cell r="O581">
            <v>2175153</v>
          </cell>
          <cell r="P581">
            <v>3084867</v>
          </cell>
          <cell r="Q581">
            <v>3998682</v>
          </cell>
          <cell r="R581">
            <v>882778</v>
          </cell>
          <cell r="S581">
            <v>2149924</v>
          </cell>
          <cell r="T581">
            <v>3173989</v>
          </cell>
          <cell r="U581">
            <v>4170276</v>
          </cell>
          <cell r="V581">
            <v>976271</v>
          </cell>
          <cell r="W581">
            <v>1975355</v>
          </cell>
          <cell r="X581">
            <v>3135268</v>
          </cell>
          <cell r="Y581">
            <v>4629157</v>
          </cell>
          <cell r="Z581">
            <v>1125713</v>
          </cell>
          <cell r="AA581">
            <v>2028967</v>
          </cell>
          <cell r="AB581">
            <v>2896833</v>
          </cell>
          <cell r="AC581">
            <v>3852883</v>
          </cell>
          <cell r="AD581">
            <v>924846</v>
          </cell>
          <cell r="AE581">
            <v>1808128</v>
          </cell>
          <cell r="AF581">
            <v>2741740</v>
          </cell>
          <cell r="AG581">
            <v>3654379</v>
          </cell>
          <cell r="AH581">
            <v>887305</v>
          </cell>
          <cell r="AI581">
            <v>1744820</v>
          </cell>
          <cell r="AJ581">
            <v>2607417</v>
          </cell>
          <cell r="AK581">
            <v>3459029</v>
          </cell>
          <cell r="AL581">
            <v>792043</v>
          </cell>
          <cell r="AM581">
            <v>1579630</v>
          </cell>
          <cell r="AN581">
            <v>2341596</v>
          </cell>
          <cell r="AO581">
            <v>3215750</v>
          </cell>
          <cell r="AP581">
            <v>865458</v>
          </cell>
          <cell r="AQ581">
            <v>1713867</v>
          </cell>
          <cell r="AR581">
            <v>2631579</v>
          </cell>
          <cell r="AS581">
            <v>3477312</v>
          </cell>
          <cell r="AT581">
            <v>949422</v>
          </cell>
          <cell r="AU581">
            <v>1978704</v>
          </cell>
          <cell r="AV581">
            <v>3111502</v>
          </cell>
          <cell r="AW581">
            <v>4995781</v>
          </cell>
          <cell r="AX581">
            <v>2806254</v>
          </cell>
          <cell r="AY581">
            <v>7941203</v>
          </cell>
          <cell r="AZ581">
            <v>14356572</v>
          </cell>
          <cell r="BA581">
            <v>15921367</v>
          </cell>
          <cell r="BB581">
            <v>15921367</v>
          </cell>
        </row>
        <row r="582">
          <cell r="A582" t="str">
            <v>KOHLS</v>
          </cell>
          <cell r="B582">
            <v>252117</v>
          </cell>
          <cell r="C582">
            <v>458941</v>
          </cell>
          <cell r="D582">
            <v>644925</v>
          </cell>
          <cell r="E582">
            <v>837675</v>
          </cell>
          <cell r="F582">
            <v>206898</v>
          </cell>
          <cell r="G582">
            <v>550933</v>
          </cell>
          <cell r="H582">
            <v>776114</v>
          </cell>
          <cell r="I582">
            <v>973621</v>
          </cell>
          <cell r="J582">
            <v>187238</v>
          </cell>
          <cell r="K582">
            <v>385712</v>
          </cell>
          <cell r="L582">
            <v>602065</v>
          </cell>
          <cell r="M582">
            <v>801069</v>
          </cell>
          <cell r="N582">
            <v>197901</v>
          </cell>
          <cell r="O582">
            <v>574681</v>
          </cell>
          <cell r="P582">
            <v>762302</v>
          </cell>
          <cell r="Q582">
            <v>959825</v>
          </cell>
          <cell r="R582">
            <v>198872</v>
          </cell>
          <cell r="S582">
            <v>615610</v>
          </cell>
          <cell r="T582">
            <v>843104</v>
          </cell>
          <cell r="U582">
            <v>1128290</v>
          </cell>
          <cell r="V582">
            <v>248139</v>
          </cell>
          <cell r="W582">
            <v>493424</v>
          </cell>
          <cell r="X582">
            <v>791769</v>
          </cell>
          <cell r="Y582">
            <v>1342602</v>
          </cell>
          <cell r="Z582">
            <v>345445</v>
          </cell>
          <cell r="AA582">
            <v>573367</v>
          </cell>
          <cell r="AB582">
            <v>794455</v>
          </cell>
          <cell r="AC582">
            <v>1006638</v>
          </cell>
          <cell r="AD582">
            <v>218521</v>
          </cell>
          <cell r="AE582">
            <v>431141</v>
          </cell>
          <cell r="AF582">
            <v>645211</v>
          </cell>
          <cell r="AG582">
            <v>868868</v>
          </cell>
          <cell r="AH582">
            <v>210900</v>
          </cell>
          <cell r="AI582">
            <v>415026</v>
          </cell>
          <cell r="AJ582">
            <v>619601</v>
          </cell>
          <cell r="AK582">
            <v>813398</v>
          </cell>
          <cell r="AL582">
            <v>228054</v>
          </cell>
          <cell r="AM582">
            <v>453800</v>
          </cell>
          <cell r="AN582">
            <v>677448</v>
          </cell>
          <cell r="AO582">
            <v>942910</v>
          </cell>
          <cell r="AP582">
            <v>278298</v>
          </cell>
          <cell r="AQ582">
            <v>560083</v>
          </cell>
          <cell r="AR582">
            <v>879174</v>
          </cell>
          <cell r="AS582">
            <v>1237813</v>
          </cell>
          <cell r="AT582">
            <v>426724</v>
          </cell>
          <cell r="AU582">
            <v>1121909</v>
          </cell>
          <cell r="AV582">
            <v>2512667</v>
          </cell>
          <cell r="AW582">
            <v>4748880</v>
          </cell>
          <cell r="AX582">
            <v>3661525</v>
          </cell>
          <cell r="AY582">
            <v>9099236</v>
          </cell>
          <cell r="AZ582">
            <v>17225616</v>
          </cell>
          <cell r="BA582">
            <v>18505222</v>
          </cell>
          <cell r="BB582">
            <v>18505222</v>
          </cell>
        </row>
        <row r="583">
          <cell r="A583" t="str">
            <v>KROGER</v>
          </cell>
          <cell r="B583">
            <v>6209298</v>
          </cell>
          <cell r="C583">
            <v>12303557</v>
          </cell>
          <cell r="D583">
            <v>17829552</v>
          </cell>
          <cell r="E583">
            <v>23243690</v>
          </cell>
          <cell r="F583">
            <v>5791562</v>
          </cell>
          <cell r="G583">
            <v>14566329</v>
          </cell>
          <cell r="H583">
            <v>20780711</v>
          </cell>
          <cell r="I583">
            <v>26494938</v>
          </cell>
          <cell r="J583">
            <v>5914236</v>
          </cell>
          <cell r="K583">
            <v>11866382</v>
          </cell>
          <cell r="L583">
            <v>18159643</v>
          </cell>
          <cell r="M583">
            <v>24358636</v>
          </cell>
          <cell r="N583">
            <v>5981973</v>
          </cell>
          <cell r="O583">
            <v>14394404</v>
          </cell>
          <cell r="P583">
            <v>20497349</v>
          </cell>
          <cell r="Q583">
            <v>27015105</v>
          </cell>
          <cell r="R583">
            <v>7305918</v>
          </cell>
          <cell r="S583">
            <v>20706074</v>
          </cell>
          <cell r="T583">
            <v>31050023</v>
          </cell>
          <cell r="U583">
            <v>38882623</v>
          </cell>
          <cell r="V583">
            <v>9881236</v>
          </cell>
          <cell r="W583">
            <v>19711362</v>
          </cell>
          <cell r="X583">
            <v>30799785</v>
          </cell>
          <cell r="Y583">
            <v>46874898</v>
          </cell>
          <cell r="Z583">
            <v>10121169</v>
          </cell>
          <cell r="AA583">
            <v>17116004</v>
          </cell>
          <cell r="AB583">
            <v>24228726</v>
          </cell>
          <cell r="AC583">
            <v>31263845</v>
          </cell>
          <cell r="AD583">
            <v>7216169</v>
          </cell>
          <cell r="AE583">
            <v>14167626</v>
          </cell>
          <cell r="AF583">
            <v>21591355</v>
          </cell>
          <cell r="AG583">
            <v>28580379</v>
          </cell>
          <cell r="AH583">
            <v>6640605</v>
          </cell>
          <cell r="AI583">
            <v>13007187</v>
          </cell>
          <cell r="AJ583">
            <v>18871423</v>
          </cell>
          <cell r="AK583">
            <v>24430353</v>
          </cell>
          <cell r="AL583">
            <v>5348581</v>
          </cell>
          <cell r="AM583">
            <v>10681000</v>
          </cell>
          <cell r="AN583">
            <v>15968744</v>
          </cell>
          <cell r="AO583">
            <v>21791083</v>
          </cell>
          <cell r="AP583">
            <v>6071320</v>
          </cell>
          <cell r="AQ583">
            <v>13254947</v>
          </cell>
          <cell r="AR583">
            <v>19944421</v>
          </cell>
          <cell r="AS583">
            <v>27080012</v>
          </cell>
          <cell r="AT583">
            <v>6722151</v>
          </cell>
          <cell r="AU583">
            <v>14084882</v>
          </cell>
          <cell r="AV583">
            <v>22949520</v>
          </cell>
          <cell r="AW583">
            <v>40468263</v>
          </cell>
          <cell r="AX583">
            <v>31428357</v>
          </cell>
          <cell r="AY583">
            <v>99529818</v>
          </cell>
          <cell r="AZ583">
            <v>183227595</v>
          </cell>
          <cell r="BA583">
            <v>194909715</v>
          </cell>
          <cell r="BB583">
            <v>194909715</v>
          </cell>
        </row>
        <row r="584">
          <cell r="A584" t="str">
            <v>KROGER C</v>
          </cell>
          <cell r="B584">
            <v>514170</v>
          </cell>
          <cell r="C584">
            <v>972926</v>
          </cell>
          <cell r="D584">
            <v>1420747</v>
          </cell>
          <cell r="E584">
            <v>1853032</v>
          </cell>
          <cell r="F584">
            <v>506738</v>
          </cell>
          <cell r="G584">
            <v>1021861</v>
          </cell>
          <cell r="H584">
            <v>1508733</v>
          </cell>
          <cell r="I584">
            <v>1972755</v>
          </cell>
          <cell r="J584">
            <v>484346</v>
          </cell>
          <cell r="K584">
            <v>976840</v>
          </cell>
          <cell r="L584">
            <v>1475012</v>
          </cell>
          <cell r="M584">
            <v>2011674</v>
          </cell>
          <cell r="N584">
            <v>524726</v>
          </cell>
          <cell r="O584">
            <v>1063132</v>
          </cell>
          <cell r="P584">
            <v>1586109</v>
          </cell>
          <cell r="Q584">
            <v>2108241</v>
          </cell>
          <cell r="R584">
            <v>528038</v>
          </cell>
          <cell r="S584">
            <v>1070159</v>
          </cell>
          <cell r="T584">
            <v>1635429</v>
          </cell>
          <cell r="U584">
            <v>2169402</v>
          </cell>
          <cell r="V584">
            <v>535584</v>
          </cell>
          <cell r="W584">
            <v>1078615</v>
          </cell>
          <cell r="X584">
            <v>1653675</v>
          </cell>
          <cell r="Y584">
            <v>2292475</v>
          </cell>
          <cell r="Z584">
            <v>650993</v>
          </cell>
          <cell r="AA584">
            <v>1214962</v>
          </cell>
          <cell r="AB584">
            <v>1807506</v>
          </cell>
          <cell r="AC584">
            <v>2384171</v>
          </cell>
          <cell r="AD584">
            <v>560506</v>
          </cell>
          <cell r="AE584">
            <v>1105335</v>
          </cell>
          <cell r="AF584">
            <v>1675434</v>
          </cell>
          <cell r="AG584">
            <v>2220295</v>
          </cell>
          <cell r="AH584">
            <v>520054</v>
          </cell>
          <cell r="AI584">
            <v>1057907</v>
          </cell>
          <cell r="AJ584">
            <v>1589494</v>
          </cell>
          <cell r="AK584">
            <v>2116248</v>
          </cell>
          <cell r="AL584">
            <v>515845</v>
          </cell>
          <cell r="AM584">
            <v>1018156</v>
          </cell>
          <cell r="AN584">
            <v>1514409</v>
          </cell>
          <cell r="AO584">
            <v>2067871</v>
          </cell>
          <cell r="AP584">
            <v>524945</v>
          </cell>
          <cell r="AQ584">
            <v>1053969</v>
          </cell>
          <cell r="AR584">
            <v>1567213</v>
          </cell>
          <cell r="AS584">
            <v>2108708</v>
          </cell>
          <cell r="AT584">
            <v>566660</v>
          </cell>
          <cell r="AU584">
            <v>1103381</v>
          </cell>
          <cell r="AV584">
            <v>1652203</v>
          </cell>
          <cell r="AW584">
            <v>2204014</v>
          </cell>
          <cell r="AX584">
            <v>585794</v>
          </cell>
          <cell r="AY584">
            <v>1356350</v>
          </cell>
          <cell r="AZ584">
            <v>3697869</v>
          </cell>
          <cell r="BA584">
            <v>5150109</v>
          </cell>
          <cell r="BB584">
            <v>5150109</v>
          </cell>
        </row>
        <row r="585">
          <cell r="A585" t="str">
            <v>LOBLAWS - CANADA</v>
          </cell>
          <cell r="B585">
            <v>153766</v>
          </cell>
          <cell r="C585">
            <v>287882</v>
          </cell>
          <cell r="D585">
            <v>467398</v>
          </cell>
          <cell r="E585">
            <v>650700</v>
          </cell>
          <cell r="F585">
            <v>183093</v>
          </cell>
          <cell r="G585">
            <v>453600</v>
          </cell>
          <cell r="H585">
            <v>648579</v>
          </cell>
          <cell r="I585">
            <v>839276</v>
          </cell>
          <cell r="J585">
            <v>193878</v>
          </cell>
          <cell r="K585">
            <v>404836</v>
          </cell>
          <cell r="L585">
            <v>615901</v>
          </cell>
          <cell r="M585">
            <v>837086</v>
          </cell>
          <cell r="N585">
            <v>236435</v>
          </cell>
          <cell r="O585">
            <v>556497</v>
          </cell>
          <cell r="P585">
            <v>814346</v>
          </cell>
          <cell r="Q585">
            <v>1106243</v>
          </cell>
          <cell r="R585">
            <v>336136</v>
          </cell>
          <cell r="S585">
            <v>825581</v>
          </cell>
          <cell r="T585">
            <v>1193388</v>
          </cell>
          <cell r="U585">
            <v>1527813</v>
          </cell>
          <cell r="V585">
            <v>370720</v>
          </cell>
          <cell r="W585">
            <v>771045</v>
          </cell>
          <cell r="X585">
            <v>1238159</v>
          </cell>
          <cell r="Y585">
            <v>1884169</v>
          </cell>
          <cell r="Z585">
            <v>599686</v>
          </cell>
          <cell r="AA585">
            <v>926705</v>
          </cell>
          <cell r="AB585">
            <v>1449038</v>
          </cell>
          <cell r="AC585">
            <v>1783206</v>
          </cell>
          <cell r="AD585">
            <v>345468</v>
          </cell>
          <cell r="AE585">
            <v>680548</v>
          </cell>
          <cell r="AF585">
            <v>1023578</v>
          </cell>
          <cell r="AG585">
            <v>1368016</v>
          </cell>
          <cell r="AH585">
            <v>370810</v>
          </cell>
          <cell r="AI585">
            <v>940406</v>
          </cell>
          <cell r="AJ585">
            <v>1322447</v>
          </cell>
          <cell r="AK585">
            <v>1787428</v>
          </cell>
          <cell r="AL585">
            <v>497388</v>
          </cell>
          <cell r="AM585">
            <v>1033770</v>
          </cell>
          <cell r="AN585">
            <v>1544183</v>
          </cell>
          <cell r="AO585">
            <v>2169727</v>
          </cell>
          <cell r="AP585">
            <v>589920</v>
          </cell>
          <cell r="AQ585">
            <v>1157977</v>
          </cell>
          <cell r="AR585">
            <v>1751894</v>
          </cell>
          <cell r="AS585">
            <v>2354378</v>
          </cell>
          <cell r="AT585">
            <v>828132</v>
          </cell>
          <cell r="AU585">
            <v>1743060</v>
          </cell>
          <cell r="AV585">
            <v>3397565</v>
          </cell>
          <cell r="AW585">
            <v>5764793</v>
          </cell>
          <cell r="AX585">
            <v>4014008</v>
          </cell>
          <cell r="AY585">
            <v>11598814</v>
          </cell>
          <cell r="AZ585">
            <v>19763383</v>
          </cell>
          <cell r="BA585">
            <v>20685939</v>
          </cell>
          <cell r="BB585">
            <v>20685939</v>
          </cell>
        </row>
        <row r="586">
          <cell r="A586" t="str">
            <v>LOWES</v>
          </cell>
          <cell r="B586">
            <v>102788</v>
          </cell>
          <cell r="C586">
            <v>192317</v>
          </cell>
          <cell r="D586">
            <v>281925</v>
          </cell>
          <cell r="E586">
            <v>359951</v>
          </cell>
          <cell r="F586">
            <v>97829</v>
          </cell>
          <cell r="G586">
            <v>195543</v>
          </cell>
          <cell r="H586">
            <v>339844</v>
          </cell>
          <cell r="I586">
            <v>430061</v>
          </cell>
          <cell r="J586">
            <v>91076</v>
          </cell>
          <cell r="K586">
            <v>190733</v>
          </cell>
          <cell r="L586">
            <v>292209</v>
          </cell>
          <cell r="M586">
            <v>425046</v>
          </cell>
          <cell r="N586">
            <v>94996</v>
          </cell>
          <cell r="O586">
            <v>200122</v>
          </cell>
          <cell r="P586">
            <v>296918</v>
          </cell>
          <cell r="Q586">
            <v>409213</v>
          </cell>
          <cell r="R586">
            <v>137976</v>
          </cell>
          <cell r="S586">
            <v>278126</v>
          </cell>
          <cell r="T586">
            <v>529998</v>
          </cell>
          <cell r="U586">
            <v>687555</v>
          </cell>
          <cell r="V586">
            <v>142277</v>
          </cell>
          <cell r="W586">
            <v>285975</v>
          </cell>
          <cell r="X586">
            <v>476276</v>
          </cell>
          <cell r="Y586">
            <v>748042</v>
          </cell>
          <cell r="Z586">
            <v>150270</v>
          </cell>
          <cell r="AA586">
            <v>272464</v>
          </cell>
          <cell r="AB586">
            <v>377985</v>
          </cell>
          <cell r="AC586">
            <v>487147</v>
          </cell>
          <cell r="AD586">
            <v>112844</v>
          </cell>
          <cell r="AE586">
            <v>224835</v>
          </cell>
          <cell r="AF586">
            <v>335726</v>
          </cell>
          <cell r="AG586">
            <v>449401</v>
          </cell>
          <cell r="AH586">
            <v>108317</v>
          </cell>
          <cell r="AI586">
            <v>219774</v>
          </cell>
          <cell r="AJ586">
            <v>328641</v>
          </cell>
          <cell r="AK586">
            <v>432200</v>
          </cell>
          <cell r="AL586">
            <v>105081</v>
          </cell>
          <cell r="AM586">
            <v>214377</v>
          </cell>
          <cell r="AN586">
            <v>321786</v>
          </cell>
          <cell r="AO586">
            <v>428783</v>
          </cell>
          <cell r="AP586">
            <v>108123</v>
          </cell>
          <cell r="AQ586">
            <v>223153</v>
          </cell>
          <cell r="AR586">
            <v>336213</v>
          </cell>
          <cell r="AS586">
            <v>440838</v>
          </cell>
          <cell r="AT586">
            <v>108020</v>
          </cell>
          <cell r="AU586">
            <v>217956</v>
          </cell>
          <cell r="AV586">
            <v>339925</v>
          </cell>
          <cell r="AW586">
            <v>467360</v>
          </cell>
          <cell r="AX586">
            <v>176781</v>
          </cell>
          <cell r="AY586">
            <v>521656</v>
          </cell>
          <cell r="AZ586">
            <v>1308494</v>
          </cell>
          <cell r="BA586">
            <v>2154372</v>
          </cell>
          <cell r="BB586">
            <v>2154372</v>
          </cell>
        </row>
        <row r="587">
          <cell r="A587" t="str">
            <v>MEIJER</v>
          </cell>
          <cell r="B587">
            <v>305683</v>
          </cell>
          <cell r="C587">
            <v>612889</v>
          </cell>
          <cell r="D587">
            <v>874918</v>
          </cell>
          <cell r="E587">
            <v>1119485</v>
          </cell>
          <cell r="F587">
            <v>233269</v>
          </cell>
          <cell r="G587">
            <v>595818</v>
          </cell>
          <cell r="H587">
            <v>859257</v>
          </cell>
          <cell r="I587">
            <v>1096690</v>
          </cell>
          <cell r="J587">
            <v>274360</v>
          </cell>
          <cell r="K587">
            <v>564032</v>
          </cell>
          <cell r="L587">
            <v>867678</v>
          </cell>
          <cell r="M587">
            <v>1152788</v>
          </cell>
          <cell r="N587">
            <v>261453</v>
          </cell>
          <cell r="O587">
            <v>786473</v>
          </cell>
          <cell r="P587">
            <v>1064648</v>
          </cell>
          <cell r="Q587">
            <v>1350840</v>
          </cell>
          <cell r="R587">
            <v>321503</v>
          </cell>
          <cell r="S587">
            <v>947812</v>
          </cell>
          <cell r="T587">
            <v>1403117</v>
          </cell>
          <cell r="U587">
            <v>1758978</v>
          </cell>
          <cell r="V587">
            <v>421298</v>
          </cell>
          <cell r="W587">
            <v>849682</v>
          </cell>
          <cell r="X587">
            <v>1397949</v>
          </cell>
          <cell r="Y587">
            <v>2155780</v>
          </cell>
          <cell r="Z587">
            <v>466549</v>
          </cell>
          <cell r="AA587">
            <v>817308</v>
          </cell>
          <cell r="AB587">
            <v>1131334</v>
          </cell>
          <cell r="AC587">
            <v>1450065</v>
          </cell>
          <cell r="AD587">
            <v>322560</v>
          </cell>
          <cell r="AE587">
            <v>657177</v>
          </cell>
          <cell r="AF587">
            <v>1002971</v>
          </cell>
          <cell r="AG587">
            <v>1335807</v>
          </cell>
          <cell r="AH587">
            <v>321715</v>
          </cell>
          <cell r="AI587">
            <v>674312</v>
          </cell>
          <cell r="AJ587">
            <v>1004051</v>
          </cell>
          <cell r="AK587">
            <v>1333453</v>
          </cell>
          <cell r="AL587">
            <v>328386</v>
          </cell>
          <cell r="AM587">
            <v>708363</v>
          </cell>
          <cell r="AN587">
            <v>1036060</v>
          </cell>
          <cell r="AO587">
            <v>1354864</v>
          </cell>
          <cell r="AP587">
            <v>331560</v>
          </cell>
          <cell r="AQ587">
            <v>703179</v>
          </cell>
          <cell r="AR587">
            <v>1051700</v>
          </cell>
          <cell r="AS587">
            <v>1410111</v>
          </cell>
          <cell r="AT587">
            <v>403013</v>
          </cell>
          <cell r="AU587">
            <v>888247</v>
          </cell>
          <cell r="AV587">
            <v>1522409</v>
          </cell>
          <cell r="AW587">
            <v>2690268</v>
          </cell>
          <cell r="AX587">
            <v>2306765</v>
          </cell>
          <cell r="AY587">
            <v>7198939</v>
          </cell>
          <cell r="AZ587">
            <v>13508116</v>
          </cell>
          <cell r="BA587">
            <v>14303395</v>
          </cell>
          <cell r="BB587">
            <v>14303395</v>
          </cell>
        </row>
        <row r="588">
          <cell r="A588" t="str">
            <v>METRO ONTARIO - CANADA</v>
          </cell>
          <cell r="B588">
            <v>117774</v>
          </cell>
          <cell r="C588">
            <v>234316</v>
          </cell>
          <cell r="D588">
            <v>341934</v>
          </cell>
          <cell r="E588">
            <v>448102</v>
          </cell>
          <cell r="F588">
            <v>135436</v>
          </cell>
          <cell r="G588">
            <v>330795</v>
          </cell>
          <cell r="H588">
            <v>465371</v>
          </cell>
          <cell r="I588">
            <v>599826</v>
          </cell>
          <cell r="J588">
            <v>122653</v>
          </cell>
          <cell r="K588">
            <v>244257</v>
          </cell>
          <cell r="L588">
            <v>382898</v>
          </cell>
          <cell r="M588">
            <v>510549</v>
          </cell>
          <cell r="N588">
            <v>129089</v>
          </cell>
          <cell r="O588">
            <v>321196</v>
          </cell>
          <cell r="P588">
            <v>432861</v>
          </cell>
          <cell r="Q588">
            <v>567243</v>
          </cell>
          <cell r="R588">
            <v>159997</v>
          </cell>
          <cell r="S588">
            <v>407691</v>
          </cell>
          <cell r="T588">
            <v>609630</v>
          </cell>
          <cell r="U588">
            <v>793707</v>
          </cell>
          <cell r="V588">
            <v>170502</v>
          </cell>
          <cell r="W588">
            <v>339515</v>
          </cell>
          <cell r="X588">
            <v>541615</v>
          </cell>
          <cell r="Y588">
            <v>826662</v>
          </cell>
          <cell r="Z588">
            <v>230985</v>
          </cell>
          <cell r="AA588">
            <v>504724</v>
          </cell>
          <cell r="AB588">
            <v>650282</v>
          </cell>
          <cell r="AC588">
            <v>786820</v>
          </cell>
          <cell r="AD588">
            <v>152243</v>
          </cell>
          <cell r="AE588">
            <v>307053</v>
          </cell>
          <cell r="AF588">
            <v>457150</v>
          </cell>
          <cell r="AG588">
            <v>606243</v>
          </cell>
          <cell r="AH588">
            <v>156676</v>
          </cell>
          <cell r="AI588">
            <v>317847</v>
          </cell>
          <cell r="AJ588">
            <v>475309</v>
          </cell>
          <cell r="AK588">
            <v>619006</v>
          </cell>
          <cell r="AL588">
            <v>156379</v>
          </cell>
          <cell r="AM588">
            <v>314390</v>
          </cell>
          <cell r="AN588">
            <v>461265</v>
          </cell>
          <cell r="AO588">
            <v>613360</v>
          </cell>
          <cell r="AP588">
            <v>174342</v>
          </cell>
          <cell r="AQ588">
            <v>311039</v>
          </cell>
          <cell r="AR588">
            <v>458764</v>
          </cell>
          <cell r="AS588">
            <v>601375</v>
          </cell>
          <cell r="AT588">
            <v>163910</v>
          </cell>
          <cell r="AU588">
            <v>357238</v>
          </cell>
          <cell r="AV588">
            <v>579445</v>
          </cell>
          <cell r="AW588">
            <v>971756</v>
          </cell>
          <cell r="AX588">
            <v>704962</v>
          </cell>
          <cell r="AY588">
            <v>2029311</v>
          </cell>
          <cell r="AZ588">
            <v>3556297</v>
          </cell>
          <cell r="BA588">
            <v>3830256</v>
          </cell>
          <cell r="BB588">
            <v>3830256</v>
          </cell>
        </row>
        <row r="589">
          <cell r="A589" t="str">
            <v>MORRISONS</v>
          </cell>
          <cell r="B589">
            <v>111492</v>
          </cell>
          <cell r="C589">
            <v>228278</v>
          </cell>
          <cell r="D589">
            <v>347382</v>
          </cell>
          <cell r="E589">
            <v>469839</v>
          </cell>
          <cell r="F589">
            <v>143482</v>
          </cell>
          <cell r="G589">
            <v>369514</v>
          </cell>
          <cell r="H589">
            <v>528014</v>
          </cell>
          <cell r="I589">
            <v>693921</v>
          </cell>
          <cell r="J589">
            <v>314637</v>
          </cell>
          <cell r="K589">
            <v>516182</v>
          </cell>
          <cell r="L589">
            <v>693959</v>
          </cell>
          <cell r="M589">
            <v>867352</v>
          </cell>
          <cell r="N589">
            <v>159423</v>
          </cell>
          <cell r="O589">
            <v>345939</v>
          </cell>
          <cell r="P589">
            <v>493363</v>
          </cell>
          <cell r="Q589">
            <v>643843</v>
          </cell>
          <cell r="R589">
            <v>177389</v>
          </cell>
          <cell r="S589">
            <v>426071</v>
          </cell>
          <cell r="T589">
            <v>645278</v>
          </cell>
          <cell r="U589">
            <v>881274</v>
          </cell>
          <cell r="V589">
            <v>236071</v>
          </cell>
          <cell r="W589">
            <v>448064</v>
          </cell>
          <cell r="X589">
            <v>688031</v>
          </cell>
          <cell r="Y589">
            <v>971573</v>
          </cell>
          <cell r="Z589">
            <v>228742</v>
          </cell>
          <cell r="AA589">
            <v>463957</v>
          </cell>
          <cell r="AB589">
            <v>693361</v>
          </cell>
          <cell r="AC589">
            <v>914882</v>
          </cell>
          <cell r="AD589">
            <v>241522</v>
          </cell>
          <cell r="AE589">
            <v>467440</v>
          </cell>
          <cell r="AF589">
            <v>677208</v>
          </cell>
          <cell r="AG589">
            <v>881090</v>
          </cell>
          <cell r="AH589">
            <v>203010</v>
          </cell>
          <cell r="AI589">
            <v>409113</v>
          </cell>
          <cell r="AJ589">
            <v>607616</v>
          </cell>
          <cell r="AK589">
            <v>874501</v>
          </cell>
          <cell r="AL589">
            <v>260404</v>
          </cell>
          <cell r="AM589">
            <v>501161</v>
          </cell>
          <cell r="AN589">
            <v>738011</v>
          </cell>
          <cell r="AO589">
            <v>983718</v>
          </cell>
          <cell r="AP589">
            <v>216807</v>
          </cell>
          <cell r="AQ589">
            <v>420514</v>
          </cell>
          <cell r="AR589">
            <v>626660</v>
          </cell>
          <cell r="AS589">
            <v>858356</v>
          </cell>
          <cell r="AT589">
            <v>424589</v>
          </cell>
          <cell r="AU589">
            <v>1080382</v>
          </cell>
          <cell r="AV589">
            <v>1608432</v>
          </cell>
          <cell r="AW589">
            <v>2141554</v>
          </cell>
          <cell r="AX589">
            <v>900393</v>
          </cell>
          <cell r="AY589">
            <v>2711479</v>
          </cell>
          <cell r="AZ589">
            <v>7092386</v>
          </cell>
          <cell r="BA589">
            <v>8642032</v>
          </cell>
          <cell r="BB589">
            <v>8642032</v>
          </cell>
        </row>
        <row r="590">
          <cell r="A590" t="str">
            <v>OFFICE MAX</v>
          </cell>
          <cell r="B590">
            <v>264218</v>
          </cell>
          <cell r="C590">
            <v>505396</v>
          </cell>
          <cell r="D590">
            <v>732748</v>
          </cell>
          <cell r="E590">
            <v>949874</v>
          </cell>
          <cell r="F590">
            <v>226327</v>
          </cell>
          <cell r="G590">
            <v>526974</v>
          </cell>
          <cell r="H590">
            <v>768202</v>
          </cell>
          <cell r="I590">
            <v>991834</v>
          </cell>
          <cell r="J590">
            <v>229622</v>
          </cell>
          <cell r="K590">
            <v>470644</v>
          </cell>
          <cell r="L590">
            <v>718138</v>
          </cell>
          <cell r="M590">
            <v>962122</v>
          </cell>
          <cell r="N590">
            <v>236650</v>
          </cell>
          <cell r="O590">
            <v>528646</v>
          </cell>
          <cell r="P590">
            <v>770386</v>
          </cell>
          <cell r="Q590">
            <v>1019961</v>
          </cell>
          <cell r="R590">
            <v>288385</v>
          </cell>
          <cell r="S590">
            <v>721105</v>
          </cell>
          <cell r="T590">
            <v>1004319</v>
          </cell>
          <cell r="U590">
            <v>1371875</v>
          </cell>
          <cell r="V590">
            <v>347878</v>
          </cell>
          <cell r="W590">
            <v>699960</v>
          </cell>
          <cell r="X590">
            <v>1131032</v>
          </cell>
          <cell r="Y590">
            <v>1670261</v>
          </cell>
          <cell r="Z590">
            <v>379295</v>
          </cell>
          <cell r="AA590">
            <v>669979</v>
          </cell>
          <cell r="AB590">
            <v>935129</v>
          </cell>
          <cell r="AC590">
            <v>1201015</v>
          </cell>
          <cell r="AD590">
            <v>276493</v>
          </cell>
          <cell r="AE590">
            <v>552541</v>
          </cell>
          <cell r="AF590">
            <v>837891</v>
          </cell>
          <cell r="AG590">
            <v>1122349</v>
          </cell>
          <cell r="AH590">
            <v>289761</v>
          </cell>
          <cell r="AI590">
            <v>585938</v>
          </cell>
          <cell r="AJ590">
            <v>863566</v>
          </cell>
          <cell r="AK590">
            <v>1122018</v>
          </cell>
          <cell r="AL590">
            <v>268269</v>
          </cell>
          <cell r="AM590">
            <v>540836</v>
          </cell>
          <cell r="AN590">
            <v>803883</v>
          </cell>
          <cell r="AO590">
            <v>1078336</v>
          </cell>
          <cell r="AP590">
            <v>259687</v>
          </cell>
          <cell r="AQ590">
            <v>519973</v>
          </cell>
          <cell r="AR590">
            <v>776248</v>
          </cell>
          <cell r="AS590">
            <v>1038367</v>
          </cell>
          <cell r="AT590">
            <v>282936</v>
          </cell>
          <cell r="AU590">
            <v>564865</v>
          </cell>
          <cell r="AV590">
            <v>884613</v>
          </cell>
          <cell r="AW590">
            <v>1433570</v>
          </cell>
          <cell r="AX590">
            <v>1016495</v>
          </cell>
          <cell r="AY590">
            <v>3283180</v>
          </cell>
          <cell r="AZ590">
            <v>6070484</v>
          </cell>
          <cell r="BA590">
            <v>6382748</v>
          </cell>
          <cell r="BB590">
            <v>6382748</v>
          </cell>
        </row>
        <row r="591">
          <cell r="A591" t="str">
            <v>PATHMARK</v>
          </cell>
          <cell r="B591">
            <v>220222</v>
          </cell>
          <cell r="C591">
            <v>436592</v>
          </cell>
          <cell r="D591">
            <v>619094</v>
          </cell>
          <cell r="E591">
            <v>792691</v>
          </cell>
          <cell r="F591">
            <v>225236</v>
          </cell>
          <cell r="G591">
            <v>514535</v>
          </cell>
          <cell r="H591">
            <v>740725</v>
          </cell>
          <cell r="I591">
            <v>959684</v>
          </cell>
          <cell r="J591">
            <v>198145</v>
          </cell>
          <cell r="K591">
            <v>394446</v>
          </cell>
          <cell r="L591">
            <v>591030</v>
          </cell>
          <cell r="M591">
            <v>818463</v>
          </cell>
          <cell r="N591">
            <v>244425</v>
          </cell>
          <cell r="O591">
            <v>557638</v>
          </cell>
          <cell r="P591">
            <v>764369</v>
          </cell>
          <cell r="Q591">
            <v>1066358</v>
          </cell>
          <cell r="R591">
            <v>480284</v>
          </cell>
          <cell r="S591">
            <v>950000</v>
          </cell>
          <cell r="T591">
            <v>1372063</v>
          </cell>
          <cell r="U591">
            <v>1767294</v>
          </cell>
          <cell r="V591">
            <v>431835</v>
          </cell>
          <cell r="W591">
            <v>896200</v>
          </cell>
          <cell r="X591">
            <v>1333125</v>
          </cell>
          <cell r="Y591">
            <v>1913449</v>
          </cell>
          <cell r="Z591">
            <v>497085</v>
          </cell>
          <cell r="AA591">
            <v>855848</v>
          </cell>
          <cell r="AB591">
            <v>1129434</v>
          </cell>
          <cell r="AC591">
            <v>1426281</v>
          </cell>
          <cell r="AD591">
            <v>275912</v>
          </cell>
          <cell r="AE591">
            <v>548956</v>
          </cell>
          <cell r="AF591">
            <v>831641</v>
          </cell>
          <cell r="AG591">
            <v>1121237</v>
          </cell>
          <cell r="AH591">
            <v>285324</v>
          </cell>
          <cell r="AI591">
            <v>559834</v>
          </cell>
          <cell r="AJ591">
            <v>826375</v>
          </cell>
          <cell r="AK591">
            <v>1079567</v>
          </cell>
          <cell r="AL591">
            <v>267068</v>
          </cell>
          <cell r="AM591">
            <v>517042</v>
          </cell>
          <cell r="AN591">
            <v>749794</v>
          </cell>
          <cell r="AO591">
            <v>989314</v>
          </cell>
          <cell r="AP591">
            <v>246903</v>
          </cell>
          <cell r="AQ591">
            <v>482222</v>
          </cell>
          <cell r="AR591">
            <v>713004</v>
          </cell>
          <cell r="AS591">
            <v>940923</v>
          </cell>
          <cell r="AT591">
            <v>221284</v>
          </cell>
          <cell r="AU591">
            <v>455827</v>
          </cell>
          <cell r="AV591">
            <v>714808</v>
          </cell>
          <cell r="AW591">
            <v>1068819</v>
          </cell>
          <cell r="AX591">
            <v>593160</v>
          </cell>
          <cell r="AY591">
            <v>1971015</v>
          </cell>
          <cell r="AZ591">
            <v>4230425</v>
          </cell>
          <cell r="BA591">
            <v>4545848</v>
          </cell>
          <cell r="BB591">
            <v>4545848</v>
          </cell>
        </row>
        <row r="592">
          <cell r="A592" t="str">
            <v>PRICE CHOPPER</v>
          </cell>
          <cell r="B592">
            <v>268797</v>
          </cell>
          <cell r="C592">
            <v>524086</v>
          </cell>
          <cell r="D592">
            <v>757161</v>
          </cell>
          <cell r="E592">
            <v>978438</v>
          </cell>
          <cell r="F592">
            <v>261134</v>
          </cell>
          <cell r="G592">
            <v>583864</v>
          </cell>
          <cell r="H592">
            <v>842671</v>
          </cell>
          <cell r="I592">
            <v>1086537</v>
          </cell>
          <cell r="J592">
            <v>246410</v>
          </cell>
          <cell r="K592">
            <v>504112</v>
          </cell>
          <cell r="L592">
            <v>783553</v>
          </cell>
          <cell r="M592">
            <v>1036119</v>
          </cell>
          <cell r="N592">
            <v>217318</v>
          </cell>
          <cell r="O592">
            <v>547223</v>
          </cell>
          <cell r="P592">
            <v>760668</v>
          </cell>
          <cell r="Q592">
            <v>968295</v>
          </cell>
          <cell r="R592">
            <v>279762</v>
          </cell>
          <cell r="S592">
            <v>687616</v>
          </cell>
          <cell r="T592">
            <v>1035639</v>
          </cell>
          <cell r="U592">
            <v>1322797</v>
          </cell>
          <cell r="V592">
            <v>272838</v>
          </cell>
          <cell r="W592">
            <v>572004</v>
          </cell>
          <cell r="X592">
            <v>939751</v>
          </cell>
          <cell r="Y592">
            <v>1409749</v>
          </cell>
          <cell r="Z592">
            <v>436597</v>
          </cell>
          <cell r="AA592">
            <v>798752</v>
          </cell>
          <cell r="AB592">
            <v>1095621</v>
          </cell>
          <cell r="AC592">
            <v>1405254</v>
          </cell>
          <cell r="AD592">
            <v>298602</v>
          </cell>
          <cell r="AE592">
            <v>598412</v>
          </cell>
          <cell r="AF592">
            <v>904619</v>
          </cell>
          <cell r="AG592">
            <v>1209826</v>
          </cell>
          <cell r="AH592">
            <v>292651</v>
          </cell>
          <cell r="AI592">
            <v>586322</v>
          </cell>
          <cell r="AJ592">
            <v>876892</v>
          </cell>
          <cell r="AK592">
            <v>1163732</v>
          </cell>
          <cell r="AL592">
            <v>280759</v>
          </cell>
          <cell r="AM592">
            <v>573291</v>
          </cell>
          <cell r="AN592">
            <v>852038</v>
          </cell>
          <cell r="AO592">
            <v>1143130</v>
          </cell>
          <cell r="AP592">
            <v>277059</v>
          </cell>
          <cell r="AQ592">
            <v>560705</v>
          </cell>
          <cell r="AR592">
            <v>829144</v>
          </cell>
          <cell r="AS592">
            <v>1110490</v>
          </cell>
          <cell r="AT592">
            <v>304013</v>
          </cell>
          <cell r="AU592">
            <v>654415</v>
          </cell>
          <cell r="AV592">
            <v>1074105</v>
          </cell>
          <cell r="AW592">
            <v>1750041</v>
          </cell>
          <cell r="AX592">
            <v>1016068</v>
          </cell>
          <cell r="AY592">
            <v>3261763</v>
          </cell>
          <cell r="AZ592">
            <v>6280551</v>
          </cell>
          <cell r="BA592">
            <v>6814917</v>
          </cell>
          <cell r="BB592">
            <v>6814917</v>
          </cell>
        </row>
        <row r="593">
          <cell r="A593" t="str">
            <v>PUBLIX</v>
          </cell>
          <cell r="B593">
            <v>2432492</v>
          </cell>
          <cell r="C593">
            <v>4832988</v>
          </cell>
          <cell r="D593">
            <v>7065904</v>
          </cell>
          <cell r="E593">
            <v>9275659</v>
          </cell>
          <cell r="F593">
            <v>2419847</v>
          </cell>
          <cell r="G593">
            <v>6120586</v>
          </cell>
          <cell r="H593">
            <v>8729637</v>
          </cell>
          <cell r="I593">
            <v>11205729</v>
          </cell>
          <cell r="J593">
            <v>2555944</v>
          </cell>
          <cell r="K593">
            <v>5196182</v>
          </cell>
          <cell r="L593">
            <v>7910789</v>
          </cell>
          <cell r="M593">
            <v>10635923</v>
          </cell>
          <cell r="N593">
            <v>2714126</v>
          </cell>
          <cell r="O593">
            <v>6403579</v>
          </cell>
          <cell r="P593">
            <v>8905692</v>
          </cell>
          <cell r="Q593">
            <v>11906530</v>
          </cell>
          <cell r="R593">
            <v>3267992</v>
          </cell>
          <cell r="S593">
            <v>8749983</v>
          </cell>
          <cell r="T593">
            <v>12703893</v>
          </cell>
          <cell r="U593">
            <v>16114613</v>
          </cell>
          <cell r="V593">
            <v>3684383</v>
          </cell>
          <cell r="W593">
            <v>7620915</v>
          </cell>
          <cell r="X593">
            <v>12384771</v>
          </cell>
          <cell r="Y593">
            <v>17483514</v>
          </cell>
          <cell r="Z593">
            <v>3433014</v>
          </cell>
          <cell r="AA593">
            <v>6021704</v>
          </cell>
          <cell r="AB593">
            <v>8500019</v>
          </cell>
          <cell r="AC593">
            <v>10970396</v>
          </cell>
          <cell r="AD593">
            <v>2563189</v>
          </cell>
          <cell r="AE593">
            <v>5123470</v>
          </cell>
          <cell r="AF593">
            <v>7735931</v>
          </cell>
          <cell r="AG593">
            <v>10456598</v>
          </cell>
          <cell r="AH593">
            <v>2721318</v>
          </cell>
          <cell r="AI593">
            <v>5168682</v>
          </cell>
          <cell r="AJ593">
            <v>7694991</v>
          </cell>
          <cell r="AK593">
            <v>10197121</v>
          </cell>
          <cell r="AL593">
            <v>2587264</v>
          </cell>
          <cell r="AM593">
            <v>5228619</v>
          </cell>
          <cell r="AN593">
            <v>8000155</v>
          </cell>
          <cell r="AO593">
            <v>10956844</v>
          </cell>
          <cell r="AP593">
            <v>3169740</v>
          </cell>
          <cell r="AQ593">
            <v>6737608</v>
          </cell>
          <cell r="AR593">
            <v>9652157</v>
          </cell>
          <cell r="AS593">
            <v>13023767</v>
          </cell>
          <cell r="AT593">
            <v>2837288</v>
          </cell>
          <cell r="AU593">
            <v>5741239</v>
          </cell>
          <cell r="AV593">
            <v>8831832</v>
          </cell>
          <cell r="AW593">
            <v>14217937</v>
          </cell>
          <cell r="AX593">
            <v>9738293</v>
          </cell>
          <cell r="AY593">
            <v>32064255</v>
          </cell>
          <cell r="AZ593">
            <v>57874892</v>
          </cell>
          <cell r="BA593">
            <v>61242286</v>
          </cell>
          <cell r="BB593">
            <v>61242286</v>
          </cell>
        </row>
        <row r="594">
          <cell r="A594" t="str">
            <v>QUICK CHECK</v>
          </cell>
          <cell r="B594">
            <v>151215</v>
          </cell>
          <cell r="C594">
            <v>277125</v>
          </cell>
          <cell r="D594">
            <v>395414</v>
          </cell>
          <cell r="E594">
            <v>503256</v>
          </cell>
          <cell r="F594">
            <v>109831</v>
          </cell>
          <cell r="G594">
            <v>219788</v>
          </cell>
          <cell r="H594">
            <v>335097</v>
          </cell>
          <cell r="I594">
            <v>441661</v>
          </cell>
          <cell r="J594">
            <v>100502</v>
          </cell>
          <cell r="K594">
            <v>201931</v>
          </cell>
          <cell r="L594">
            <v>311228</v>
          </cell>
          <cell r="M594">
            <v>433078</v>
          </cell>
          <cell r="N594">
            <v>128805</v>
          </cell>
          <cell r="O594">
            <v>238492</v>
          </cell>
          <cell r="P594">
            <v>345272</v>
          </cell>
          <cell r="Q594">
            <v>460969</v>
          </cell>
          <cell r="R594">
            <v>131392</v>
          </cell>
          <cell r="S594">
            <v>254460</v>
          </cell>
          <cell r="T594">
            <v>398086</v>
          </cell>
          <cell r="U594">
            <v>533714</v>
          </cell>
          <cell r="V594">
            <v>112736</v>
          </cell>
          <cell r="W594">
            <v>224497</v>
          </cell>
          <cell r="X594">
            <v>337724</v>
          </cell>
          <cell r="Y594">
            <v>495002</v>
          </cell>
          <cell r="Z594">
            <v>187079</v>
          </cell>
          <cell r="AA594">
            <v>311399</v>
          </cell>
          <cell r="AB594">
            <v>437844</v>
          </cell>
          <cell r="AC594">
            <v>558360</v>
          </cell>
          <cell r="AD594">
            <v>112581</v>
          </cell>
          <cell r="AE594">
            <v>221456</v>
          </cell>
          <cell r="AF594">
            <v>347048</v>
          </cell>
          <cell r="AG594">
            <v>453948</v>
          </cell>
          <cell r="AH594">
            <v>108417</v>
          </cell>
          <cell r="AI594">
            <v>208536</v>
          </cell>
          <cell r="AJ594">
            <v>308608</v>
          </cell>
          <cell r="AK594">
            <v>406135</v>
          </cell>
          <cell r="AL594">
            <v>98880</v>
          </cell>
          <cell r="AM594">
            <v>199868</v>
          </cell>
          <cell r="AN594">
            <v>315960</v>
          </cell>
          <cell r="AO594">
            <v>429527</v>
          </cell>
          <cell r="AP594">
            <v>101155</v>
          </cell>
          <cell r="AQ594">
            <v>201978</v>
          </cell>
          <cell r="AR594">
            <v>301559</v>
          </cell>
          <cell r="AS594">
            <v>407034</v>
          </cell>
          <cell r="AT594">
            <v>99291</v>
          </cell>
          <cell r="AU594">
            <v>242491</v>
          </cell>
          <cell r="AV594">
            <v>341368</v>
          </cell>
          <cell r="AW594">
            <v>449492</v>
          </cell>
          <cell r="AX594">
            <v>125320</v>
          </cell>
          <cell r="AY594">
            <v>295688</v>
          </cell>
          <cell r="AZ594">
            <v>694838</v>
          </cell>
          <cell r="BA594">
            <v>1657144</v>
          </cell>
          <cell r="BB594">
            <v>1657144</v>
          </cell>
        </row>
        <row r="595">
          <cell r="A595" t="str">
            <v>ROUNDYS</v>
          </cell>
          <cell r="B595">
            <v>314149</v>
          </cell>
          <cell r="C595">
            <v>627727</v>
          </cell>
          <cell r="D595">
            <v>890883</v>
          </cell>
          <cell r="E595">
            <v>1127360</v>
          </cell>
          <cell r="F595">
            <v>260280</v>
          </cell>
          <cell r="G595">
            <v>626265</v>
          </cell>
          <cell r="H595">
            <v>890268</v>
          </cell>
          <cell r="I595">
            <v>1127753</v>
          </cell>
          <cell r="J595">
            <v>254789</v>
          </cell>
          <cell r="K595">
            <v>508575</v>
          </cell>
          <cell r="L595">
            <v>769389</v>
          </cell>
          <cell r="M595">
            <v>1012190</v>
          </cell>
          <cell r="N595">
            <v>247866</v>
          </cell>
          <cell r="O595">
            <v>663032</v>
          </cell>
          <cell r="P595">
            <v>900604</v>
          </cell>
          <cell r="Q595">
            <v>1155765</v>
          </cell>
          <cell r="R595">
            <v>279721</v>
          </cell>
          <cell r="S595">
            <v>727415</v>
          </cell>
          <cell r="T595">
            <v>1067524</v>
          </cell>
          <cell r="U595">
            <v>1335681</v>
          </cell>
          <cell r="V595">
            <v>296016</v>
          </cell>
          <cell r="W595">
            <v>587150</v>
          </cell>
          <cell r="X595">
            <v>982004</v>
          </cell>
          <cell r="Y595">
            <v>1551300</v>
          </cell>
          <cell r="Z595">
            <v>378086</v>
          </cell>
          <cell r="AA595">
            <v>653597</v>
          </cell>
          <cell r="AB595">
            <v>923729</v>
          </cell>
          <cell r="AC595">
            <v>1199148</v>
          </cell>
          <cell r="AD595">
            <v>287978</v>
          </cell>
          <cell r="AE595">
            <v>548725</v>
          </cell>
          <cell r="AF595">
            <v>816526</v>
          </cell>
          <cell r="AG595">
            <v>1071239</v>
          </cell>
          <cell r="AH595">
            <v>264888</v>
          </cell>
          <cell r="AI595">
            <v>531574</v>
          </cell>
          <cell r="AJ595">
            <v>782622</v>
          </cell>
          <cell r="AK595">
            <v>1027906</v>
          </cell>
          <cell r="AL595">
            <v>238423</v>
          </cell>
          <cell r="AM595">
            <v>499200</v>
          </cell>
          <cell r="AN595">
            <v>745564</v>
          </cell>
          <cell r="AO595">
            <v>990062</v>
          </cell>
          <cell r="AP595">
            <v>243190</v>
          </cell>
          <cell r="AQ595">
            <v>522343</v>
          </cell>
          <cell r="AR595">
            <v>770630</v>
          </cell>
          <cell r="AS595">
            <v>1031007</v>
          </cell>
          <cell r="AT595">
            <v>256339</v>
          </cell>
          <cell r="AU595">
            <v>536309</v>
          </cell>
          <cell r="AV595">
            <v>854198</v>
          </cell>
          <cell r="AW595">
            <v>1555933</v>
          </cell>
          <cell r="AX595">
            <v>1017785</v>
          </cell>
          <cell r="AY595">
            <v>3226362</v>
          </cell>
          <cell r="AZ595">
            <v>6126343</v>
          </cell>
          <cell r="BA595">
            <v>6635348</v>
          </cell>
          <cell r="BB595">
            <v>6635348</v>
          </cell>
        </row>
        <row r="596">
          <cell r="A596" t="str">
            <v>SAFEWAY</v>
          </cell>
          <cell r="B596">
            <v>11125163</v>
          </cell>
          <cell r="C596">
            <v>22133342</v>
          </cell>
          <cell r="D596">
            <v>32587894</v>
          </cell>
          <cell r="E596">
            <v>43001025</v>
          </cell>
          <cell r="F596">
            <v>10773572</v>
          </cell>
          <cell r="G596">
            <v>26432275</v>
          </cell>
          <cell r="H596">
            <v>37648509</v>
          </cell>
          <cell r="I596">
            <v>48313750</v>
          </cell>
          <cell r="J596">
            <v>11176455</v>
          </cell>
          <cell r="K596">
            <v>22862460</v>
          </cell>
          <cell r="L596">
            <v>34659526</v>
          </cell>
          <cell r="M596">
            <v>46273027</v>
          </cell>
          <cell r="N596">
            <v>11969316</v>
          </cell>
          <cell r="O596">
            <v>27672610</v>
          </cell>
          <cell r="P596">
            <v>40069207</v>
          </cell>
          <cell r="Q596">
            <v>52793638</v>
          </cell>
          <cell r="R596">
            <v>13534293</v>
          </cell>
          <cell r="S596">
            <v>34541486</v>
          </cell>
          <cell r="T596">
            <v>51474159</v>
          </cell>
          <cell r="U596">
            <v>65859403</v>
          </cell>
          <cell r="V596">
            <v>16186283</v>
          </cell>
          <cell r="W596">
            <v>32879725</v>
          </cell>
          <cell r="X596">
            <v>52837708</v>
          </cell>
          <cell r="Y596">
            <v>76776740</v>
          </cell>
          <cell r="Z596">
            <v>17905288</v>
          </cell>
          <cell r="AA596">
            <v>31993315</v>
          </cell>
          <cell r="AB596">
            <v>45196672</v>
          </cell>
          <cell r="AC596">
            <v>58457539</v>
          </cell>
          <cell r="AD596">
            <v>13980356</v>
          </cell>
          <cell r="AE596">
            <v>27788176</v>
          </cell>
          <cell r="AF596">
            <v>41868863</v>
          </cell>
          <cell r="AG596">
            <v>55906619</v>
          </cell>
          <cell r="AH596">
            <v>14277126</v>
          </cell>
          <cell r="AI596">
            <v>28747359</v>
          </cell>
          <cell r="AJ596">
            <v>42076156</v>
          </cell>
          <cell r="AK596">
            <v>55236860</v>
          </cell>
          <cell r="AL596">
            <v>13174814</v>
          </cell>
          <cell r="AM596">
            <v>26412058</v>
          </cell>
          <cell r="AN596">
            <v>39365038</v>
          </cell>
          <cell r="AO596">
            <v>52689097</v>
          </cell>
          <cell r="AP596">
            <v>13289977</v>
          </cell>
          <cell r="AQ596">
            <v>26849960</v>
          </cell>
          <cell r="AR596">
            <v>40422064</v>
          </cell>
          <cell r="AS596">
            <v>53941016</v>
          </cell>
          <cell r="AT596">
            <v>14684989</v>
          </cell>
          <cell r="AU596">
            <v>30335928</v>
          </cell>
          <cell r="AV596">
            <v>47314656</v>
          </cell>
          <cell r="AW596">
            <v>74806374</v>
          </cell>
          <cell r="AX596">
            <v>48000701</v>
          </cell>
          <cell r="AY596">
            <v>153182820</v>
          </cell>
          <cell r="AZ596">
            <v>276109623</v>
          </cell>
          <cell r="BA596">
            <v>296301932</v>
          </cell>
          <cell r="BB596">
            <v>296301932</v>
          </cell>
        </row>
        <row r="597">
          <cell r="A597" t="str">
            <v>SAVE MART</v>
          </cell>
          <cell r="B597">
            <v>343281</v>
          </cell>
          <cell r="C597">
            <v>684122</v>
          </cell>
          <cell r="D597">
            <v>1007783</v>
          </cell>
          <cell r="E597">
            <v>1320314</v>
          </cell>
          <cell r="F597">
            <v>301945</v>
          </cell>
          <cell r="G597">
            <v>767230</v>
          </cell>
          <cell r="H597">
            <v>1087157</v>
          </cell>
          <cell r="I597">
            <v>1381180</v>
          </cell>
          <cell r="J597">
            <v>308179</v>
          </cell>
          <cell r="K597">
            <v>632050</v>
          </cell>
          <cell r="L597">
            <v>970139</v>
          </cell>
          <cell r="M597">
            <v>1322615</v>
          </cell>
          <cell r="N597">
            <v>337188</v>
          </cell>
          <cell r="O597">
            <v>858308</v>
          </cell>
          <cell r="P597">
            <v>1218004</v>
          </cell>
          <cell r="Q597">
            <v>1582092</v>
          </cell>
          <cell r="R597">
            <v>403371</v>
          </cell>
          <cell r="S597">
            <v>1053479</v>
          </cell>
          <cell r="T597">
            <v>1577654</v>
          </cell>
          <cell r="U597">
            <v>1979735</v>
          </cell>
          <cell r="V597">
            <v>544397</v>
          </cell>
          <cell r="W597">
            <v>1125250</v>
          </cell>
          <cell r="X597">
            <v>1820066</v>
          </cell>
          <cell r="Y597">
            <v>2637115</v>
          </cell>
          <cell r="Z597">
            <v>596777</v>
          </cell>
          <cell r="AA597">
            <v>1017216</v>
          </cell>
          <cell r="AB597">
            <v>1408834</v>
          </cell>
          <cell r="AC597">
            <v>1801582</v>
          </cell>
          <cell r="AD597">
            <v>416902</v>
          </cell>
          <cell r="AE597">
            <v>812188</v>
          </cell>
          <cell r="AF597">
            <v>1220622</v>
          </cell>
          <cell r="AG597">
            <v>1615082</v>
          </cell>
          <cell r="AH597">
            <v>410904</v>
          </cell>
          <cell r="AI597">
            <v>823616</v>
          </cell>
          <cell r="AJ597">
            <v>1222907</v>
          </cell>
          <cell r="AK597">
            <v>1643235</v>
          </cell>
          <cell r="AL597">
            <v>409821</v>
          </cell>
          <cell r="AM597">
            <v>833105</v>
          </cell>
          <cell r="AN597">
            <v>1239356</v>
          </cell>
          <cell r="AO597">
            <v>1672861</v>
          </cell>
          <cell r="AP597">
            <v>403029</v>
          </cell>
          <cell r="AQ597">
            <v>812712</v>
          </cell>
          <cell r="AR597">
            <v>1215788</v>
          </cell>
          <cell r="AS597">
            <v>1608582</v>
          </cell>
          <cell r="AT597">
            <v>401553</v>
          </cell>
          <cell r="AU597">
            <v>808949</v>
          </cell>
          <cell r="AV597">
            <v>1243903</v>
          </cell>
          <cell r="AW597">
            <v>1850601</v>
          </cell>
          <cell r="AX597">
            <v>946158</v>
          </cell>
          <cell r="AY597">
            <v>3125579</v>
          </cell>
          <cell r="AZ597">
            <v>6591253</v>
          </cell>
          <cell r="BA597">
            <v>7038308</v>
          </cell>
          <cell r="BB597">
            <v>7038308</v>
          </cell>
        </row>
        <row r="598">
          <cell r="A598" t="str">
            <v>SOBEYS</v>
          </cell>
          <cell r="B598">
            <v>486628</v>
          </cell>
          <cell r="C598">
            <v>968248</v>
          </cell>
          <cell r="D598">
            <v>1420938</v>
          </cell>
          <cell r="E598">
            <v>1845543</v>
          </cell>
          <cell r="F598">
            <v>375197</v>
          </cell>
          <cell r="G598">
            <v>892325</v>
          </cell>
          <cell r="H598">
            <v>1299370</v>
          </cell>
          <cell r="I598">
            <v>1680814</v>
          </cell>
          <cell r="J598">
            <v>348423</v>
          </cell>
          <cell r="K598">
            <v>717842</v>
          </cell>
          <cell r="L598">
            <v>1127483</v>
          </cell>
          <cell r="M598">
            <v>1519716</v>
          </cell>
          <cell r="N598">
            <v>358063</v>
          </cell>
          <cell r="O598">
            <v>961082</v>
          </cell>
          <cell r="P598">
            <v>1305860</v>
          </cell>
          <cell r="Q598">
            <v>1689855</v>
          </cell>
          <cell r="R598">
            <v>384118</v>
          </cell>
          <cell r="S598">
            <v>969970</v>
          </cell>
          <cell r="T598">
            <v>1454919</v>
          </cell>
          <cell r="U598">
            <v>1895045</v>
          </cell>
          <cell r="V598">
            <v>561717</v>
          </cell>
          <cell r="W598">
            <v>1024640</v>
          </cell>
          <cell r="X598">
            <v>1758498</v>
          </cell>
          <cell r="Y598">
            <v>2652951</v>
          </cell>
          <cell r="Z598">
            <v>840257</v>
          </cell>
          <cell r="AA598">
            <v>1719124</v>
          </cell>
          <cell r="AB598">
            <v>2349052</v>
          </cell>
          <cell r="AC598">
            <v>2989979</v>
          </cell>
          <cell r="AD598">
            <v>647272</v>
          </cell>
          <cell r="AE598">
            <v>1300785</v>
          </cell>
          <cell r="AF598">
            <v>1969764</v>
          </cell>
          <cell r="AG598">
            <v>2601313</v>
          </cell>
          <cell r="AH598">
            <v>659682</v>
          </cell>
          <cell r="AI598">
            <v>1316821</v>
          </cell>
          <cell r="AJ598">
            <v>1978735</v>
          </cell>
          <cell r="AK598">
            <v>2567684</v>
          </cell>
          <cell r="AL598">
            <v>599689</v>
          </cell>
          <cell r="AM598">
            <v>1207087</v>
          </cell>
          <cell r="AN598">
            <v>1841432</v>
          </cell>
          <cell r="AO598">
            <v>2465093</v>
          </cell>
          <cell r="AP598">
            <v>604339</v>
          </cell>
          <cell r="AQ598">
            <v>1200788</v>
          </cell>
          <cell r="AR598">
            <v>1765456</v>
          </cell>
          <cell r="AS598">
            <v>2336306</v>
          </cell>
          <cell r="AT598">
            <v>537142</v>
          </cell>
          <cell r="AU598">
            <v>1149420</v>
          </cell>
          <cell r="AV598">
            <v>1951895</v>
          </cell>
          <cell r="AW598">
            <v>3432483</v>
          </cell>
          <cell r="AX598">
            <v>2322990</v>
          </cell>
          <cell r="AY598">
            <v>6617342</v>
          </cell>
          <cell r="AZ598">
            <v>11859103</v>
          </cell>
          <cell r="BA598">
            <v>12911852</v>
          </cell>
          <cell r="BB598">
            <v>12911852</v>
          </cell>
        </row>
        <row r="599">
          <cell r="A599" t="str">
            <v>STAPLES</v>
          </cell>
          <cell r="B599">
            <v>1221048</v>
          </cell>
          <cell r="C599">
            <v>2354295</v>
          </cell>
          <cell r="D599">
            <v>3425499</v>
          </cell>
          <cell r="E599">
            <v>4432831</v>
          </cell>
          <cell r="F599">
            <v>1040957</v>
          </cell>
          <cell r="G599">
            <v>2275827</v>
          </cell>
          <cell r="H599">
            <v>3242666</v>
          </cell>
          <cell r="I599">
            <v>4365087</v>
          </cell>
          <cell r="J599">
            <v>1140450</v>
          </cell>
          <cell r="K599">
            <v>2324715</v>
          </cell>
          <cell r="L599">
            <v>3561847</v>
          </cell>
          <cell r="M599">
            <v>4802899</v>
          </cell>
          <cell r="N599">
            <v>1062779</v>
          </cell>
          <cell r="O599">
            <v>2679939</v>
          </cell>
          <cell r="P599">
            <v>3971867</v>
          </cell>
          <cell r="Q599">
            <v>5238457</v>
          </cell>
          <cell r="R599">
            <v>1310596</v>
          </cell>
          <cell r="S599">
            <v>2980268</v>
          </cell>
          <cell r="T599">
            <v>4227467</v>
          </cell>
          <cell r="U599">
            <v>5439812</v>
          </cell>
          <cell r="V599">
            <v>1312283</v>
          </cell>
          <cell r="W599">
            <v>2561881</v>
          </cell>
          <cell r="X599">
            <v>3986849</v>
          </cell>
          <cell r="Y599">
            <v>5921972</v>
          </cell>
          <cell r="Z599">
            <v>1432119</v>
          </cell>
          <cell r="AA599">
            <v>2510502</v>
          </cell>
          <cell r="AB599">
            <v>3502988</v>
          </cell>
          <cell r="AC599">
            <v>4380022</v>
          </cell>
          <cell r="AD599">
            <v>1043059</v>
          </cell>
          <cell r="AE599">
            <v>2259456</v>
          </cell>
          <cell r="AF599">
            <v>3391065</v>
          </cell>
          <cell r="AG599">
            <v>4619900</v>
          </cell>
          <cell r="AH599">
            <v>1060150</v>
          </cell>
          <cell r="AI599">
            <v>2167576</v>
          </cell>
          <cell r="AJ599">
            <v>3231014</v>
          </cell>
          <cell r="AK599">
            <v>4145012</v>
          </cell>
          <cell r="AL599">
            <v>870782</v>
          </cell>
          <cell r="AM599">
            <v>1692969</v>
          </cell>
          <cell r="AN599">
            <v>2500255</v>
          </cell>
          <cell r="AO599">
            <v>3284101</v>
          </cell>
          <cell r="AP599">
            <v>955974</v>
          </cell>
          <cell r="AQ599">
            <v>2108583</v>
          </cell>
          <cell r="AR599">
            <v>3178129</v>
          </cell>
          <cell r="AS599">
            <v>4201291</v>
          </cell>
          <cell r="AT599">
            <v>1040910</v>
          </cell>
          <cell r="AU599">
            <v>2400967</v>
          </cell>
          <cell r="AV599">
            <v>4241787</v>
          </cell>
          <cell r="AW599">
            <v>6589708</v>
          </cell>
          <cell r="AX599">
            <v>3843976</v>
          </cell>
          <cell r="AY599">
            <v>9416736</v>
          </cell>
          <cell r="AZ599">
            <v>20935112</v>
          </cell>
          <cell r="BA599">
            <v>23089720</v>
          </cell>
          <cell r="BB599">
            <v>23089720</v>
          </cell>
        </row>
        <row r="600">
          <cell r="A600" t="str">
            <v>STATER BROS</v>
          </cell>
          <cell r="B600">
            <v>479394</v>
          </cell>
          <cell r="C600">
            <v>948048</v>
          </cell>
          <cell r="D600">
            <v>1357188</v>
          </cell>
          <cell r="E600">
            <v>1770584</v>
          </cell>
          <cell r="F600">
            <v>414455</v>
          </cell>
          <cell r="G600">
            <v>1005347</v>
          </cell>
          <cell r="H600">
            <v>1425928</v>
          </cell>
          <cell r="I600">
            <v>1835303</v>
          </cell>
          <cell r="J600">
            <v>414437</v>
          </cell>
          <cell r="K600">
            <v>846722</v>
          </cell>
          <cell r="L600">
            <v>1292589</v>
          </cell>
          <cell r="M600">
            <v>1743670</v>
          </cell>
          <cell r="N600">
            <v>425397</v>
          </cell>
          <cell r="O600">
            <v>988671</v>
          </cell>
          <cell r="P600">
            <v>1434517</v>
          </cell>
          <cell r="Q600">
            <v>1886186</v>
          </cell>
          <cell r="R600">
            <v>484869</v>
          </cell>
          <cell r="S600">
            <v>1304003</v>
          </cell>
          <cell r="T600">
            <v>1977544</v>
          </cell>
          <cell r="U600">
            <v>2456429</v>
          </cell>
          <cell r="V600">
            <v>510443</v>
          </cell>
          <cell r="W600">
            <v>1020632</v>
          </cell>
          <cell r="X600">
            <v>1701709</v>
          </cell>
          <cell r="Y600">
            <v>2658743</v>
          </cell>
          <cell r="Z600">
            <v>696487</v>
          </cell>
          <cell r="AA600">
            <v>1176158</v>
          </cell>
          <cell r="AB600">
            <v>1662151</v>
          </cell>
          <cell r="AC600">
            <v>2132250</v>
          </cell>
          <cell r="AD600">
            <v>507286</v>
          </cell>
          <cell r="AE600">
            <v>1013898</v>
          </cell>
          <cell r="AF600">
            <v>1523490</v>
          </cell>
          <cell r="AG600">
            <v>2052069</v>
          </cell>
          <cell r="AH600">
            <v>497367</v>
          </cell>
          <cell r="AI600">
            <v>982035</v>
          </cell>
          <cell r="AJ600">
            <v>1441748</v>
          </cell>
          <cell r="AK600">
            <v>1859033</v>
          </cell>
          <cell r="AL600">
            <v>403665</v>
          </cell>
          <cell r="AM600">
            <v>819508</v>
          </cell>
          <cell r="AN600">
            <v>1235121</v>
          </cell>
          <cell r="AO600">
            <v>1662229</v>
          </cell>
          <cell r="AP600">
            <v>426274</v>
          </cell>
          <cell r="AQ600">
            <v>857383</v>
          </cell>
          <cell r="AR600">
            <v>1258121</v>
          </cell>
          <cell r="AS600">
            <v>1659374</v>
          </cell>
          <cell r="AT600">
            <v>401494</v>
          </cell>
          <cell r="AU600">
            <v>816091</v>
          </cell>
          <cell r="AV600">
            <v>1268079</v>
          </cell>
          <cell r="AW600">
            <v>1951397</v>
          </cell>
          <cell r="AX600">
            <v>1154794</v>
          </cell>
          <cell r="AY600">
            <v>3645390</v>
          </cell>
          <cell r="AZ600">
            <v>7758064</v>
          </cell>
          <cell r="BA600">
            <v>8251869</v>
          </cell>
          <cell r="BB600">
            <v>8251869</v>
          </cell>
        </row>
        <row r="601">
          <cell r="A601" t="str">
            <v>SVU CORPORATE 30</v>
          </cell>
          <cell r="B601">
            <v>282383</v>
          </cell>
          <cell r="C601">
            <v>559205</v>
          </cell>
          <cell r="D601">
            <v>814089</v>
          </cell>
          <cell r="E601">
            <v>1062858</v>
          </cell>
          <cell r="F601">
            <v>276375</v>
          </cell>
          <cell r="G601">
            <v>658208</v>
          </cell>
          <cell r="H601">
            <v>960447</v>
          </cell>
          <cell r="I601">
            <v>1245113</v>
          </cell>
          <cell r="J601">
            <v>283915</v>
          </cell>
          <cell r="K601">
            <v>593948</v>
          </cell>
          <cell r="L601">
            <v>888337</v>
          </cell>
          <cell r="M601">
            <v>1176033</v>
          </cell>
          <cell r="N601">
            <v>293298</v>
          </cell>
          <cell r="O601">
            <v>679664</v>
          </cell>
          <cell r="P601">
            <v>980912</v>
          </cell>
          <cell r="Q601">
            <v>1282822</v>
          </cell>
          <cell r="R601">
            <v>338385</v>
          </cell>
          <cell r="S601">
            <v>867957</v>
          </cell>
          <cell r="T601">
            <v>1300119</v>
          </cell>
          <cell r="U601">
            <v>1657727</v>
          </cell>
          <cell r="V601">
            <v>404091</v>
          </cell>
          <cell r="W601">
            <v>818303</v>
          </cell>
          <cell r="X601">
            <v>1306077</v>
          </cell>
          <cell r="Y601">
            <v>1889556</v>
          </cell>
          <cell r="Z601">
            <v>438503</v>
          </cell>
          <cell r="AA601">
            <v>777461</v>
          </cell>
          <cell r="AB601">
            <v>1101857</v>
          </cell>
          <cell r="AC601">
            <v>1425763</v>
          </cell>
          <cell r="AD601">
            <v>332345</v>
          </cell>
          <cell r="AE601">
            <v>677148</v>
          </cell>
          <cell r="AF601">
            <v>1023817</v>
          </cell>
          <cell r="AG601">
            <v>1362279</v>
          </cell>
          <cell r="AH601">
            <v>357989</v>
          </cell>
          <cell r="AI601">
            <v>686824</v>
          </cell>
          <cell r="AJ601">
            <v>999260</v>
          </cell>
          <cell r="AK601">
            <v>1318450</v>
          </cell>
          <cell r="AL601">
            <v>333253</v>
          </cell>
          <cell r="AM601">
            <v>657059</v>
          </cell>
          <cell r="AN601">
            <v>979593</v>
          </cell>
          <cell r="AO601">
            <v>1294429</v>
          </cell>
          <cell r="AP601">
            <v>452984</v>
          </cell>
          <cell r="AQ601">
            <v>790961</v>
          </cell>
          <cell r="AR601">
            <v>1138848</v>
          </cell>
          <cell r="AS601">
            <v>1488396</v>
          </cell>
          <cell r="AT601">
            <v>384886</v>
          </cell>
          <cell r="AU601">
            <v>811512</v>
          </cell>
          <cell r="AV601">
            <v>1283495</v>
          </cell>
          <cell r="AW601">
            <v>1988406</v>
          </cell>
          <cell r="AX601">
            <v>1607543</v>
          </cell>
          <cell r="AY601">
            <v>4367132</v>
          </cell>
          <cell r="AZ601">
            <v>8102848</v>
          </cell>
          <cell r="BA601">
            <v>8603461</v>
          </cell>
          <cell r="BB601">
            <v>8603461</v>
          </cell>
        </row>
        <row r="602">
          <cell r="A602" t="str">
            <v>SVU INDEPENDENT 10/25</v>
          </cell>
          <cell r="B602">
            <v>81455</v>
          </cell>
          <cell r="C602">
            <v>149777</v>
          </cell>
          <cell r="D602">
            <v>213909</v>
          </cell>
          <cell r="E602">
            <v>277937</v>
          </cell>
          <cell r="F602">
            <v>64743</v>
          </cell>
          <cell r="G602">
            <v>154026</v>
          </cell>
          <cell r="H602">
            <v>221767</v>
          </cell>
          <cell r="I602">
            <v>277499</v>
          </cell>
          <cell r="J602">
            <v>98405</v>
          </cell>
          <cell r="K602">
            <v>204308</v>
          </cell>
          <cell r="L602">
            <v>268866</v>
          </cell>
          <cell r="M602">
            <v>339931</v>
          </cell>
          <cell r="N602">
            <v>67360</v>
          </cell>
          <cell r="O602">
            <v>158013</v>
          </cell>
          <cell r="P602">
            <v>230601</v>
          </cell>
          <cell r="Q602">
            <v>303126</v>
          </cell>
          <cell r="R602">
            <v>79829</v>
          </cell>
          <cell r="S602">
            <v>205071</v>
          </cell>
          <cell r="T602">
            <v>292042</v>
          </cell>
          <cell r="U602">
            <v>390493</v>
          </cell>
          <cell r="V602">
            <v>99640</v>
          </cell>
          <cell r="W602">
            <v>199632</v>
          </cell>
          <cell r="X602">
            <v>310827</v>
          </cell>
          <cell r="Y602">
            <v>480014</v>
          </cell>
          <cell r="Z602">
            <v>120487</v>
          </cell>
          <cell r="AA602">
            <v>208783</v>
          </cell>
          <cell r="AB602">
            <v>294406</v>
          </cell>
          <cell r="AC602">
            <v>376476</v>
          </cell>
          <cell r="AD602">
            <v>83268</v>
          </cell>
          <cell r="AE602">
            <v>169045</v>
          </cell>
          <cell r="AF602">
            <v>257603</v>
          </cell>
          <cell r="AG602">
            <v>346467</v>
          </cell>
          <cell r="AH602">
            <v>89516</v>
          </cell>
          <cell r="AI602">
            <v>176730</v>
          </cell>
          <cell r="AJ602">
            <v>257550</v>
          </cell>
          <cell r="AK602">
            <v>337269</v>
          </cell>
          <cell r="AL602">
            <v>90328</v>
          </cell>
          <cell r="AM602">
            <v>176003</v>
          </cell>
          <cell r="AN602">
            <v>264058</v>
          </cell>
          <cell r="AO602">
            <v>353948</v>
          </cell>
          <cell r="AP602">
            <v>91229</v>
          </cell>
          <cell r="AQ602">
            <v>205582</v>
          </cell>
          <cell r="AR602">
            <v>308416</v>
          </cell>
          <cell r="AS602">
            <v>409134</v>
          </cell>
          <cell r="AT602">
            <v>103729</v>
          </cell>
          <cell r="AU602">
            <v>230927</v>
          </cell>
          <cell r="AV602">
            <v>367054</v>
          </cell>
          <cell r="AW602">
            <v>548806</v>
          </cell>
          <cell r="AX602">
            <v>298348</v>
          </cell>
          <cell r="AY602">
            <v>794283</v>
          </cell>
          <cell r="AZ602">
            <v>1796014</v>
          </cell>
          <cell r="BA602">
            <v>2269115</v>
          </cell>
          <cell r="BB602">
            <v>2269115</v>
          </cell>
        </row>
        <row r="603">
          <cell r="A603" t="str">
            <v>SVU INDEPENDENT 5/25</v>
          </cell>
          <cell r="B603">
            <v>152258</v>
          </cell>
          <cell r="C603">
            <v>278936</v>
          </cell>
          <cell r="D603">
            <v>395932</v>
          </cell>
          <cell r="E603">
            <v>513569</v>
          </cell>
          <cell r="F603">
            <v>117472</v>
          </cell>
          <cell r="G603">
            <v>287976</v>
          </cell>
          <cell r="H603">
            <v>412144</v>
          </cell>
          <cell r="I603">
            <v>519058</v>
          </cell>
          <cell r="J603">
            <v>198797</v>
          </cell>
          <cell r="K603">
            <v>397108</v>
          </cell>
          <cell r="L603">
            <v>515317</v>
          </cell>
          <cell r="M603">
            <v>643620</v>
          </cell>
          <cell r="N603">
            <v>125584</v>
          </cell>
          <cell r="O603">
            <v>298331</v>
          </cell>
          <cell r="P603">
            <v>432314</v>
          </cell>
          <cell r="Q603">
            <v>568179</v>
          </cell>
          <cell r="R603">
            <v>151691</v>
          </cell>
          <cell r="S603">
            <v>395016</v>
          </cell>
          <cell r="T603">
            <v>561040</v>
          </cell>
          <cell r="U603">
            <v>750947</v>
          </cell>
          <cell r="V603">
            <v>187774</v>
          </cell>
          <cell r="W603">
            <v>377219</v>
          </cell>
          <cell r="X603">
            <v>589130</v>
          </cell>
          <cell r="Y603">
            <v>922123</v>
          </cell>
          <cell r="Z603">
            <v>234772</v>
          </cell>
          <cell r="AA603">
            <v>408545</v>
          </cell>
          <cell r="AB603">
            <v>575417</v>
          </cell>
          <cell r="AC603">
            <v>736819</v>
          </cell>
          <cell r="AD603">
            <v>163976</v>
          </cell>
          <cell r="AE603">
            <v>332096</v>
          </cell>
          <cell r="AF603">
            <v>504267</v>
          </cell>
          <cell r="AG603">
            <v>678184</v>
          </cell>
          <cell r="AH603">
            <v>168985</v>
          </cell>
          <cell r="AI603">
            <v>340264</v>
          </cell>
          <cell r="AJ603">
            <v>498746</v>
          </cell>
          <cell r="AK603">
            <v>656209</v>
          </cell>
          <cell r="AL603">
            <v>191184</v>
          </cell>
          <cell r="AM603">
            <v>369753</v>
          </cell>
          <cell r="AN603">
            <v>556221</v>
          </cell>
          <cell r="AO603">
            <v>747752</v>
          </cell>
          <cell r="AP603">
            <v>215447</v>
          </cell>
          <cell r="AQ603">
            <v>520310</v>
          </cell>
          <cell r="AR603">
            <v>775199</v>
          </cell>
          <cell r="AS603">
            <v>1028300</v>
          </cell>
          <cell r="AT603">
            <v>242978</v>
          </cell>
          <cell r="AU603">
            <v>540596</v>
          </cell>
          <cell r="AV603">
            <v>855480</v>
          </cell>
          <cell r="AW603">
            <v>1271591</v>
          </cell>
          <cell r="AX603">
            <v>630944</v>
          </cell>
          <cell r="AY603">
            <v>1626918</v>
          </cell>
          <cell r="AZ603">
            <v>3613916</v>
          </cell>
          <cell r="BA603">
            <v>4432984</v>
          </cell>
          <cell r="BB603">
            <v>4432984</v>
          </cell>
        </row>
        <row r="604">
          <cell r="A604" t="str">
            <v>TOYS R US</v>
          </cell>
          <cell r="B604">
            <v>122447</v>
          </cell>
          <cell r="C604">
            <v>221461</v>
          </cell>
          <cell r="D604">
            <v>307349</v>
          </cell>
          <cell r="E604">
            <v>397251</v>
          </cell>
          <cell r="F604">
            <v>93860</v>
          </cell>
          <cell r="G604">
            <v>270965</v>
          </cell>
          <cell r="H604">
            <v>375997</v>
          </cell>
          <cell r="I604">
            <v>468752</v>
          </cell>
          <cell r="J604">
            <v>85339</v>
          </cell>
          <cell r="K604">
            <v>178013</v>
          </cell>
          <cell r="L604">
            <v>282753</v>
          </cell>
          <cell r="M604">
            <v>375549</v>
          </cell>
          <cell r="N604">
            <v>94731</v>
          </cell>
          <cell r="O604">
            <v>292317</v>
          </cell>
          <cell r="P604">
            <v>381014</v>
          </cell>
          <cell r="Q604">
            <v>476040</v>
          </cell>
          <cell r="R604">
            <v>96494</v>
          </cell>
          <cell r="S604">
            <v>320873</v>
          </cell>
          <cell r="T604">
            <v>431317</v>
          </cell>
          <cell r="U604">
            <v>577795</v>
          </cell>
          <cell r="V604">
            <v>124442</v>
          </cell>
          <cell r="W604">
            <v>247547</v>
          </cell>
          <cell r="X604">
            <v>399744</v>
          </cell>
          <cell r="Y604">
            <v>702633</v>
          </cell>
          <cell r="Z604">
            <v>181501</v>
          </cell>
          <cell r="AA604">
            <v>294412</v>
          </cell>
          <cell r="AB604">
            <v>400469</v>
          </cell>
          <cell r="AC604">
            <v>503640</v>
          </cell>
          <cell r="AD604">
            <v>107396</v>
          </cell>
          <cell r="AE604">
            <v>212259</v>
          </cell>
          <cell r="AF604">
            <v>316210</v>
          </cell>
          <cell r="AG604">
            <v>426525</v>
          </cell>
          <cell r="AH604">
            <v>103856</v>
          </cell>
          <cell r="AI604">
            <v>204100</v>
          </cell>
          <cell r="AJ604">
            <v>303190</v>
          </cell>
          <cell r="AK604">
            <v>400160</v>
          </cell>
          <cell r="AL604">
            <v>96713</v>
          </cell>
          <cell r="AM604">
            <v>193495</v>
          </cell>
          <cell r="AN604">
            <v>286186</v>
          </cell>
          <cell r="AO604">
            <v>386547</v>
          </cell>
          <cell r="AP604">
            <v>94582</v>
          </cell>
          <cell r="AQ604">
            <v>200814</v>
          </cell>
          <cell r="AR604">
            <v>304436</v>
          </cell>
          <cell r="AS604">
            <v>419506</v>
          </cell>
          <cell r="AT604">
            <v>120758</v>
          </cell>
          <cell r="AU604">
            <v>302934</v>
          </cell>
          <cell r="AV604">
            <v>625695</v>
          </cell>
          <cell r="AW604">
            <v>1033032</v>
          </cell>
          <cell r="AX604">
            <v>701462</v>
          </cell>
          <cell r="AY604">
            <v>1716866</v>
          </cell>
          <cell r="AZ604">
            <v>3773781</v>
          </cell>
          <cell r="BA604">
            <v>4091044</v>
          </cell>
          <cell r="BB604">
            <v>4091044</v>
          </cell>
        </row>
        <row r="605">
          <cell r="A605" t="str">
            <v>UG MERCHANTS</v>
          </cell>
          <cell r="B605">
            <v>188595</v>
          </cell>
          <cell r="C605">
            <v>347867</v>
          </cell>
          <cell r="D605">
            <v>497283</v>
          </cell>
          <cell r="E605">
            <v>644734</v>
          </cell>
          <cell r="F605">
            <v>149189</v>
          </cell>
          <cell r="G605">
            <v>348505</v>
          </cell>
          <cell r="H605">
            <v>501789</v>
          </cell>
          <cell r="I605">
            <v>622385</v>
          </cell>
          <cell r="J605">
            <v>204416</v>
          </cell>
          <cell r="K605">
            <v>447936</v>
          </cell>
          <cell r="L605">
            <v>596087</v>
          </cell>
          <cell r="M605">
            <v>760856</v>
          </cell>
          <cell r="N605">
            <v>154621</v>
          </cell>
          <cell r="O605">
            <v>359690</v>
          </cell>
          <cell r="P605">
            <v>527934</v>
          </cell>
          <cell r="Q605">
            <v>692280</v>
          </cell>
          <cell r="R605">
            <v>181180</v>
          </cell>
          <cell r="S605">
            <v>460242</v>
          </cell>
          <cell r="T605">
            <v>656005</v>
          </cell>
          <cell r="U605">
            <v>877433</v>
          </cell>
          <cell r="V605">
            <v>227837</v>
          </cell>
          <cell r="W605">
            <v>456790</v>
          </cell>
          <cell r="X605">
            <v>713030</v>
          </cell>
          <cell r="Y605">
            <v>1095903</v>
          </cell>
          <cell r="Z605">
            <v>271066</v>
          </cell>
          <cell r="AA605">
            <v>471547</v>
          </cell>
          <cell r="AB605">
            <v>666842</v>
          </cell>
          <cell r="AC605">
            <v>854267</v>
          </cell>
          <cell r="AD605">
            <v>186938</v>
          </cell>
          <cell r="AE605">
            <v>382110</v>
          </cell>
          <cell r="AF605">
            <v>585670</v>
          </cell>
          <cell r="AG605">
            <v>789119</v>
          </cell>
          <cell r="AH605">
            <v>213479</v>
          </cell>
          <cell r="AI605">
            <v>410557</v>
          </cell>
          <cell r="AJ605">
            <v>592562</v>
          </cell>
          <cell r="AK605">
            <v>771637</v>
          </cell>
          <cell r="AL605">
            <v>194534</v>
          </cell>
          <cell r="AM605">
            <v>381429</v>
          </cell>
          <cell r="AN605">
            <v>574180</v>
          </cell>
          <cell r="AO605">
            <v>772995</v>
          </cell>
          <cell r="AP605">
            <v>198954</v>
          </cell>
          <cell r="AQ605">
            <v>432419</v>
          </cell>
          <cell r="AR605">
            <v>647260</v>
          </cell>
          <cell r="AS605">
            <v>853734</v>
          </cell>
          <cell r="AT605">
            <v>205281</v>
          </cell>
          <cell r="AU605">
            <v>444266</v>
          </cell>
          <cell r="AV605">
            <v>695798</v>
          </cell>
          <cell r="AW605">
            <v>1046690</v>
          </cell>
          <cell r="AX605">
            <v>590424</v>
          </cell>
          <cell r="AY605">
            <v>1535513</v>
          </cell>
          <cell r="AZ605">
            <v>3408185</v>
          </cell>
          <cell r="BA605">
            <v>3962871</v>
          </cell>
          <cell r="BB605">
            <v>3962871</v>
          </cell>
        </row>
        <row r="606">
          <cell r="A606" t="str">
            <v>WAKEFERN</v>
          </cell>
          <cell r="B606">
            <v>590791</v>
          </cell>
          <cell r="C606">
            <v>1164828</v>
          </cell>
          <cell r="D606">
            <v>1687767</v>
          </cell>
          <cell r="E606">
            <v>2187032</v>
          </cell>
          <cell r="F606">
            <v>467823</v>
          </cell>
          <cell r="G606">
            <v>1052183</v>
          </cell>
          <cell r="H606">
            <v>1517729</v>
          </cell>
          <cell r="I606">
            <v>1970250</v>
          </cell>
          <cell r="J606">
            <v>440716</v>
          </cell>
          <cell r="K606">
            <v>935724</v>
          </cell>
          <cell r="L606">
            <v>1438821</v>
          </cell>
          <cell r="M606">
            <v>1901220</v>
          </cell>
          <cell r="N606">
            <v>468901</v>
          </cell>
          <cell r="O606">
            <v>1217344</v>
          </cell>
          <cell r="P606">
            <v>1651177</v>
          </cell>
          <cell r="Q606">
            <v>2150074</v>
          </cell>
          <cell r="R606">
            <v>479182</v>
          </cell>
          <cell r="S606">
            <v>1339888</v>
          </cell>
          <cell r="T606">
            <v>2017137</v>
          </cell>
          <cell r="U606">
            <v>2530188</v>
          </cell>
          <cell r="V606">
            <v>515526</v>
          </cell>
          <cell r="W606">
            <v>1063733</v>
          </cell>
          <cell r="X606">
            <v>1834215</v>
          </cell>
          <cell r="Y606">
            <v>2992875</v>
          </cell>
          <cell r="Z606">
            <v>939282</v>
          </cell>
          <cell r="AA606">
            <v>1993483</v>
          </cell>
          <cell r="AB606">
            <v>2509038</v>
          </cell>
          <cell r="AC606">
            <v>3262652</v>
          </cell>
          <cell r="AD606">
            <v>527364</v>
          </cell>
          <cell r="AE606">
            <v>1029114</v>
          </cell>
          <cell r="AF606">
            <v>1525680</v>
          </cell>
          <cell r="AG606">
            <v>2027721</v>
          </cell>
          <cell r="AH606">
            <v>521448</v>
          </cell>
          <cell r="AI606">
            <v>1033878</v>
          </cell>
          <cell r="AJ606">
            <v>1498682</v>
          </cell>
          <cell r="AK606">
            <v>1957609</v>
          </cell>
          <cell r="AL606">
            <v>488441</v>
          </cell>
          <cell r="AM606">
            <v>1007439</v>
          </cell>
          <cell r="AN606">
            <v>1517614</v>
          </cell>
          <cell r="AO606">
            <v>2182909</v>
          </cell>
          <cell r="AP606">
            <v>617589</v>
          </cell>
          <cell r="AQ606">
            <v>1171051</v>
          </cell>
          <cell r="AR606">
            <v>1717093</v>
          </cell>
          <cell r="AS606">
            <v>2280719</v>
          </cell>
          <cell r="AT606">
            <v>862654</v>
          </cell>
          <cell r="AU606">
            <v>1615303</v>
          </cell>
          <cell r="AV606">
            <v>2356303</v>
          </cell>
          <cell r="AW606">
            <v>3548584</v>
          </cell>
          <cell r="AX606">
            <v>1864921</v>
          </cell>
          <cell r="AY606">
            <v>5960143</v>
          </cell>
          <cell r="AZ606">
            <v>12142538</v>
          </cell>
          <cell r="BA606">
            <v>12962037</v>
          </cell>
          <cell r="BB606">
            <v>12962037</v>
          </cell>
        </row>
        <row r="607">
          <cell r="A607" t="str">
            <v>WAWA</v>
          </cell>
          <cell r="B607">
            <v>1012538</v>
          </cell>
          <cell r="C607">
            <v>1945276</v>
          </cell>
          <cell r="D607">
            <v>2785676</v>
          </cell>
          <cell r="E607">
            <v>3589597</v>
          </cell>
          <cell r="F607">
            <v>848829</v>
          </cell>
          <cell r="G607">
            <v>1804585</v>
          </cell>
          <cell r="H607">
            <v>2610923</v>
          </cell>
          <cell r="I607">
            <v>3404543</v>
          </cell>
          <cell r="J607">
            <v>809991</v>
          </cell>
          <cell r="K607">
            <v>1628664</v>
          </cell>
          <cell r="L607">
            <v>2437938</v>
          </cell>
          <cell r="M607">
            <v>3289010</v>
          </cell>
          <cell r="N607">
            <v>812455</v>
          </cell>
          <cell r="O607">
            <v>1735939</v>
          </cell>
          <cell r="P607">
            <v>2547203</v>
          </cell>
          <cell r="Q607">
            <v>3412229</v>
          </cell>
          <cell r="R607">
            <v>871710</v>
          </cell>
          <cell r="S607">
            <v>1984570</v>
          </cell>
          <cell r="T607">
            <v>3021091</v>
          </cell>
          <cell r="U607">
            <v>3910968</v>
          </cell>
          <cell r="V607">
            <v>890982</v>
          </cell>
          <cell r="W607">
            <v>1820987</v>
          </cell>
          <cell r="X607">
            <v>2984160</v>
          </cell>
          <cell r="Y607">
            <v>4329197</v>
          </cell>
          <cell r="Z607">
            <v>1179810</v>
          </cell>
          <cell r="AA607">
            <v>2055359</v>
          </cell>
          <cell r="AB607">
            <v>2915487</v>
          </cell>
          <cell r="AC607">
            <v>3772622</v>
          </cell>
          <cell r="AD607">
            <v>826093</v>
          </cell>
          <cell r="AE607">
            <v>1642045</v>
          </cell>
          <cell r="AF607">
            <v>2476557</v>
          </cell>
          <cell r="AG607">
            <v>3308887</v>
          </cell>
          <cell r="AH607">
            <v>817479</v>
          </cell>
          <cell r="AI607">
            <v>1655092</v>
          </cell>
          <cell r="AJ607">
            <v>2465481</v>
          </cell>
          <cell r="AK607">
            <v>3245692</v>
          </cell>
          <cell r="AL607">
            <v>775743</v>
          </cell>
          <cell r="AM607">
            <v>1546929</v>
          </cell>
          <cell r="AN607">
            <v>2323235</v>
          </cell>
          <cell r="AO607">
            <v>3136987</v>
          </cell>
          <cell r="AP607">
            <v>795852</v>
          </cell>
          <cell r="AQ607">
            <v>1622189</v>
          </cell>
          <cell r="AR607">
            <v>2422176</v>
          </cell>
          <cell r="AS607">
            <v>3173931</v>
          </cell>
          <cell r="AT607">
            <v>784754</v>
          </cell>
          <cell r="AU607">
            <v>1555042</v>
          </cell>
          <cell r="AV607">
            <v>2359718</v>
          </cell>
          <cell r="AW607">
            <v>3404242</v>
          </cell>
          <cell r="AX607">
            <v>1512899</v>
          </cell>
          <cell r="AY607">
            <v>5295800</v>
          </cell>
          <cell r="AZ607">
            <v>14508239</v>
          </cell>
          <cell r="BA607">
            <v>15557127</v>
          </cell>
          <cell r="BB607">
            <v>15557127</v>
          </cell>
        </row>
        <row r="608">
          <cell r="A608" t="str">
            <v>WEGMANS</v>
          </cell>
          <cell r="B608">
            <v>448402</v>
          </cell>
          <cell r="C608">
            <v>874845</v>
          </cell>
          <cell r="D608">
            <v>1274672</v>
          </cell>
          <cell r="E608">
            <v>1678885</v>
          </cell>
          <cell r="F608">
            <v>451499</v>
          </cell>
          <cell r="G608">
            <v>1021625</v>
          </cell>
          <cell r="H608">
            <v>1475433</v>
          </cell>
          <cell r="I608">
            <v>1896170</v>
          </cell>
          <cell r="J608">
            <v>404383</v>
          </cell>
          <cell r="K608">
            <v>833012</v>
          </cell>
          <cell r="L608">
            <v>1246854</v>
          </cell>
          <cell r="M608">
            <v>1652749</v>
          </cell>
          <cell r="N608">
            <v>376521</v>
          </cell>
          <cell r="O608">
            <v>1028473</v>
          </cell>
          <cell r="P608">
            <v>1399034</v>
          </cell>
          <cell r="Q608">
            <v>1814171</v>
          </cell>
          <cell r="R608">
            <v>444542</v>
          </cell>
          <cell r="S608">
            <v>1145029</v>
          </cell>
          <cell r="T608">
            <v>1676533</v>
          </cell>
          <cell r="U608">
            <v>2105078</v>
          </cell>
          <cell r="V608">
            <v>452139</v>
          </cell>
          <cell r="W608">
            <v>916701</v>
          </cell>
          <cell r="X608">
            <v>1511976</v>
          </cell>
          <cell r="Y608">
            <v>2416345</v>
          </cell>
          <cell r="Z608">
            <v>695331</v>
          </cell>
          <cell r="AA608">
            <v>1264879</v>
          </cell>
          <cell r="AB608">
            <v>1681555</v>
          </cell>
          <cell r="AC608">
            <v>2127343</v>
          </cell>
          <cell r="AD608">
            <v>444033</v>
          </cell>
          <cell r="AE608">
            <v>878247</v>
          </cell>
          <cell r="AF608">
            <v>1325065</v>
          </cell>
          <cell r="AG608">
            <v>1807183</v>
          </cell>
          <cell r="AH608">
            <v>459358</v>
          </cell>
          <cell r="AI608">
            <v>901598</v>
          </cell>
          <cell r="AJ608">
            <v>1320821</v>
          </cell>
          <cell r="AK608">
            <v>1737486</v>
          </cell>
          <cell r="AL608">
            <v>408459</v>
          </cell>
          <cell r="AM608">
            <v>815709</v>
          </cell>
          <cell r="AN608">
            <v>1227862</v>
          </cell>
          <cell r="AO608">
            <v>1647271</v>
          </cell>
          <cell r="AP608">
            <v>412577</v>
          </cell>
          <cell r="AQ608">
            <v>827826</v>
          </cell>
          <cell r="AR608">
            <v>1243342</v>
          </cell>
          <cell r="AS608">
            <v>1662209</v>
          </cell>
          <cell r="AT608">
            <v>498361</v>
          </cell>
          <cell r="AU608">
            <v>1095676</v>
          </cell>
          <cell r="AV608">
            <v>1756751</v>
          </cell>
          <cell r="AW608">
            <v>2915005</v>
          </cell>
          <cell r="AX608">
            <v>2072018</v>
          </cell>
          <cell r="AY608">
            <v>6747008</v>
          </cell>
          <cell r="AZ608">
            <v>12717771</v>
          </cell>
          <cell r="BA608">
            <v>13527854</v>
          </cell>
          <cell r="BB608">
            <v>13527854</v>
          </cell>
        </row>
        <row r="609">
          <cell r="A609" t="str">
            <v>WEIS MARKET</v>
          </cell>
          <cell r="B609">
            <v>182683</v>
          </cell>
          <cell r="C609">
            <v>340387</v>
          </cell>
          <cell r="D609">
            <v>489127</v>
          </cell>
          <cell r="E609">
            <v>632730</v>
          </cell>
          <cell r="F609">
            <v>153332</v>
          </cell>
          <cell r="G609">
            <v>325566</v>
          </cell>
          <cell r="H609">
            <v>521097</v>
          </cell>
          <cell r="I609">
            <v>668967</v>
          </cell>
          <cell r="J609">
            <v>153722</v>
          </cell>
          <cell r="K609">
            <v>316792</v>
          </cell>
          <cell r="L609">
            <v>482239</v>
          </cell>
          <cell r="M609">
            <v>707351</v>
          </cell>
          <cell r="N609">
            <v>158681</v>
          </cell>
          <cell r="O609">
            <v>326930</v>
          </cell>
          <cell r="P609">
            <v>483726</v>
          </cell>
          <cell r="Q609">
            <v>643631</v>
          </cell>
          <cell r="R609">
            <v>177627</v>
          </cell>
          <cell r="S609">
            <v>387657</v>
          </cell>
          <cell r="T609">
            <v>630762</v>
          </cell>
          <cell r="U609">
            <v>856586</v>
          </cell>
          <cell r="V609">
            <v>204507</v>
          </cell>
          <cell r="W609">
            <v>418393</v>
          </cell>
          <cell r="X609">
            <v>684170</v>
          </cell>
          <cell r="Y609">
            <v>1059367</v>
          </cell>
          <cell r="Z609">
            <v>268500</v>
          </cell>
          <cell r="AA609">
            <v>461501</v>
          </cell>
          <cell r="AB609">
            <v>649400</v>
          </cell>
          <cell r="AC609">
            <v>833106</v>
          </cell>
          <cell r="AD609">
            <v>184080</v>
          </cell>
          <cell r="AE609">
            <v>364732</v>
          </cell>
          <cell r="AF609">
            <v>554039</v>
          </cell>
          <cell r="AG609">
            <v>735856</v>
          </cell>
          <cell r="AH609">
            <v>186200</v>
          </cell>
          <cell r="AI609">
            <v>377834</v>
          </cell>
          <cell r="AJ609">
            <v>560136</v>
          </cell>
          <cell r="AK609">
            <v>740604</v>
          </cell>
          <cell r="AL609">
            <v>182446</v>
          </cell>
          <cell r="AM609">
            <v>366821</v>
          </cell>
          <cell r="AN609">
            <v>539776</v>
          </cell>
          <cell r="AO609">
            <v>719565</v>
          </cell>
          <cell r="AP609">
            <v>174135</v>
          </cell>
          <cell r="AQ609">
            <v>343518</v>
          </cell>
          <cell r="AR609">
            <v>516112</v>
          </cell>
          <cell r="AS609">
            <v>686966</v>
          </cell>
          <cell r="AT609">
            <v>195405</v>
          </cell>
          <cell r="AU609">
            <v>395704</v>
          </cell>
          <cell r="AV609">
            <v>627155</v>
          </cell>
          <cell r="AW609">
            <v>940824</v>
          </cell>
          <cell r="AX609">
            <v>488698</v>
          </cell>
          <cell r="AY609">
            <v>1415449</v>
          </cell>
          <cell r="AZ609">
            <v>2954198</v>
          </cell>
          <cell r="BA609">
            <v>4138175</v>
          </cell>
          <cell r="BB609">
            <v>4138175</v>
          </cell>
        </row>
        <row r="610">
          <cell r="A610" t="str">
            <v>UNITED</v>
          </cell>
          <cell r="B610">
            <v>96143</v>
          </cell>
          <cell r="C610">
            <v>183527</v>
          </cell>
          <cell r="D610">
            <v>264565</v>
          </cell>
          <cell r="E610">
            <v>345888</v>
          </cell>
          <cell r="F610">
            <v>87521</v>
          </cell>
          <cell r="G610">
            <v>179079</v>
          </cell>
          <cell r="H610">
            <v>290044</v>
          </cell>
          <cell r="I610">
            <v>370738</v>
          </cell>
          <cell r="J610">
            <v>81894</v>
          </cell>
          <cell r="K610">
            <v>165261</v>
          </cell>
          <cell r="L610">
            <v>253779</v>
          </cell>
          <cell r="M610">
            <v>350518</v>
          </cell>
          <cell r="N610">
            <v>72482</v>
          </cell>
          <cell r="O610">
            <v>166655</v>
          </cell>
          <cell r="P610">
            <v>243750</v>
          </cell>
          <cell r="Q610">
            <v>325046</v>
          </cell>
          <cell r="R610">
            <v>90504</v>
          </cell>
          <cell r="S610">
            <v>179051</v>
          </cell>
          <cell r="T610">
            <v>321987</v>
          </cell>
          <cell r="U610">
            <v>427413</v>
          </cell>
          <cell r="V610">
            <v>112178</v>
          </cell>
          <cell r="W610">
            <v>262093</v>
          </cell>
          <cell r="X610">
            <v>382812</v>
          </cell>
          <cell r="Y610">
            <v>514738</v>
          </cell>
          <cell r="Z610">
            <v>105592</v>
          </cell>
          <cell r="AA610">
            <v>184841</v>
          </cell>
          <cell r="AB610">
            <v>264443</v>
          </cell>
          <cell r="AC610">
            <v>344877</v>
          </cell>
          <cell r="AD610">
            <v>85182</v>
          </cell>
          <cell r="AE610">
            <v>177120</v>
          </cell>
          <cell r="AF610">
            <v>257072</v>
          </cell>
          <cell r="AG610">
            <v>336995</v>
          </cell>
          <cell r="AH610">
            <v>83616</v>
          </cell>
          <cell r="AI610">
            <v>168550</v>
          </cell>
          <cell r="AJ610">
            <v>244525</v>
          </cell>
          <cell r="AK610">
            <v>325955</v>
          </cell>
          <cell r="AL610">
            <v>77884</v>
          </cell>
          <cell r="AM610">
            <v>157764</v>
          </cell>
          <cell r="AN610">
            <v>237320</v>
          </cell>
          <cell r="AO610">
            <v>321342</v>
          </cell>
          <cell r="AP610">
            <v>83432</v>
          </cell>
          <cell r="AQ610">
            <v>174495</v>
          </cell>
          <cell r="AR610">
            <v>252548</v>
          </cell>
          <cell r="AS610">
            <v>333282</v>
          </cell>
          <cell r="AT610">
            <v>84236</v>
          </cell>
          <cell r="AU610">
            <v>164310</v>
          </cell>
          <cell r="AV610">
            <v>246908</v>
          </cell>
          <cell r="AW610">
            <v>327129</v>
          </cell>
          <cell r="AX610">
            <v>142398</v>
          </cell>
          <cell r="AY610">
            <v>400404</v>
          </cell>
          <cell r="AZ610">
            <v>977542</v>
          </cell>
          <cell r="BA610">
            <v>1554264</v>
          </cell>
          <cell r="BB610">
            <v>1554264</v>
          </cell>
        </row>
        <row r="613">
          <cell r="A613" t="str">
            <v>A &amp; P</v>
          </cell>
          <cell r="B613">
            <v>638739</v>
          </cell>
          <cell r="C613">
            <v>1265733</v>
          </cell>
          <cell r="D613">
            <v>1843784</v>
          </cell>
          <cell r="E613">
            <v>2406091</v>
          </cell>
          <cell r="F613">
            <v>2990273</v>
          </cell>
          <cell r="G613">
            <v>3718228</v>
          </cell>
          <cell r="H613">
            <v>4304655</v>
          </cell>
          <cell r="I613">
            <v>4879325</v>
          </cell>
          <cell r="J613">
            <v>5413636</v>
          </cell>
          <cell r="K613">
            <v>5971715</v>
          </cell>
          <cell r="L613">
            <v>6535754</v>
          </cell>
          <cell r="M613">
            <v>7093903</v>
          </cell>
          <cell r="N613">
            <v>560557</v>
          </cell>
          <cell r="O613">
            <v>1418674</v>
          </cell>
          <cell r="P613">
            <v>1976458</v>
          </cell>
          <cell r="Q613">
            <v>2568237</v>
          </cell>
          <cell r="R613">
            <v>3207702</v>
          </cell>
          <cell r="S613">
            <v>4222157</v>
          </cell>
          <cell r="T613">
            <v>5052621</v>
          </cell>
          <cell r="U613">
            <v>5728050</v>
          </cell>
          <cell r="V613">
            <v>6460393</v>
          </cell>
          <cell r="W613">
            <v>7263035</v>
          </cell>
          <cell r="X613">
            <v>8348213</v>
          </cell>
          <cell r="Y613">
            <v>9890314</v>
          </cell>
          <cell r="Z613">
            <v>1331886</v>
          </cell>
          <cell r="AA613">
            <v>2180809</v>
          </cell>
          <cell r="AB613">
            <v>2813485</v>
          </cell>
          <cell r="AC613">
            <v>3434287</v>
          </cell>
          <cell r="AD613">
            <v>4076540</v>
          </cell>
          <cell r="AE613">
            <v>4723280</v>
          </cell>
          <cell r="AF613">
            <v>5389623</v>
          </cell>
          <cell r="AG613">
            <v>6045526</v>
          </cell>
          <cell r="AH613">
            <v>6713547</v>
          </cell>
          <cell r="AI613">
            <v>7341054</v>
          </cell>
          <cell r="AJ613">
            <v>7938864</v>
          </cell>
          <cell r="AK613">
            <v>8550861</v>
          </cell>
          <cell r="AL613">
            <v>602497</v>
          </cell>
          <cell r="AM613">
            <v>1202369</v>
          </cell>
          <cell r="AN613">
            <v>1806985</v>
          </cell>
          <cell r="AO613">
            <v>2381785</v>
          </cell>
          <cell r="AP613">
            <v>2969749</v>
          </cell>
          <cell r="AQ613">
            <v>3553060</v>
          </cell>
          <cell r="AR613">
            <v>4120334</v>
          </cell>
          <cell r="AS613">
            <v>4690334</v>
          </cell>
          <cell r="AT613">
            <v>5342735</v>
          </cell>
          <cell r="AU613">
            <v>6030725</v>
          </cell>
          <cell r="AV613">
            <v>6806202</v>
          </cell>
          <cell r="AW613">
            <v>7896553</v>
          </cell>
          <cell r="AX613">
            <v>9675620</v>
          </cell>
          <cell r="AY613">
            <v>14037612</v>
          </cell>
          <cell r="AZ613">
            <v>20388040</v>
          </cell>
          <cell r="BA613">
            <v>21314470</v>
          </cell>
          <cell r="BB613">
            <v>21314470</v>
          </cell>
        </row>
        <row r="614">
          <cell r="A614" t="str">
            <v>AHOLD</v>
          </cell>
          <cell r="B614">
            <v>2274260</v>
          </cell>
          <cell r="C614">
            <v>4498554</v>
          </cell>
          <cell r="D614">
            <v>6479053</v>
          </cell>
          <cell r="E614">
            <v>8470293</v>
          </cell>
          <cell r="F614">
            <v>10562988</v>
          </cell>
          <cell r="G614">
            <v>13424009</v>
          </cell>
          <cell r="H614">
            <v>15578376</v>
          </cell>
          <cell r="I614">
            <v>17660064</v>
          </cell>
          <cell r="J614">
            <v>19866232</v>
          </cell>
          <cell r="K614">
            <v>22135612</v>
          </cell>
          <cell r="L614">
            <v>24480457</v>
          </cell>
          <cell r="M614">
            <v>26675295</v>
          </cell>
          <cell r="N614">
            <v>2210020</v>
          </cell>
          <cell r="O614">
            <v>5769017</v>
          </cell>
          <cell r="P614">
            <v>7963894</v>
          </cell>
          <cell r="Q614">
            <v>10340197</v>
          </cell>
          <cell r="R614">
            <v>12979607</v>
          </cell>
          <cell r="S614">
            <v>17373863</v>
          </cell>
          <cell r="T614">
            <v>20887202</v>
          </cell>
          <cell r="U614">
            <v>23709111</v>
          </cell>
          <cell r="V614">
            <v>26951963</v>
          </cell>
          <cell r="W614">
            <v>30380227</v>
          </cell>
          <cell r="X614">
            <v>34838853</v>
          </cell>
          <cell r="Y614">
            <v>40750355</v>
          </cell>
          <cell r="Z614">
            <v>4712071</v>
          </cell>
          <cell r="AA614">
            <v>8006185</v>
          </cell>
          <cell r="AB614">
            <v>10914257</v>
          </cell>
          <cell r="AC614">
            <v>13927461</v>
          </cell>
          <cell r="AD614">
            <v>16835877</v>
          </cell>
          <cell r="AE614">
            <v>19805923</v>
          </cell>
          <cell r="AF614">
            <v>22843973</v>
          </cell>
          <cell r="AG614">
            <v>25927910</v>
          </cell>
          <cell r="AH614">
            <v>29001615</v>
          </cell>
          <cell r="AI614">
            <v>32095926</v>
          </cell>
          <cell r="AJ614">
            <v>35007120</v>
          </cell>
          <cell r="AK614">
            <v>37881345</v>
          </cell>
          <cell r="AL614">
            <v>2906555</v>
          </cell>
          <cell r="AM614">
            <v>5822155</v>
          </cell>
          <cell r="AN614">
            <v>8693191</v>
          </cell>
          <cell r="AO614">
            <v>11598391</v>
          </cell>
          <cell r="AP614">
            <v>14489501</v>
          </cell>
          <cell r="AQ614">
            <v>17430755</v>
          </cell>
          <cell r="AR614">
            <v>20389358</v>
          </cell>
          <cell r="AS614">
            <v>23278627</v>
          </cell>
          <cell r="AT614">
            <v>26337785</v>
          </cell>
          <cell r="AU614">
            <v>29553530</v>
          </cell>
          <cell r="AV614">
            <v>33225997</v>
          </cell>
          <cell r="AW614">
            <v>38716896</v>
          </cell>
          <cell r="AX614">
            <v>47855345</v>
          </cell>
          <cell r="AY614">
            <v>68586862</v>
          </cell>
          <cell r="AZ614">
            <v>96593651</v>
          </cell>
          <cell r="BA614">
            <v>101267699</v>
          </cell>
          <cell r="BB614">
            <v>101267699</v>
          </cell>
        </row>
        <row r="615">
          <cell r="A615" t="str">
            <v>ALBERTSONS</v>
          </cell>
          <cell r="B615">
            <v>2217763</v>
          </cell>
          <cell r="C615">
            <v>4390593</v>
          </cell>
          <cell r="D615">
            <v>6330877</v>
          </cell>
          <cell r="E615">
            <v>8299554</v>
          </cell>
          <cell r="F615">
            <v>10408882</v>
          </cell>
          <cell r="G615">
            <v>13393498</v>
          </cell>
          <cell r="H615">
            <v>15604442</v>
          </cell>
          <cell r="I615">
            <v>17678295</v>
          </cell>
          <cell r="J615">
            <v>19880046</v>
          </cell>
          <cell r="K615">
            <v>22196284</v>
          </cell>
          <cell r="L615">
            <v>24594654</v>
          </cell>
          <cell r="M615">
            <v>26881595</v>
          </cell>
          <cell r="N615">
            <v>2300100</v>
          </cell>
          <cell r="O615">
            <v>5810220</v>
          </cell>
          <cell r="P615">
            <v>8154840</v>
          </cell>
          <cell r="Q615">
            <v>10644781</v>
          </cell>
          <cell r="R615">
            <v>13380953</v>
          </cell>
          <cell r="S615">
            <v>17816276</v>
          </cell>
          <cell r="T615">
            <v>21511251</v>
          </cell>
          <cell r="U615">
            <v>24443891</v>
          </cell>
          <cell r="V615">
            <v>27801101</v>
          </cell>
          <cell r="W615">
            <v>31237350</v>
          </cell>
          <cell r="X615">
            <v>35742659</v>
          </cell>
          <cell r="Y615">
            <v>41324724</v>
          </cell>
          <cell r="Z615">
            <v>4226712</v>
          </cell>
          <cell r="AA615">
            <v>7237228</v>
          </cell>
          <cell r="AB615">
            <v>10111953</v>
          </cell>
          <cell r="AC615">
            <v>13008518</v>
          </cell>
          <cell r="AD615">
            <v>16085957</v>
          </cell>
          <cell r="AE615">
            <v>19280056</v>
          </cell>
          <cell r="AF615">
            <v>22492725</v>
          </cell>
          <cell r="AG615">
            <v>25684079</v>
          </cell>
          <cell r="AH615">
            <v>28872798</v>
          </cell>
          <cell r="AI615">
            <v>31964317</v>
          </cell>
          <cell r="AJ615">
            <v>34972248</v>
          </cell>
          <cell r="AK615">
            <v>37841926</v>
          </cell>
          <cell r="AL615">
            <v>2852031</v>
          </cell>
          <cell r="AM615">
            <v>5719406</v>
          </cell>
          <cell r="AN615">
            <v>8589213</v>
          </cell>
          <cell r="AO615">
            <v>11435532</v>
          </cell>
          <cell r="AP615">
            <v>14273873</v>
          </cell>
          <cell r="AQ615">
            <v>17219280</v>
          </cell>
          <cell r="AR615">
            <v>20136068</v>
          </cell>
          <cell r="AS615">
            <v>23032857</v>
          </cell>
          <cell r="AT615">
            <v>25940385</v>
          </cell>
          <cell r="AU615">
            <v>29101338</v>
          </cell>
          <cell r="AV615">
            <v>32472099</v>
          </cell>
          <cell r="AW615">
            <v>37597792</v>
          </cell>
          <cell r="AX615">
            <v>46499200</v>
          </cell>
          <cell r="AY615">
            <v>67451849</v>
          </cell>
          <cell r="AZ615">
            <v>97862952</v>
          </cell>
          <cell r="BA615">
            <v>101726696</v>
          </cell>
          <cell r="BB615">
            <v>101726696</v>
          </cell>
        </row>
        <row r="616">
          <cell r="A616" t="str">
            <v>ALBERTSONS LLC</v>
          </cell>
          <cell r="B616">
            <v>328885</v>
          </cell>
          <cell r="C616">
            <v>644564</v>
          </cell>
          <cell r="D616">
            <v>935577</v>
          </cell>
          <cell r="E616">
            <v>1235199</v>
          </cell>
          <cell r="F616">
            <v>1537397</v>
          </cell>
          <cell r="G616">
            <v>2002312</v>
          </cell>
          <cell r="H616">
            <v>2324752</v>
          </cell>
          <cell r="I616">
            <v>2620964</v>
          </cell>
          <cell r="J616">
            <v>2926076</v>
          </cell>
          <cell r="K616">
            <v>3238048</v>
          </cell>
          <cell r="L616">
            <v>3567037</v>
          </cell>
          <cell r="M616">
            <v>3892695</v>
          </cell>
          <cell r="N616">
            <v>312534</v>
          </cell>
          <cell r="O616">
            <v>729753</v>
          </cell>
          <cell r="P616">
            <v>1067855</v>
          </cell>
          <cell r="Q616">
            <v>1412239</v>
          </cell>
          <cell r="R616">
            <v>1801057</v>
          </cell>
          <cell r="S616">
            <v>2482194</v>
          </cell>
          <cell r="T616">
            <v>3009329</v>
          </cell>
          <cell r="U616">
            <v>3448095</v>
          </cell>
          <cell r="V616">
            <v>3912673</v>
          </cell>
          <cell r="W616">
            <v>4408042</v>
          </cell>
          <cell r="X616">
            <v>4914622</v>
          </cell>
          <cell r="Y616">
            <v>5504385</v>
          </cell>
          <cell r="Z616">
            <v>437376</v>
          </cell>
          <cell r="AA616">
            <v>765468</v>
          </cell>
          <cell r="AB616">
            <v>1080671</v>
          </cell>
          <cell r="AC616">
            <v>1403276</v>
          </cell>
          <cell r="AD616">
            <v>1725003</v>
          </cell>
          <cell r="AE616">
            <v>2043317</v>
          </cell>
          <cell r="AF616">
            <v>2344603</v>
          </cell>
          <cell r="AG616">
            <v>2651293</v>
          </cell>
          <cell r="AH616">
            <v>2960540</v>
          </cell>
          <cell r="AI616">
            <v>3252656</v>
          </cell>
          <cell r="AJ616">
            <v>3550348</v>
          </cell>
          <cell r="AK616">
            <v>3831039</v>
          </cell>
          <cell r="AL616">
            <v>294153</v>
          </cell>
          <cell r="AM616">
            <v>588068</v>
          </cell>
          <cell r="AN616">
            <v>895249</v>
          </cell>
          <cell r="AO616">
            <v>1200508</v>
          </cell>
          <cell r="AP616">
            <v>1507605</v>
          </cell>
          <cell r="AQ616">
            <v>1833214</v>
          </cell>
          <cell r="AR616">
            <v>2157916</v>
          </cell>
          <cell r="AS616">
            <v>2459330</v>
          </cell>
          <cell r="AT616">
            <v>2778321</v>
          </cell>
          <cell r="AU616">
            <v>3128269</v>
          </cell>
          <cell r="AV616">
            <v>3517425</v>
          </cell>
          <cell r="AW616">
            <v>4132610</v>
          </cell>
          <cell r="AX616">
            <v>5234546</v>
          </cell>
          <cell r="AY616">
            <v>7812207</v>
          </cell>
          <cell r="AZ616">
            <v>11343291</v>
          </cell>
          <cell r="BA616">
            <v>11814758</v>
          </cell>
          <cell r="BB616">
            <v>11814758</v>
          </cell>
        </row>
        <row r="617">
          <cell r="A617" t="str">
            <v>AUSTRALIAN POST</v>
          </cell>
          <cell r="B617">
            <v>272879</v>
          </cell>
          <cell r="C617">
            <v>560466</v>
          </cell>
          <cell r="D617">
            <v>791995</v>
          </cell>
          <cell r="E617">
            <v>1014009</v>
          </cell>
          <cell r="F617">
            <v>1254835</v>
          </cell>
          <cell r="G617">
            <v>1554660</v>
          </cell>
          <cell r="H617">
            <v>1899931</v>
          </cell>
          <cell r="I617">
            <v>2230314</v>
          </cell>
          <cell r="J617">
            <v>2588036</v>
          </cell>
          <cell r="K617">
            <v>2937266</v>
          </cell>
          <cell r="L617">
            <v>3337868</v>
          </cell>
          <cell r="M617">
            <v>3739792</v>
          </cell>
          <cell r="N617">
            <v>393066</v>
          </cell>
          <cell r="O617">
            <v>809155</v>
          </cell>
          <cell r="P617">
            <v>1217104</v>
          </cell>
          <cell r="Q617">
            <v>1605078</v>
          </cell>
          <cell r="R617">
            <v>2066682</v>
          </cell>
          <cell r="S617">
            <v>2558209</v>
          </cell>
          <cell r="T617">
            <v>3283111</v>
          </cell>
          <cell r="U617">
            <v>3811937</v>
          </cell>
          <cell r="V617">
            <v>4255637</v>
          </cell>
          <cell r="W617">
            <v>4758780</v>
          </cell>
          <cell r="X617">
            <v>5172077</v>
          </cell>
          <cell r="Y617">
            <v>5631461</v>
          </cell>
          <cell r="Z617">
            <v>510035</v>
          </cell>
          <cell r="AA617">
            <v>1030571</v>
          </cell>
          <cell r="AB617">
            <v>1522444</v>
          </cell>
          <cell r="AC617">
            <v>1954468</v>
          </cell>
          <cell r="AD617">
            <v>2452353</v>
          </cell>
          <cell r="AE617">
            <v>2951148</v>
          </cell>
          <cell r="AF617">
            <v>3454358</v>
          </cell>
          <cell r="AG617">
            <v>4001624</v>
          </cell>
          <cell r="AH617">
            <v>4566873</v>
          </cell>
          <cell r="AI617">
            <v>5190900</v>
          </cell>
          <cell r="AJ617">
            <v>5857141</v>
          </cell>
          <cell r="AK617">
            <v>6691131</v>
          </cell>
          <cell r="AL617">
            <v>671269</v>
          </cell>
          <cell r="AM617">
            <v>1260768</v>
          </cell>
          <cell r="AN617">
            <v>1932596</v>
          </cell>
          <cell r="AO617">
            <v>2508279</v>
          </cell>
          <cell r="AP617">
            <v>3077158</v>
          </cell>
          <cell r="AQ617">
            <v>3716024</v>
          </cell>
          <cell r="AR617">
            <v>4356817</v>
          </cell>
          <cell r="AS617">
            <v>5044327</v>
          </cell>
          <cell r="AT617">
            <v>5841321</v>
          </cell>
          <cell r="AU617">
            <v>6701191</v>
          </cell>
          <cell r="AV617">
            <v>7714348</v>
          </cell>
          <cell r="AW617">
            <v>8977288</v>
          </cell>
          <cell r="AX617">
            <v>10690920</v>
          </cell>
          <cell r="AY617">
            <v>13820285</v>
          </cell>
          <cell r="AZ617">
            <v>24542884</v>
          </cell>
          <cell r="BA617">
            <v>30606260</v>
          </cell>
          <cell r="BB617">
            <v>30606260</v>
          </cell>
        </row>
        <row r="618">
          <cell r="A618" t="str">
            <v>AWG - DIVISIONS</v>
          </cell>
          <cell r="B618">
            <v>176960</v>
          </cell>
          <cell r="C618">
            <v>334897</v>
          </cell>
          <cell r="D618">
            <v>461222</v>
          </cell>
          <cell r="E618">
            <v>586275</v>
          </cell>
          <cell r="F618">
            <v>725973</v>
          </cell>
          <cell r="G618">
            <v>898656</v>
          </cell>
          <cell r="H618">
            <v>1031992</v>
          </cell>
          <cell r="I618">
            <v>1135229</v>
          </cell>
          <cell r="J618">
            <v>1295857</v>
          </cell>
          <cell r="K618">
            <v>1495880</v>
          </cell>
          <cell r="L618">
            <v>1649128</v>
          </cell>
          <cell r="M618">
            <v>1791849</v>
          </cell>
          <cell r="N618">
            <v>129398</v>
          </cell>
          <cell r="O618">
            <v>296181</v>
          </cell>
          <cell r="P618">
            <v>438570</v>
          </cell>
          <cell r="Q618">
            <v>576761</v>
          </cell>
          <cell r="R618">
            <v>725471</v>
          </cell>
          <cell r="S618">
            <v>947457</v>
          </cell>
          <cell r="T618">
            <v>1109273</v>
          </cell>
          <cell r="U618">
            <v>1288746</v>
          </cell>
          <cell r="V618">
            <v>1478690</v>
          </cell>
          <cell r="W618">
            <v>1675402</v>
          </cell>
          <cell r="X618">
            <v>1882631</v>
          </cell>
          <cell r="Y618">
            <v>2186153</v>
          </cell>
          <cell r="Z618">
            <v>256100</v>
          </cell>
          <cell r="AA618">
            <v>452960</v>
          </cell>
          <cell r="AB618">
            <v>672395</v>
          </cell>
          <cell r="AC618">
            <v>890112</v>
          </cell>
          <cell r="AD618">
            <v>1068205</v>
          </cell>
          <cell r="AE618">
            <v>1245421</v>
          </cell>
          <cell r="AF618">
            <v>1446008</v>
          </cell>
          <cell r="AG618">
            <v>1735693</v>
          </cell>
          <cell r="AH618">
            <v>1976261</v>
          </cell>
          <cell r="AI618">
            <v>2194283</v>
          </cell>
          <cell r="AJ618">
            <v>2345328</v>
          </cell>
          <cell r="AK618">
            <v>2494493</v>
          </cell>
          <cell r="AL618">
            <v>163280</v>
          </cell>
          <cell r="AM618">
            <v>320415</v>
          </cell>
          <cell r="AN618">
            <v>488917</v>
          </cell>
          <cell r="AO618">
            <v>655832</v>
          </cell>
          <cell r="AP618">
            <v>835725</v>
          </cell>
          <cell r="AQ618">
            <v>1025796</v>
          </cell>
          <cell r="AR618">
            <v>1201535</v>
          </cell>
          <cell r="AS618">
            <v>1373232</v>
          </cell>
          <cell r="AT618">
            <v>1545626</v>
          </cell>
          <cell r="AU618">
            <v>1738925</v>
          </cell>
          <cell r="AV618">
            <v>1945459</v>
          </cell>
          <cell r="AW618">
            <v>2228617</v>
          </cell>
          <cell r="AX618">
            <v>2682384</v>
          </cell>
          <cell r="AY618">
            <v>3443551</v>
          </cell>
          <cell r="AZ618">
            <v>4918087</v>
          </cell>
          <cell r="BA618">
            <v>5554871</v>
          </cell>
          <cell r="BB618">
            <v>5554871</v>
          </cell>
        </row>
        <row r="619">
          <cell r="A619" t="str">
            <v>BI LO</v>
          </cell>
          <cell r="B619">
            <v>305142</v>
          </cell>
          <cell r="C619">
            <v>600100</v>
          </cell>
          <cell r="D619">
            <v>894165</v>
          </cell>
          <cell r="E619">
            <v>1189901</v>
          </cell>
          <cell r="F619">
            <v>1566341</v>
          </cell>
          <cell r="G619">
            <v>2119041</v>
          </cell>
          <cell r="H619">
            <v>2481004</v>
          </cell>
          <cell r="I619">
            <v>2857654</v>
          </cell>
          <cell r="J619">
            <v>3259781</v>
          </cell>
          <cell r="K619">
            <v>3685466</v>
          </cell>
          <cell r="L619">
            <v>4131732</v>
          </cell>
          <cell r="M619">
            <v>4483776</v>
          </cell>
          <cell r="N619">
            <v>339939</v>
          </cell>
          <cell r="O619">
            <v>849773</v>
          </cell>
          <cell r="P619">
            <v>1245407</v>
          </cell>
          <cell r="Q619">
            <v>1609606</v>
          </cell>
          <cell r="R619">
            <v>2019188</v>
          </cell>
          <cell r="S619">
            <v>2656697</v>
          </cell>
          <cell r="T619">
            <v>3167939</v>
          </cell>
          <cell r="U619">
            <v>3598058</v>
          </cell>
          <cell r="V619">
            <v>4105446</v>
          </cell>
          <cell r="W619">
            <v>4629034</v>
          </cell>
          <cell r="X619">
            <v>5179118</v>
          </cell>
          <cell r="Y619">
            <v>5831674</v>
          </cell>
          <cell r="Z619">
            <v>495963</v>
          </cell>
          <cell r="AA619">
            <v>928552</v>
          </cell>
          <cell r="AB619">
            <v>1402164</v>
          </cell>
          <cell r="AC619">
            <v>1872842</v>
          </cell>
          <cell r="AD619">
            <v>2375302</v>
          </cell>
          <cell r="AE619">
            <v>2934887</v>
          </cell>
          <cell r="AF619">
            <v>3515144</v>
          </cell>
          <cell r="AG619">
            <v>3939082</v>
          </cell>
          <cell r="AH619">
            <v>4261052</v>
          </cell>
          <cell r="AI619">
            <v>4607636</v>
          </cell>
          <cell r="AJ619">
            <v>4932196</v>
          </cell>
          <cell r="AK619">
            <v>5265536</v>
          </cell>
          <cell r="AL619">
            <v>336886</v>
          </cell>
          <cell r="AM619">
            <v>682665</v>
          </cell>
          <cell r="AN619">
            <v>1041415</v>
          </cell>
          <cell r="AO619">
            <v>1403113</v>
          </cell>
          <cell r="AP619">
            <v>1813518</v>
          </cell>
          <cell r="AQ619">
            <v>2224803</v>
          </cell>
          <cell r="AR619">
            <v>2544303</v>
          </cell>
          <cell r="AS619">
            <v>2896681</v>
          </cell>
          <cell r="AT619">
            <v>3222916</v>
          </cell>
          <cell r="AU619">
            <v>3546962</v>
          </cell>
          <cell r="AV619">
            <v>3896240</v>
          </cell>
          <cell r="AW619">
            <v>4375111</v>
          </cell>
          <cell r="AX619">
            <v>5153266</v>
          </cell>
          <cell r="AY619">
            <v>6786180</v>
          </cell>
          <cell r="AZ619">
            <v>8964894</v>
          </cell>
          <cell r="BA619">
            <v>9357033</v>
          </cell>
          <cell r="BB619">
            <v>9357033</v>
          </cell>
        </row>
        <row r="620">
          <cell r="A620" t="str">
            <v>BIG Y</v>
          </cell>
          <cell r="B620">
            <v>123772</v>
          </cell>
          <cell r="C620">
            <v>246069</v>
          </cell>
          <cell r="D620">
            <v>354803</v>
          </cell>
          <cell r="E620">
            <v>458565</v>
          </cell>
          <cell r="F620">
            <v>583248</v>
          </cell>
          <cell r="G620">
            <v>746709</v>
          </cell>
          <cell r="H620">
            <v>866308</v>
          </cell>
          <cell r="I620">
            <v>979684</v>
          </cell>
          <cell r="J620">
            <v>1086084</v>
          </cell>
          <cell r="K620">
            <v>1193218</v>
          </cell>
          <cell r="L620">
            <v>1305135</v>
          </cell>
          <cell r="M620">
            <v>1418136</v>
          </cell>
          <cell r="N620">
            <v>138742</v>
          </cell>
          <cell r="O620">
            <v>348899</v>
          </cell>
          <cell r="P620">
            <v>439934</v>
          </cell>
          <cell r="Q620">
            <v>679912</v>
          </cell>
          <cell r="R620">
            <v>945855</v>
          </cell>
          <cell r="S620">
            <v>1183665</v>
          </cell>
          <cell r="T620">
            <v>1410071</v>
          </cell>
          <cell r="U620">
            <v>1593367</v>
          </cell>
          <cell r="V620">
            <v>1898206</v>
          </cell>
          <cell r="W620">
            <v>2215935</v>
          </cell>
          <cell r="X620">
            <v>2450297</v>
          </cell>
          <cell r="Y620">
            <v>2787743</v>
          </cell>
          <cell r="Z620">
            <v>282564</v>
          </cell>
          <cell r="AA620">
            <v>463731</v>
          </cell>
          <cell r="AB620">
            <v>628916</v>
          </cell>
          <cell r="AC620">
            <v>793811</v>
          </cell>
          <cell r="AD620">
            <v>947364</v>
          </cell>
          <cell r="AE620">
            <v>1081137</v>
          </cell>
          <cell r="AF620">
            <v>1213750</v>
          </cell>
          <cell r="AG620">
            <v>1356224</v>
          </cell>
          <cell r="AH620">
            <v>1496940</v>
          </cell>
          <cell r="AI620">
            <v>1650552</v>
          </cell>
          <cell r="AJ620">
            <v>1790035</v>
          </cell>
          <cell r="AK620">
            <v>1913280</v>
          </cell>
          <cell r="AL620">
            <v>122970</v>
          </cell>
          <cell r="AM620">
            <v>243037</v>
          </cell>
          <cell r="AN620">
            <v>362434</v>
          </cell>
          <cell r="AO620">
            <v>483093</v>
          </cell>
          <cell r="AP620">
            <v>610769</v>
          </cell>
          <cell r="AQ620">
            <v>743305</v>
          </cell>
          <cell r="AR620">
            <v>875637</v>
          </cell>
          <cell r="AS620">
            <v>1004495</v>
          </cell>
          <cell r="AT620">
            <v>1137979</v>
          </cell>
          <cell r="AU620">
            <v>1270703</v>
          </cell>
          <cell r="AV620">
            <v>1422080</v>
          </cell>
          <cell r="AW620">
            <v>1680325</v>
          </cell>
          <cell r="AX620">
            <v>2145257</v>
          </cell>
          <cell r="AY620">
            <v>3268635</v>
          </cell>
          <cell r="AZ620">
            <v>5013883</v>
          </cell>
          <cell r="BA620">
            <v>5193920</v>
          </cell>
          <cell r="BB620">
            <v>5193920</v>
          </cell>
        </row>
        <row r="621">
          <cell r="A621" t="str">
            <v>CIRCLE K</v>
          </cell>
          <cell r="B621">
            <v>93331</v>
          </cell>
          <cell r="C621">
            <v>168964</v>
          </cell>
          <cell r="D621">
            <v>246655</v>
          </cell>
          <cell r="E621">
            <v>324089</v>
          </cell>
          <cell r="F621">
            <v>397514</v>
          </cell>
          <cell r="G621">
            <v>475666</v>
          </cell>
          <cell r="H621">
            <v>567889</v>
          </cell>
          <cell r="I621">
            <v>640826</v>
          </cell>
          <cell r="J621">
            <v>716208</v>
          </cell>
          <cell r="K621">
            <v>795036</v>
          </cell>
          <cell r="L621">
            <v>865650</v>
          </cell>
          <cell r="M621">
            <v>945745</v>
          </cell>
          <cell r="N621">
            <v>63522</v>
          </cell>
          <cell r="O621">
            <v>132338</v>
          </cell>
          <cell r="P621">
            <v>197239</v>
          </cell>
          <cell r="Q621">
            <v>267307</v>
          </cell>
          <cell r="R621">
            <v>341400</v>
          </cell>
          <cell r="S621">
            <v>417655</v>
          </cell>
          <cell r="T621">
            <v>514262</v>
          </cell>
          <cell r="U621">
            <v>607673</v>
          </cell>
          <cell r="V621">
            <v>702247</v>
          </cell>
          <cell r="W621">
            <v>784049</v>
          </cell>
          <cell r="X621">
            <v>869774</v>
          </cell>
          <cell r="Y621">
            <v>965642</v>
          </cell>
          <cell r="Z621">
            <v>90848</v>
          </cell>
          <cell r="AA621">
            <v>166082</v>
          </cell>
          <cell r="AB621">
            <v>237997</v>
          </cell>
          <cell r="AC621">
            <v>308029</v>
          </cell>
          <cell r="AD621">
            <v>374763</v>
          </cell>
          <cell r="AE621">
            <v>441186</v>
          </cell>
          <cell r="AF621">
            <v>505509</v>
          </cell>
          <cell r="AG621">
            <v>576301</v>
          </cell>
          <cell r="AH621">
            <v>647587</v>
          </cell>
          <cell r="AI621">
            <v>713864</v>
          </cell>
          <cell r="AJ621">
            <v>784217</v>
          </cell>
          <cell r="AK621">
            <v>851762</v>
          </cell>
          <cell r="AL621">
            <v>61784</v>
          </cell>
          <cell r="AM621">
            <v>130340</v>
          </cell>
          <cell r="AN621">
            <v>198639</v>
          </cell>
          <cell r="AO621">
            <v>272417</v>
          </cell>
          <cell r="AP621">
            <v>339442</v>
          </cell>
          <cell r="AQ621">
            <v>410403</v>
          </cell>
          <cell r="AR621">
            <v>479293</v>
          </cell>
          <cell r="AS621">
            <v>551961</v>
          </cell>
          <cell r="AT621">
            <v>621716</v>
          </cell>
          <cell r="AU621">
            <v>688698</v>
          </cell>
          <cell r="AV621">
            <v>760567</v>
          </cell>
          <cell r="AW621">
            <v>839305</v>
          </cell>
          <cell r="AX621">
            <v>942693</v>
          </cell>
          <cell r="AY621">
            <v>1091281</v>
          </cell>
          <cell r="AZ621">
            <v>1395808</v>
          </cell>
          <cell r="BA621">
            <v>2030400</v>
          </cell>
          <cell r="BB621">
            <v>2030400</v>
          </cell>
        </row>
        <row r="622">
          <cell r="A622" t="str">
            <v>CVS PHARMACY</v>
          </cell>
          <cell r="B622">
            <v>1110865</v>
          </cell>
          <cell r="C622">
            <v>2221730</v>
          </cell>
          <cell r="D622">
            <v>3295268</v>
          </cell>
          <cell r="E622">
            <v>4371638</v>
          </cell>
          <cell r="F622">
            <v>5330300</v>
          </cell>
          <cell r="G622">
            <v>6647077</v>
          </cell>
          <cell r="H622">
            <v>7652145</v>
          </cell>
          <cell r="I622">
            <v>8588554</v>
          </cell>
          <cell r="J622">
            <v>9469494</v>
          </cell>
          <cell r="K622">
            <v>10362144</v>
          </cell>
          <cell r="L622">
            <v>11285066</v>
          </cell>
          <cell r="M622">
            <v>12172549</v>
          </cell>
          <cell r="N622">
            <v>763485</v>
          </cell>
          <cell r="O622">
            <v>1742284</v>
          </cell>
          <cell r="P622">
            <v>2516938</v>
          </cell>
          <cell r="Q622">
            <v>3288165</v>
          </cell>
          <cell r="R622">
            <v>4035890</v>
          </cell>
          <cell r="S622">
            <v>5140220</v>
          </cell>
          <cell r="T622">
            <v>6040128</v>
          </cell>
          <cell r="U622">
            <v>6800190</v>
          </cell>
          <cell r="V622">
            <v>7597077</v>
          </cell>
          <cell r="W622">
            <v>8386362</v>
          </cell>
          <cell r="X622">
            <v>9278438</v>
          </cell>
          <cell r="Y622">
            <v>10555477</v>
          </cell>
          <cell r="Z622">
            <v>1080330</v>
          </cell>
          <cell r="AA622">
            <v>1873451</v>
          </cell>
          <cell r="AB622">
            <v>2566372</v>
          </cell>
          <cell r="AC622">
            <v>3268303</v>
          </cell>
          <cell r="AD622">
            <v>3268303</v>
          </cell>
          <cell r="AE622">
            <v>3268303</v>
          </cell>
          <cell r="AF622">
            <v>3268303</v>
          </cell>
          <cell r="AG622">
            <v>3268303</v>
          </cell>
          <cell r="AH622">
            <v>3268303</v>
          </cell>
          <cell r="AI622">
            <v>3268303</v>
          </cell>
          <cell r="AJ622">
            <v>3268303</v>
          </cell>
          <cell r="AK622">
            <v>3268303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</row>
        <row r="623">
          <cell r="A623" t="str">
            <v>DW - PETRO CANADA</v>
          </cell>
          <cell r="B623">
            <v>102654</v>
          </cell>
          <cell r="C623">
            <v>205308</v>
          </cell>
          <cell r="D623">
            <v>295785</v>
          </cell>
          <cell r="E623">
            <v>371699</v>
          </cell>
          <cell r="F623">
            <v>448781</v>
          </cell>
          <cell r="G623">
            <v>572463</v>
          </cell>
          <cell r="H623">
            <v>652802</v>
          </cell>
          <cell r="I623">
            <v>731153</v>
          </cell>
          <cell r="J623">
            <v>806703</v>
          </cell>
          <cell r="K623">
            <v>883797</v>
          </cell>
          <cell r="L623">
            <v>984279</v>
          </cell>
          <cell r="M623">
            <v>1072747</v>
          </cell>
          <cell r="N623">
            <v>86341</v>
          </cell>
          <cell r="O623">
            <v>203524</v>
          </cell>
          <cell r="P623">
            <v>310311</v>
          </cell>
          <cell r="Q623">
            <v>402861</v>
          </cell>
          <cell r="R623">
            <v>508056</v>
          </cell>
          <cell r="S623">
            <v>644349</v>
          </cell>
          <cell r="T623">
            <v>778376</v>
          </cell>
          <cell r="U623">
            <v>890569</v>
          </cell>
          <cell r="V623">
            <v>1005043</v>
          </cell>
          <cell r="W623">
            <v>1124844</v>
          </cell>
          <cell r="X623">
            <v>1240559</v>
          </cell>
          <cell r="Y623">
            <v>1389103</v>
          </cell>
          <cell r="Z623">
            <v>159687</v>
          </cell>
          <cell r="AA623">
            <v>289805</v>
          </cell>
          <cell r="AB623">
            <v>396407</v>
          </cell>
          <cell r="AC623">
            <v>517816</v>
          </cell>
          <cell r="AD623">
            <v>627091</v>
          </cell>
          <cell r="AE623">
            <v>734050</v>
          </cell>
          <cell r="AF623">
            <v>842095</v>
          </cell>
          <cell r="AG623">
            <v>954217</v>
          </cell>
          <cell r="AH623">
            <v>1077192</v>
          </cell>
          <cell r="AI623">
            <v>1192483</v>
          </cell>
          <cell r="AJ623">
            <v>1311173</v>
          </cell>
          <cell r="AK623">
            <v>1436389</v>
          </cell>
          <cell r="AL623">
            <v>128009</v>
          </cell>
          <cell r="AM623">
            <v>245565</v>
          </cell>
          <cell r="AN623">
            <v>387805</v>
          </cell>
          <cell r="AO623">
            <v>517674</v>
          </cell>
          <cell r="AP623">
            <v>645939</v>
          </cell>
          <cell r="AQ623">
            <v>764811</v>
          </cell>
          <cell r="AR623">
            <v>884051</v>
          </cell>
          <cell r="AS623">
            <v>1006505</v>
          </cell>
          <cell r="AT623">
            <v>1135645</v>
          </cell>
          <cell r="AU623">
            <v>1290017</v>
          </cell>
          <cell r="AV623">
            <v>1475400</v>
          </cell>
          <cell r="AW623">
            <v>1785642</v>
          </cell>
          <cell r="AX623">
            <v>2213234</v>
          </cell>
          <cell r="AY623">
            <v>2936866</v>
          </cell>
          <cell r="AZ623">
            <v>4046660</v>
          </cell>
          <cell r="BA623">
            <v>4271575</v>
          </cell>
          <cell r="BB623">
            <v>4271575</v>
          </cell>
        </row>
        <row r="624">
          <cell r="A624" t="str">
            <v>FEDERATED CO-OP - CANADA</v>
          </cell>
          <cell r="B624">
            <v>88881</v>
          </cell>
          <cell r="C624">
            <v>169493</v>
          </cell>
          <cell r="D624">
            <v>251238</v>
          </cell>
          <cell r="E624">
            <v>330308</v>
          </cell>
          <cell r="F624">
            <v>408124</v>
          </cell>
          <cell r="G624">
            <v>516345</v>
          </cell>
          <cell r="H624">
            <v>601127</v>
          </cell>
          <cell r="I624">
            <v>680341</v>
          </cell>
          <cell r="J624">
            <v>761746</v>
          </cell>
          <cell r="K624">
            <v>847037</v>
          </cell>
          <cell r="L624">
            <v>931049</v>
          </cell>
          <cell r="M624">
            <v>1019408</v>
          </cell>
          <cell r="N624">
            <v>92954</v>
          </cell>
          <cell r="O624">
            <v>204743</v>
          </cell>
          <cell r="P624">
            <v>285649</v>
          </cell>
          <cell r="Q624">
            <v>369544</v>
          </cell>
          <cell r="R624">
            <v>464733</v>
          </cell>
          <cell r="S624">
            <v>584663</v>
          </cell>
          <cell r="T624">
            <v>675768</v>
          </cell>
          <cell r="U624">
            <v>757732</v>
          </cell>
          <cell r="V624">
            <v>849691</v>
          </cell>
          <cell r="W624">
            <v>943106</v>
          </cell>
          <cell r="X624">
            <v>1048391</v>
          </cell>
          <cell r="Y624">
            <v>1206197</v>
          </cell>
          <cell r="Z624">
            <v>153404</v>
          </cell>
          <cell r="AA624">
            <v>240961</v>
          </cell>
          <cell r="AB624">
            <v>376025</v>
          </cell>
          <cell r="AC624">
            <v>463231</v>
          </cell>
          <cell r="AD624">
            <v>553416</v>
          </cell>
          <cell r="AE624">
            <v>640878</v>
          </cell>
          <cell r="AF624">
            <v>729426</v>
          </cell>
          <cell r="AG624">
            <v>816710</v>
          </cell>
          <cell r="AH624">
            <v>909795</v>
          </cell>
          <cell r="AI624">
            <v>1053826</v>
          </cell>
          <cell r="AJ624">
            <v>1155455</v>
          </cell>
          <cell r="AK624">
            <v>1284220</v>
          </cell>
          <cell r="AL624">
            <v>124860</v>
          </cell>
          <cell r="AM624">
            <v>247704</v>
          </cell>
          <cell r="AN624">
            <v>355541</v>
          </cell>
          <cell r="AO624">
            <v>477468</v>
          </cell>
          <cell r="AP624">
            <v>586512</v>
          </cell>
          <cell r="AQ624">
            <v>684625</v>
          </cell>
          <cell r="AR624">
            <v>795173</v>
          </cell>
          <cell r="AS624">
            <v>904301</v>
          </cell>
          <cell r="AT624">
            <v>1056173</v>
          </cell>
          <cell r="AU624">
            <v>1232065</v>
          </cell>
          <cell r="AV624">
            <v>1517194</v>
          </cell>
          <cell r="AW624">
            <v>1895846</v>
          </cell>
          <cell r="AX624">
            <v>2524407</v>
          </cell>
          <cell r="AY624">
            <v>3698592</v>
          </cell>
          <cell r="AZ624">
            <v>4885673</v>
          </cell>
          <cell r="BA624">
            <v>5049034</v>
          </cell>
          <cell r="BB624">
            <v>5049034</v>
          </cell>
        </row>
        <row r="625">
          <cell r="A625" t="str">
            <v>FOOD LION</v>
          </cell>
          <cell r="B625">
            <v>423919</v>
          </cell>
          <cell r="C625">
            <v>850965</v>
          </cell>
          <cell r="D625">
            <v>1234593</v>
          </cell>
          <cell r="E625">
            <v>1617752</v>
          </cell>
          <cell r="F625">
            <v>1977438</v>
          </cell>
          <cell r="G625">
            <v>2563118</v>
          </cell>
          <cell r="H625">
            <v>2925033</v>
          </cell>
          <cell r="I625">
            <v>3282431</v>
          </cell>
          <cell r="J625">
            <v>3646836</v>
          </cell>
          <cell r="K625">
            <v>4010890</v>
          </cell>
          <cell r="L625">
            <v>4397530</v>
          </cell>
          <cell r="M625">
            <v>4762805</v>
          </cell>
          <cell r="N625">
            <v>374761</v>
          </cell>
          <cell r="O625">
            <v>892856</v>
          </cell>
          <cell r="P625">
            <v>1254832</v>
          </cell>
          <cell r="Q625">
            <v>1662401</v>
          </cell>
          <cell r="R625">
            <v>2095740</v>
          </cell>
          <cell r="S625">
            <v>2979272</v>
          </cell>
          <cell r="T625">
            <v>3688171</v>
          </cell>
          <cell r="U625">
            <v>4258031</v>
          </cell>
          <cell r="V625">
            <v>4890302</v>
          </cell>
          <cell r="W625">
            <v>5601200</v>
          </cell>
          <cell r="X625">
            <v>6518028</v>
          </cell>
          <cell r="Y625">
            <v>7648285</v>
          </cell>
          <cell r="Z625">
            <v>803377</v>
          </cell>
          <cell r="AA625">
            <v>1413036</v>
          </cell>
          <cell r="AB625">
            <v>2033846</v>
          </cell>
          <cell r="AC625">
            <v>2679880</v>
          </cell>
          <cell r="AD625">
            <v>3342147</v>
          </cell>
          <cell r="AE625">
            <v>4003200</v>
          </cell>
          <cell r="AF625">
            <v>4686084</v>
          </cell>
          <cell r="AG625">
            <v>5382169</v>
          </cell>
          <cell r="AH625">
            <v>6041003</v>
          </cell>
          <cell r="AI625">
            <v>6704437</v>
          </cell>
          <cell r="AJ625">
            <v>7346967</v>
          </cell>
          <cell r="AK625">
            <v>7984490</v>
          </cell>
          <cell r="AL625">
            <v>657245</v>
          </cell>
          <cell r="AM625">
            <v>1295929</v>
          </cell>
          <cell r="AN625">
            <v>1921742</v>
          </cell>
          <cell r="AO625">
            <v>2571082</v>
          </cell>
          <cell r="AP625">
            <v>3209558</v>
          </cell>
          <cell r="AQ625">
            <v>3854948</v>
          </cell>
          <cell r="AR625">
            <v>4502637</v>
          </cell>
          <cell r="AS625">
            <v>5137920</v>
          </cell>
          <cell r="AT625">
            <v>5854535</v>
          </cell>
          <cell r="AU625">
            <v>6609199</v>
          </cell>
          <cell r="AV625">
            <v>7471883</v>
          </cell>
          <cell r="AW625">
            <v>8861522</v>
          </cell>
          <cell r="AX625">
            <v>11069994</v>
          </cell>
          <cell r="AY625">
            <v>16311554</v>
          </cell>
          <cell r="AZ625">
            <v>23781399</v>
          </cell>
          <cell r="BA625">
            <v>24756287</v>
          </cell>
          <cell r="BB625">
            <v>24756287</v>
          </cell>
        </row>
        <row r="626">
          <cell r="A626" t="str">
            <v>GIANT EAGLE</v>
          </cell>
          <cell r="B626">
            <v>7295573</v>
          </cell>
          <cell r="C626">
            <v>14638391</v>
          </cell>
          <cell r="D626">
            <v>22728615</v>
          </cell>
          <cell r="E626">
            <v>31173174</v>
          </cell>
          <cell r="F626">
            <v>39908539</v>
          </cell>
          <cell r="G626">
            <v>49018180</v>
          </cell>
          <cell r="H626">
            <v>57964817</v>
          </cell>
          <cell r="I626">
            <v>66430098</v>
          </cell>
          <cell r="J626">
            <v>73827899</v>
          </cell>
          <cell r="K626">
            <v>81079832</v>
          </cell>
          <cell r="L626">
            <v>90201985</v>
          </cell>
          <cell r="M626">
            <v>100112449</v>
          </cell>
          <cell r="N626">
            <v>10321099</v>
          </cell>
          <cell r="O626">
            <v>21258726</v>
          </cell>
          <cell r="P626">
            <v>29582499</v>
          </cell>
          <cell r="Q626">
            <v>40826352</v>
          </cell>
          <cell r="R626">
            <v>53783366</v>
          </cell>
          <cell r="S626">
            <v>70512434</v>
          </cell>
          <cell r="T626">
            <v>85120460</v>
          </cell>
          <cell r="U626">
            <v>98268110</v>
          </cell>
          <cell r="V626">
            <v>113251247</v>
          </cell>
          <cell r="W626">
            <v>128650688</v>
          </cell>
          <cell r="X626">
            <v>144797184</v>
          </cell>
          <cell r="Y626">
            <v>163559146</v>
          </cell>
          <cell r="Z626">
            <v>15179113</v>
          </cell>
          <cell r="AA626">
            <v>30081997</v>
          </cell>
          <cell r="AB626">
            <v>44062281</v>
          </cell>
          <cell r="AC626">
            <v>58754928</v>
          </cell>
          <cell r="AD626">
            <v>72942333</v>
          </cell>
          <cell r="AE626">
            <v>86670368</v>
          </cell>
          <cell r="AF626">
            <v>100169092</v>
          </cell>
          <cell r="AG626">
            <v>116109403</v>
          </cell>
          <cell r="AH626">
            <v>133596909</v>
          </cell>
          <cell r="AI626">
            <v>151876488</v>
          </cell>
          <cell r="AJ626">
            <v>170894549</v>
          </cell>
          <cell r="AK626">
            <v>183187443</v>
          </cell>
          <cell r="AL626">
            <v>12000585</v>
          </cell>
          <cell r="AM626">
            <v>23853198</v>
          </cell>
          <cell r="AN626">
            <v>35932592</v>
          </cell>
          <cell r="AO626">
            <v>48197697</v>
          </cell>
          <cell r="AP626">
            <v>59865845</v>
          </cell>
          <cell r="AQ626">
            <v>73221141</v>
          </cell>
          <cell r="AR626">
            <v>87295925</v>
          </cell>
          <cell r="AS626">
            <v>100988097</v>
          </cell>
          <cell r="AT626">
            <v>115183356</v>
          </cell>
          <cell r="AU626">
            <v>131981146</v>
          </cell>
          <cell r="AV626">
            <v>150805459</v>
          </cell>
          <cell r="AW626">
            <v>175925714</v>
          </cell>
          <cell r="AX626">
            <v>215380700</v>
          </cell>
          <cell r="AY626">
            <v>266500457</v>
          </cell>
          <cell r="AZ626">
            <v>315081478</v>
          </cell>
          <cell r="BA626">
            <v>338375657</v>
          </cell>
          <cell r="BB626">
            <v>338375657</v>
          </cell>
        </row>
        <row r="627">
          <cell r="A627" t="str">
            <v>HANNAFORD</v>
          </cell>
          <cell r="B627">
            <v>218939</v>
          </cell>
          <cell r="C627">
            <v>436504</v>
          </cell>
          <cell r="D627">
            <v>622502</v>
          </cell>
          <cell r="E627">
            <v>815175</v>
          </cell>
          <cell r="F627">
            <v>1028800</v>
          </cell>
          <cell r="G627">
            <v>1327062</v>
          </cell>
          <cell r="H627">
            <v>1554216</v>
          </cell>
          <cell r="I627">
            <v>1749044</v>
          </cell>
          <cell r="J627">
            <v>1957898</v>
          </cell>
          <cell r="K627">
            <v>2190626</v>
          </cell>
          <cell r="L627">
            <v>2433542</v>
          </cell>
          <cell r="M627">
            <v>2658704</v>
          </cell>
          <cell r="N627">
            <v>240252</v>
          </cell>
          <cell r="O627">
            <v>600658</v>
          </cell>
          <cell r="P627">
            <v>829699</v>
          </cell>
          <cell r="Q627">
            <v>1080078</v>
          </cell>
          <cell r="R627">
            <v>1345531</v>
          </cell>
          <cell r="S627">
            <v>1779832</v>
          </cell>
          <cell r="T627">
            <v>2115639</v>
          </cell>
          <cell r="U627">
            <v>2408017</v>
          </cell>
          <cell r="V627">
            <v>2715704</v>
          </cell>
          <cell r="W627">
            <v>3051699</v>
          </cell>
          <cell r="X627">
            <v>3466167</v>
          </cell>
          <cell r="Y627">
            <v>4024321</v>
          </cell>
          <cell r="Z627">
            <v>472146</v>
          </cell>
          <cell r="AA627">
            <v>822892</v>
          </cell>
          <cell r="AB627">
            <v>1122892</v>
          </cell>
          <cell r="AC627">
            <v>1425635</v>
          </cell>
          <cell r="AD627">
            <v>1728032</v>
          </cell>
          <cell r="AE627">
            <v>2034498</v>
          </cell>
          <cell r="AF627">
            <v>2356517</v>
          </cell>
          <cell r="AG627">
            <v>2679685</v>
          </cell>
          <cell r="AH627">
            <v>3000750</v>
          </cell>
          <cell r="AI627">
            <v>3326879</v>
          </cell>
          <cell r="AJ627">
            <v>3630560</v>
          </cell>
          <cell r="AK627">
            <v>3933492</v>
          </cell>
          <cell r="AL627">
            <v>292345</v>
          </cell>
          <cell r="AM627">
            <v>589833</v>
          </cell>
          <cell r="AN627">
            <v>884397</v>
          </cell>
          <cell r="AO627">
            <v>1184177</v>
          </cell>
          <cell r="AP627">
            <v>1480422</v>
          </cell>
          <cell r="AQ627">
            <v>1775808</v>
          </cell>
          <cell r="AR627">
            <v>2073031</v>
          </cell>
          <cell r="AS627">
            <v>2371385</v>
          </cell>
          <cell r="AT627">
            <v>2684145</v>
          </cell>
          <cell r="AU627">
            <v>3008475</v>
          </cell>
          <cell r="AV627">
            <v>3377321</v>
          </cell>
          <cell r="AW627">
            <v>3985765</v>
          </cell>
          <cell r="AX627">
            <v>4869082</v>
          </cell>
          <cell r="AY627">
            <v>7055227</v>
          </cell>
          <cell r="AZ627">
            <v>9998857</v>
          </cell>
          <cell r="BA627">
            <v>10373842</v>
          </cell>
          <cell r="BB627">
            <v>10373842</v>
          </cell>
        </row>
        <row r="628">
          <cell r="A628" t="str">
            <v>HARRIS TEETER</v>
          </cell>
          <cell r="B628">
            <v>61527</v>
          </cell>
          <cell r="C628">
            <v>113049</v>
          </cell>
          <cell r="D628">
            <v>162677</v>
          </cell>
          <cell r="E628">
            <v>211418</v>
          </cell>
          <cell r="F628">
            <v>262259</v>
          </cell>
          <cell r="G628">
            <v>352309</v>
          </cell>
          <cell r="H628">
            <v>408363</v>
          </cell>
          <cell r="I628">
            <v>458047</v>
          </cell>
          <cell r="J628">
            <v>509100</v>
          </cell>
          <cell r="K628">
            <v>563247</v>
          </cell>
          <cell r="L628">
            <v>620331</v>
          </cell>
          <cell r="M628">
            <v>674193</v>
          </cell>
          <cell r="N628">
            <v>56075</v>
          </cell>
          <cell r="O628">
            <v>139487</v>
          </cell>
          <cell r="P628">
            <v>193255</v>
          </cell>
          <cell r="Q628">
            <v>250722</v>
          </cell>
          <cell r="R628">
            <v>318761</v>
          </cell>
          <cell r="S628">
            <v>445344</v>
          </cell>
          <cell r="T628">
            <v>510932</v>
          </cell>
          <cell r="U628">
            <v>603921</v>
          </cell>
          <cell r="V628">
            <v>683410</v>
          </cell>
          <cell r="W628">
            <v>766041</v>
          </cell>
          <cell r="X628">
            <v>869030</v>
          </cell>
          <cell r="Y628">
            <v>1029629</v>
          </cell>
          <cell r="Z628">
            <v>104840</v>
          </cell>
          <cell r="AA628">
            <v>182894</v>
          </cell>
          <cell r="AB628">
            <v>253334</v>
          </cell>
          <cell r="AC628">
            <v>324373</v>
          </cell>
          <cell r="AD628">
            <v>399931</v>
          </cell>
          <cell r="AE628">
            <v>473693</v>
          </cell>
          <cell r="AF628">
            <v>549561</v>
          </cell>
          <cell r="AG628">
            <v>624880</v>
          </cell>
          <cell r="AH628">
            <v>701631</v>
          </cell>
          <cell r="AI628">
            <v>779391</v>
          </cell>
          <cell r="AJ628">
            <v>852804</v>
          </cell>
          <cell r="AK628">
            <v>924345</v>
          </cell>
          <cell r="AL628">
            <v>72565</v>
          </cell>
          <cell r="AM628">
            <v>146143</v>
          </cell>
          <cell r="AN628">
            <v>217260</v>
          </cell>
          <cell r="AO628">
            <v>290080</v>
          </cell>
          <cell r="AP628">
            <v>360926</v>
          </cell>
          <cell r="AQ628">
            <v>436008</v>
          </cell>
          <cell r="AR628">
            <v>508840</v>
          </cell>
          <cell r="AS628">
            <v>584745</v>
          </cell>
          <cell r="AT628">
            <v>667325</v>
          </cell>
          <cell r="AU628">
            <v>755934</v>
          </cell>
          <cell r="AV628">
            <v>857450</v>
          </cell>
          <cell r="AW628">
            <v>1039977</v>
          </cell>
          <cell r="AX628">
            <v>1385684</v>
          </cell>
          <cell r="AY628">
            <v>2171717</v>
          </cell>
          <cell r="AZ628">
            <v>3117419</v>
          </cell>
          <cell r="BA628">
            <v>3215083</v>
          </cell>
          <cell r="BB628">
            <v>3215083</v>
          </cell>
        </row>
        <row r="629">
          <cell r="A629" t="str">
            <v>HY-VEE</v>
          </cell>
          <cell r="B629">
            <v>341218</v>
          </cell>
          <cell r="C629">
            <v>675219</v>
          </cell>
          <cell r="D629">
            <v>970809</v>
          </cell>
          <cell r="E629">
            <v>1277602</v>
          </cell>
          <cell r="F629">
            <v>1534996</v>
          </cell>
          <cell r="G629">
            <v>1947280</v>
          </cell>
          <cell r="H629">
            <v>2246733</v>
          </cell>
          <cell r="I629">
            <v>2501612</v>
          </cell>
          <cell r="J629">
            <v>2778608</v>
          </cell>
          <cell r="K629">
            <v>3062997</v>
          </cell>
          <cell r="L629">
            <v>3356522</v>
          </cell>
          <cell r="M629">
            <v>3635990</v>
          </cell>
          <cell r="N629">
            <v>262714</v>
          </cell>
          <cell r="O629">
            <v>625642</v>
          </cell>
          <cell r="P629">
            <v>890518</v>
          </cell>
          <cell r="Q629">
            <v>1170623</v>
          </cell>
          <cell r="R629">
            <v>1472837</v>
          </cell>
          <cell r="S629">
            <v>1938328</v>
          </cell>
          <cell r="T629">
            <v>2345498</v>
          </cell>
          <cell r="U629">
            <v>2675462</v>
          </cell>
          <cell r="V629">
            <v>3008521</v>
          </cell>
          <cell r="W629">
            <v>3344485</v>
          </cell>
          <cell r="X629">
            <v>3686011</v>
          </cell>
          <cell r="Y629">
            <v>4173776</v>
          </cell>
          <cell r="Z629">
            <v>359310</v>
          </cell>
          <cell r="AA629">
            <v>625853</v>
          </cell>
          <cell r="AB629">
            <v>880256</v>
          </cell>
          <cell r="AC629">
            <v>1160427</v>
          </cell>
          <cell r="AD629">
            <v>1433503</v>
          </cell>
          <cell r="AE629">
            <v>1716658</v>
          </cell>
          <cell r="AF629">
            <v>2001700</v>
          </cell>
          <cell r="AG629">
            <v>2295028</v>
          </cell>
          <cell r="AH629">
            <v>2579331</v>
          </cell>
          <cell r="AI629">
            <v>2855853</v>
          </cell>
          <cell r="AJ629">
            <v>3118930</v>
          </cell>
          <cell r="AK629">
            <v>3388827</v>
          </cell>
          <cell r="AL629">
            <v>261624</v>
          </cell>
          <cell r="AM629">
            <v>510062</v>
          </cell>
          <cell r="AN629">
            <v>756121</v>
          </cell>
          <cell r="AO629">
            <v>998985</v>
          </cell>
          <cell r="AP629">
            <v>1245290</v>
          </cell>
          <cell r="AQ629">
            <v>1519522</v>
          </cell>
          <cell r="AR629">
            <v>1755220</v>
          </cell>
          <cell r="AS629">
            <v>2003250</v>
          </cell>
          <cell r="AT629">
            <v>2264649</v>
          </cell>
          <cell r="AU629">
            <v>2555548</v>
          </cell>
          <cell r="AV629">
            <v>2905897</v>
          </cell>
          <cell r="AW629">
            <v>3817346</v>
          </cell>
          <cell r="AX629">
            <v>6024494</v>
          </cell>
          <cell r="AY629">
            <v>10340707</v>
          </cell>
          <cell r="AZ629">
            <v>15160283</v>
          </cell>
          <cell r="BA629">
            <v>15619903</v>
          </cell>
          <cell r="BB629">
            <v>15619903</v>
          </cell>
        </row>
        <row r="630">
          <cell r="A630" t="str">
            <v>INGLES MARKETS</v>
          </cell>
          <cell r="B630">
            <v>114002</v>
          </cell>
          <cell r="C630">
            <v>213097</v>
          </cell>
          <cell r="D630">
            <v>307922</v>
          </cell>
          <cell r="E630">
            <v>398894</v>
          </cell>
          <cell r="F630">
            <v>498046</v>
          </cell>
          <cell r="G630">
            <v>600512</v>
          </cell>
          <cell r="H630">
            <v>739068</v>
          </cell>
          <cell r="I630">
            <v>825529</v>
          </cell>
          <cell r="J630">
            <v>916397</v>
          </cell>
          <cell r="K630">
            <v>1010004</v>
          </cell>
          <cell r="L630">
            <v>1106689</v>
          </cell>
          <cell r="M630">
            <v>1229836</v>
          </cell>
          <cell r="N630">
            <v>99267</v>
          </cell>
          <cell r="O630">
            <v>210039</v>
          </cell>
          <cell r="P630">
            <v>313616</v>
          </cell>
          <cell r="Q630">
            <v>412536</v>
          </cell>
          <cell r="R630">
            <v>523952</v>
          </cell>
          <cell r="S630">
            <v>640735</v>
          </cell>
          <cell r="T630">
            <v>816696</v>
          </cell>
          <cell r="U630">
            <v>957580</v>
          </cell>
          <cell r="V630">
            <v>1112156</v>
          </cell>
          <cell r="W630">
            <v>1247062</v>
          </cell>
          <cell r="X630">
            <v>1392723</v>
          </cell>
          <cell r="Y630">
            <v>1595928</v>
          </cell>
          <cell r="Z630">
            <v>155571</v>
          </cell>
          <cell r="AA630">
            <v>270566</v>
          </cell>
          <cell r="AB630">
            <v>383945</v>
          </cell>
          <cell r="AC630">
            <v>499907</v>
          </cell>
          <cell r="AD630">
            <v>605240</v>
          </cell>
          <cell r="AE630">
            <v>719079</v>
          </cell>
          <cell r="AF630">
            <v>831756</v>
          </cell>
          <cell r="AG630">
            <v>954035</v>
          </cell>
          <cell r="AH630">
            <v>1067612</v>
          </cell>
          <cell r="AI630">
            <v>1184476</v>
          </cell>
          <cell r="AJ630">
            <v>1293735</v>
          </cell>
          <cell r="AK630">
            <v>1399969</v>
          </cell>
          <cell r="AL630">
            <v>119592</v>
          </cell>
          <cell r="AM630">
            <v>237039</v>
          </cell>
          <cell r="AN630">
            <v>341834</v>
          </cell>
          <cell r="AO630">
            <v>449419</v>
          </cell>
          <cell r="AP630">
            <v>565644</v>
          </cell>
          <cell r="AQ630">
            <v>707706</v>
          </cell>
          <cell r="AR630">
            <v>820342</v>
          </cell>
          <cell r="AS630">
            <v>938460</v>
          </cell>
          <cell r="AT630">
            <v>1055282</v>
          </cell>
          <cell r="AU630">
            <v>1168738</v>
          </cell>
          <cell r="AV630">
            <v>1285773</v>
          </cell>
          <cell r="AW630">
            <v>1463885</v>
          </cell>
          <cell r="AX630">
            <v>1679178</v>
          </cell>
          <cell r="AY630">
            <v>1985814</v>
          </cell>
          <cell r="AZ630">
            <v>2666733</v>
          </cell>
          <cell r="BA630">
            <v>3519491</v>
          </cell>
          <cell r="BB630">
            <v>3519491</v>
          </cell>
        </row>
        <row r="631">
          <cell r="A631" t="str">
            <v>KATZ</v>
          </cell>
          <cell r="B631">
            <v>108644</v>
          </cell>
          <cell r="C631">
            <v>215395</v>
          </cell>
          <cell r="D631">
            <v>316113</v>
          </cell>
          <cell r="E631">
            <v>423791</v>
          </cell>
          <cell r="F631">
            <v>524528</v>
          </cell>
          <cell r="G631">
            <v>694688</v>
          </cell>
          <cell r="H631">
            <v>807704</v>
          </cell>
          <cell r="I631">
            <v>909645</v>
          </cell>
          <cell r="J631">
            <v>1006954</v>
          </cell>
          <cell r="K631">
            <v>1112857</v>
          </cell>
          <cell r="L631">
            <v>1229116</v>
          </cell>
          <cell r="M631">
            <v>1336453</v>
          </cell>
          <cell r="N631">
            <v>116496</v>
          </cell>
          <cell r="O631">
            <v>281252</v>
          </cell>
          <cell r="P631">
            <v>393117</v>
          </cell>
          <cell r="Q631">
            <v>519985</v>
          </cell>
          <cell r="R631">
            <v>650360</v>
          </cell>
          <cell r="S631">
            <v>867165</v>
          </cell>
          <cell r="T631">
            <v>1030957</v>
          </cell>
          <cell r="U631">
            <v>1178892</v>
          </cell>
          <cell r="V631">
            <v>1340267</v>
          </cell>
          <cell r="W631">
            <v>1504922</v>
          </cell>
          <cell r="X631">
            <v>1707811</v>
          </cell>
          <cell r="Y631">
            <v>1967034</v>
          </cell>
          <cell r="Z631">
            <v>213453</v>
          </cell>
          <cell r="AA631">
            <v>435407</v>
          </cell>
          <cell r="AB631">
            <v>566570</v>
          </cell>
          <cell r="AC631">
            <v>696082</v>
          </cell>
          <cell r="AD631">
            <v>843227</v>
          </cell>
          <cell r="AE631">
            <v>991133</v>
          </cell>
          <cell r="AF631">
            <v>1139456</v>
          </cell>
          <cell r="AG631">
            <v>1295353</v>
          </cell>
          <cell r="AH631">
            <v>1457448</v>
          </cell>
          <cell r="AI631">
            <v>1623927</v>
          </cell>
          <cell r="AJ631">
            <v>1792348</v>
          </cell>
          <cell r="AK631">
            <v>1953374</v>
          </cell>
          <cell r="AL631">
            <v>168874</v>
          </cell>
          <cell r="AM631">
            <v>336784</v>
          </cell>
          <cell r="AN631">
            <v>502240</v>
          </cell>
          <cell r="AO631">
            <v>669144</v>
          </cell>
          <cell r="AP631">
            <v>834087</v>
          </cell>
          <cell r="AQ631">
            <v>984533</v>
          </cell>
          <cell r="AR631">
            <v>1128069</v>
          </cell>
          <cell r="AS631">
            <v>1279801</v>
          </cell>
          <cell r="AT631">
            <v>1424787</v>
          </cell>
          <cell r="AU631">
            <v>1599790</v>
          </cell>
          <cell r="AV631">
            <v>1830321</v>
          </cell>
          <cell r="AW631">
            <v>2278674</v>
          </cell>
          <cell r="AX631">
            <v>3007671</v>
          </cell>
          <cell r="AY631">
            <v>4405449</v>
          </cell>
          <cell r="AZ631">
            <v>5971395</v>
          </cell>
          <cell r="BA631">
            <v>6284949</v>
          </cell>
          <cell r="BB631">
            <v>6284949</v>
          </cell>
        </row>
        <row r="632">
          <cell r="A632" t="str">
            <v>KING KULLEN</v>
          </cell>
          <cell r="B632">
            <v>109174</v>
          </cell>
          <cell r="C632">
            <v>195092</v>
          </cell>
          <cell r="D632">
            <v>278007</v>
          </cell>
          <cell r="E632">
            <v>353604</v>
          </cell>
          <cell r="F632">
            <v>430407</v>
          </cell>
          <cell r="G632">
            <v>516941</v>
          </cell>
          <cell r="H632">
            <v>617972</v>
          </cell>
          <cell r="I632">
            <v>690936</v>
          </cell>
          <cell r="J632">
            <v>778356</v>
          </cell>
          <cell r="K632">
            <v>866189</v>
          </cell>
          <cell r="L632">
            <v>964087</v>
          </cell>
          <cell r="M632">
            <v>1102272</v>
          </cell>
          <cell r="N632">
            <v>72696</v>
          </cell>
          <cell r="O632">
            <v>159418</v>
          </cell>
          <cell r="P632">
            <v>243962</v>
          </cell>
          <cell r="Q632">
            <v>338756</v>
          </cell>
          <cell r="R632">
            <v>427396</v>
          </cell>
          <cell r="S632">
            <v>521815</v>
          </cell>
          <cell r="T632">
            <v>686386</v>
          </cell>
          <cell r="U632">
            <v>810281</v>
          </cell>
          <cell r="V632">
            <v>914695</v>
          </cell>
          <cell r="W632">
            <v>1011408</v>
          </cell>
          <cell r="X632">
            <v>1141029</v>
          </cell>
          <cell r="Y632">
            <v>1374299</v>
          </cell>
          <cell r="Z632">
            <v>216045</v>
          </cell>
          <cell r="AA632">
            <v>435370</v>
          </cell>
          <cell r="AB632">
            <v>547268</v>
          </cell>
          <cell r="AC632">
            <v>653321</v>
          </cell>
          <cell r="AD632">
            <v>765040</v>
          </cell>
          <cell r="AE632">
            <v>868701</v>
          </cell>
          <cell r="AF632">
            <v>974160</v>
          </cell>
          <cell r="AG632">
            <v>1079529</v>
          </cell>
          <cell r="AH632">
            <v>1190533</v>
          </cell>
          <cell r="AI632">
            <v>1295432</v>
          </cell>
          <cell r="AJ632">
            <v>1390610</v>
          </cell>
          <cell r="AK632">
            <v>1476895</v>
          </cell>
          <cell r="AL632">
            <v>90562</v>
          </cell>
          <cell r="AM632">
            <v>183682</v>
          </cell>
          <cell r="AN632">
            <v>270414</v>
          </cell>
          <cell r="AO632">
            <v>371316</v>
          </cell>
          <cell r="AP632">
            <v>462625</v>
          </cell>
          <cell r="AQ632">
            <v>559580</v>
          </cell>
          <cell r="AR632">
            <v>651823</v>
          </cell>
          <cell r="AS632">
            <v>741781</v>
          </cell>
          <cell r="AT632">
            <v>835616</v>
          </cell>
          <cell r="AU632">
            <v>932454</v>
          </cell>
          <cell r="AV632">
            <v>1040312</v>
          </cell>
          <cell r="AW632">
            <v>1160410</v>
          </cell>
          <cell r="AX632">
            <v>1333079</v>
          </cell>
          <cell r="AY632">
            <v>1636757</v>
          </cell>
          <cell r="AZ632">
            <v>2412064</v>
          </cell>
          <cell r="BA632">
            <v>3578464</v>
          </cell>
          <cell r="BB632">
            <v>3578464</v>
          </cell>
        </row>
        <row r="633">
          <cell r="A633" t="str">
            <v>KMART</v>
          </cell>
          <cell r="B633">
            <v>951410</v>
          </cell>
          <cell r="C633">
            <v>1898833</v>
          </cell>
          <cell r="D633">
            <v>2746543</v>
          </cell>
          <cell r="E633">
            <v>3607187</v>
          </cell>
          <cell r="F633">
            <v>4565094</v>
          </cell>
          <cell r="G633">
            <v>5722709</v>
          </cell>
          <cell r="H633">
            <v>6744157</v>
          </cell>
          <cell r="I633">
            <v>7644448</v>
          </cell>
          <cell r="J633">
            <v>8577963</v>
          </cell>
          <cell r="K633">
            <v>9524990</v>
          </cell>
          <cell r="L633">
            <v>10478592</v>
          </cell>
          <cell r="M633">
            <v>11410704</v>
          </cell>
          <cell r="N633">
            <v>883070</v>
          </cell>
          <cell r="O633">
            <v>2175153</v>
          </cell>
          <cell r="P633">
            <v>3084867</v>
          </cell>
          <cell r="Q633">
            <v>3998682</v>
          </cell>
          <cell r="R633">
            <v>4881460</v>
          </cell>
          <cell r="S633">
            <v>6148606</v>
          </cell>
          <cell r="T633">
            <v>7172671</v>
          </cell>
          <cell r="U633">
            <v>8168958</v>
          </cell>
          <cell r="V633">
            <v>9145229</v>
          </cell>
          <cell r="W633">
            <v>10144313</v>
          </cell>
          <cell r="X633">
            <v>11304226</v>
          </cell>
          <cell r="Y633">
            <v>12798115</v>
          </cell>
          <cell r="Z633">
            <v>1125713</v>
          </cell>
          <cell r="AA633">
            <v>2028967</v>
          </cell>
          <cell r="AB633">
            <v>2896833</v>
          </cell>
          <cell r="AC633">
            <v>3852883</v>
          </cell>
          <cell r="AD633">
            <v>4777729</v>
          </cell>
          <cell r="AE633">
            <v>5661011</v>
          </cell>
          <cell r="AF633">
            <v>6594623</v>
          </cell>
          <cell r="AG633">
            <v>7507262</v>
          </cell>
          <cell r="AH633">
            <v>8394567</v>
          </cell>
          <cell r="AI633">
            <v>9252082</v>
          </cell>
          <cell r="AJ633">
            <v>10114679</v>
          </cell>
          <cell r="AK633">
            <v>10966291</v>
          </cell>
          <cell r="AL633">
            <v>792043</v>
          </cell>
          <cell r="AM633">
            <v>1579630</v>
          </cell>
          <cell r="AN633">
            <v>2341596</v>
          </cell>
          <cell r="AO633">
            <v>3215750</v>
          </cell>
          <cell r="AP633">
            <v>4081208</v>
          </cell>
          <cell r="AQ633">
            <v>4929617</v>
          </cell>
          <cell r="AR633">
            <v>5847329</v>
          </cell>
          <cell r="AS633">
            <v>6693062</v>
          </cell>
          <cell r="AT633">
            <v>7642484</v>
          </cell>
          <cell r="AU633">
            <v>8671766</v>
          </cell>
          <cell r="AV633">
            <v>9804564</v>
          </cell>
          <cell r="AW633">
            <v>11688843</v>
          </cell>
          <cell r="AX633">
            <v>14495097</v>
          </cell>
          <cell r="AY633">
            <v>19630046</v>
          </cell>
          <cell r="AZ633">
            <v>26045415</v>
          </cell>
          <cell r="BA633">
            <v>27610210</v>
          </cell>
          <cell r="BB633">
            <v>27610210</v>
          </cell>
        </row>
        <row r="634">
          <cell r="A634" t="str">
            <v>KOHLS</v>
          </cell>
          <cell r="B634">
            <v>252117</v>
          </cell>
          <cell r="C634">
            <v>458941</v>
          </cell>
          <cell r="D634">
            <v>644925</v>
          </cell>
          <cell r="E634">
            <v>837675</v>
          </cell>
          <cell r="F634">
            <v>1044573</v>
          </cell>
          <cell r="G634">
            <v>1388608</v>
          </cell>
          <cell r="H634">
            <v>1613789</v>
          </cell>
          <cell r="I634">
            <v>1811296</v>
          </cell>
          <cell r="J634">
            <v>1998534</v>
          </cell>
          <cell r="K634">
            <v>2197008</v>
          </cell>
          <cell r="L634">
            <v>2413361</v>
          </cell>
          <cell r="M634">
            <v>2612365</v>
          </cell>
          <cell r="N634">
            <v>197901</v>
          </cell>
          <cell r="O634">
            <v>574681</v>
          </cell>
          <cell r="P634">
            <v>762302</v>
          </cell>
          <cell r="Q634">
            <v>959825</v>
          </cell>
          <cell r="R634">
            <v>1158697</v>
          </cell>
          <cell r="S634">
            <v>1575435</v>
          </cell>
          <cell r="T634">
            <v>1802929</v>
          </cell>
          <cell r="U634">
            <v>2088115</v>
          </cell>
          <cell r="V634">
            <v>2336254</v>
          </cell>
          <cell r="W634">
            <v>2581539</v>
          </cell>
          <cell r="X634">
            <v>2879884</v>
          </cell>
          <cell r="Y634">
            <v>3430717</v>
          </cell>
          <cell r="Z634">
            <v>345445</v>
          </cell>
          <cell r="AA634">
            <v>573367</v>
          </cell>
          <cell r="AB634">
            <v>794455</v>
          </cell>
          <cell r="AC634">
            <v>1006638</v>
          </cell>
          <cell r="AD634">
            <v>1225159</v>
          </cell>
          <cell r="AE634">
            <v>1437779</v>
          </cell>
          <cell r="AF634">
            <v>1651849</v>
          </cell>
          <cell r="AG634">
            <v>1875506</v>
          </cell>
          <cell r="AH634">
            <v>2086406</v>
          </cell>
          <cell r="AI634">
            <v>2290532</v>
          </cell>
          <cell r="AJ634">
            <v>2495107</v>
          </cell>
          <cell r="AK634">
            <v>2688904</v>
          </cell>
          <cell r="AL634">
            <v>228054</v>
          </cell>
          <cell r="AM634">
            <v>453800</v>
          </cell>
          <cell r="AN634">
            <v>677448</v>
          </cell>
          <cell r="AO634">
            <v>942910</v>
          </cell>
          <cell r="AP634">
            <v>1221208</v>
          </cell>
          <cell r="AQ634">
            <v>1502993</v>
          </cell>
          <cell r="AR634">
            <v>1822084</v>
          </cell>
          <cell r="AS634">
            <v>2180723</v>
          </cell>
          <cell r="AT634">
            <v>2607447</v>
          </cell>
          <cell r="AU634">
            <v>3302632</v>
          </cell>
          <cell r="AV634">
            <v>4693390</v>
          </cell>
          <cell r="AW634">
            <v>6929603</v>
          </cell>
          <cell r="AX634">
            <v>10591128</v>
          </cell>
          <cell r="AY634">
            <v>16028839</v>
          </cell>
          <cell r="AZ634">
            <v>24155219</v>
          </cell>
          <cell r="BA634">
            <v>25434825</v>
          </cell>
          <cell r="BB634">
            <v>25434825</v>
          </cell>
        </row>
        <row r="635">
          <cell r="A635" t="str">
            <v>KROGER</v>
          </cell>
          <cell r="B635">
            <v>6209298</v>
          </cell>
          <cell r="C635">
            <v>12303557</v>
          </cell>
          <cell r="D635">
            <v>17829552</v>
          </cell>
          <cell r="E635">
            <v>23243690</v>
          </cell>
          <cell r="F635">
            <v>29035252</v>
          </cell>
          <cell r="G635">
            <v>37810019</v>
          </cell>
          <cell r="H635">
            <v>44024401</v>
          </cell>
          <cell r="I635">
            <v>49738628</v>
          </cell>
          <cell r="J635">
            <v>55652864</v>
          </cell>
          <cell r="K635">
            <v>61605010</v>
          </cell>
          <cell r="L635">
            <v>67898271</v>
          </cell>
          <cell r="M635">
            <v>74097264</v>
          </cell>
          <cell r="N635">
            <v>5981973</v>
          </cell>
          <cell r="O635">
            <v>14394404</v>
          </cell>
          <cell r="P635">
            <v>20497349</v>
          </cell>
          <cell r="Q635">
            <v>27015105</v>
          </cell>
          <cell r="R635">
            <v>34321023</v>
          </cell>
          <cell r="S635">
            <v>47721179</v>
          </cell>
          <cell r="T635">
            <v>58065128</v>
          </cell>
          <cell r="U635">
            <v>65897728</v>
          </cell>
          <cell r="V635">
            <v>75778964</v>
          </cell>
          <cell r="W635">
            <v>85609090</v>
          </cell>
          <cell r="X635">
            <v>96697513</v>
          </cell>
          <cell r="Y635">
            <v>112772626</v>
          </cell>
          <cell r="Z635">
            <v>10121169</v>
          </cell>
          <cell r="AA635">
            <v>17116004</v>
          </cell>
          <cell r="AB635">
            <v>24228726</v>
          </cell>
          <cell r="AC635">
            <v>31263845</v>
          </cell>
          <cell r="AD635">
            <v>38480014</v>
          </cell>
          <cell r="AE635">
            <v>45431471</v>
          </cell>
          <cell r="AF635">
            <v>52855200</v>
          </cell>
          <cell r="AG635">
            <v>59844224</v>
          </cell>
          <cell r="AH635">
            <v>66484829</v>
          </cell>
          <cell r="AI635">
            <v>72851411</v>
          </cell>
          <cell r="AJ635">
            <v>78715647</v>
          </cell>
          <cell r="AK635">
            <v>84274577</v>
          </cell>
          <cell r="AL635">
            <v>5348581</v>
          </cell>
          <cell r="AM635">
            <v>10681000</v>
          </cell>
          <cell r="AN635">
            <v>15968744</v>
          </cell>
          <cell r="AO635">
            <v>21791083</v>
          </cell>
          <cell r="AP635">
            <v>27862403</v>
          </cell>
          <cell r="AQ635">
            <v>35046030</v>
          </cell>
          <cell r="AR635">
            <v>41735504</v>
          </cell>
          <cell r="AS635">
            <v>48871095</v>
          </cell>
          <cell r="AT635">
            <v>55593246</v>
          </cell>
          <cell r="AU635">
            <v>62955977</v>
          </cell>
          <cell r="AV635">
            <v>71820615</v>
          </cell>
          <cell r="AW635">
            <v>89339358</v>
          </cell>
          <cell r="AX635">
            <v>120767715</v>
          </cell>
          <cell r="AY635">
            <v>188869176</v>
          </cell>
          <cell r="AZ635">
            <v>272566953</v>
          </cell>
          <cell r="BA635">
            <v>284249073</v>
          </cell>
          <cell r="BB635">
            <v>284249073</v>
          </cell>
        </row>
        <row r="636">
          <cell r="A636" t="str">
            <v>KROGER C</v>
          </cell>
          <cell r="B636">
            <v>514170</v>
          </cell>
          <cell r="C636">
            <v>972926</v>
          </cell>
          <cell r="D636">
            <v>1420747</v>
          </cell>
          <cell r="E636">
            <v>1853032</v>
          </cell>
          <cell r="F636">
            <v>2359770</v>
          </cell>
          <cell r="G636">
            <v>2874893</v>
          </cell>
          <cell r="H636">
            <v>3361765</v>
          </cell>
          <cell r="I636">
            <v>3825787</v>
          </cell>
          <cell r="J636">
            <v>4310133</v>
          </cell>
          <cell r="K636">
            <v>4802627</v>
          </cell>
          <cell r="L636">
            <v>5300799</v>
          </cell>
          <cell r="M636">
            <v>5837461</v>
          </cell>
          <cell r="N636">
            <v>524726</v>
          </cell>
          <cell r="O636">
            <v>1063132</v>
          </cell>
          <cell r="P636">
            <v>1586109</v>
          </cell>
          <cell r="Q636">
            <v>2108241</v>
          </cell>
          <cell r="R636">
            <v>2636279</v>
          </cell>
          <cell r="S636">
            <v>3178400</v>
          </cell>
          <cell r="T636">
            <v>3743670</v>
          </cell>
          <cell r="U636">
            <v>4277643</v>
          </cell>
          <cell r="V636">
            <v>4813227</v>
          </cell>
          <cell r="W636">
            <v>5356258</v>
          </cell>
          <cell r="X636">
            <v>5931318</v>
          </cell>
          <cell r="Y636">
            <v>6570118</v>
          </cell>
          <cell r="Z636">
            <v>650993</v>
          </cell>
          <cell r="AA636">
            <v>1214962</v>
          </cell>
          <cell r="AB636">
            <v>1807506</v>
          </cell>
          <cell r="AC636">
            <v>2384171</v>
          </cell>
          <cell r="AD636">
            <v>2944677</v>
          </cell>
          <cell r="AE636">
            <v>3489506</v>
          </cell>
          <cell r="AF636">
            <v>4059605</v>
          </cell>
          <cell r="AG636">
            <v>4604466</v>
          </cell>
          <cell r="AH636">
            <v>5124520</v>
          </cell>
          <cell r="AI636">
            <v>5662373</v>
          </cell>
          <cell r="AJ636">
            <v>6193960</v>
          </cell>
          <cell r="AK636">
            <v>6720714</v>
          </cell>
          <cell r="AL636">
            <v>515845</v>
          </cell>
          <cell r="AM636">
            <v>1018156</v>
          </cell>
          <cell r="AN636">
            <v>1514409</v>
          </cell>
          <cell r="AO636">
            <v>2067871</v>
          </cell>
          <cell r="AP636">
            <v>2592816</v>
          </cell>
          <cell r="AQ636">
            <v>3121840</v>
          </cell>
          <cell r="AR636">
            <v>3635084</v>
          </cell>
          <cell r="AS636">
            <v>4176579</v>
          </cell>
          <cell r="AT636">
            <v>4743239</v>
          </cell>
          <cell r="AU636">
            <v>5279960</v>
          </cell>
          <cell r="AV636">
            <v>5828782</v>
          </cell>
          <cell r="AW636">
            <v>6380593</v>
          </cell>
          <cell r="AX636">
            <v>6966387</v>
          </cell>
          <cell r="AY636">
            <v>7736943</v>
          </cell>
          <cell r="AZ636">
            <v>10078462</v>
          </cell>
          <cell r="BA636">
            <v>11530702</v>
          </cell>
          <cell r="BB636">
            <v>11530702</v>
          </cell>
        </row>
        <row r="637">
          <cell r="A637" t="str">
            <v>LOBLAWS - CANADA</v>
          </cell>
          <cell r="B637">
            <v>153766</v>
          </cell>
          <cell r="C637">
            <v>287882</v>
          </cell>
          <cell r="D637">
            <v>467398</v>
          </cell>
          <cell r="E637">
            <v>650700</v>
          </cell>
          <cell r="F637">
            <v>833793</v>
          </cell>
          <cell r="G637">
            <v>1104300</v>
          </cell>
          <cell r="H637">
            <v>1299279</v>
          </cell>
          <cell r="I637">
            <v>1489976</v>
          </cell>
          <cell r="J637">
            <v>1683854</v>
          </cell>
          <cell r="K637">
            <v>1894812</v>
          </cell>
          <cell r="L637">
            <v>2105877</v>
          </cell>
          <cell r="M637">
            <v>2327062</v>
          </cell>
          <cell r="N637">
            <v>236435</v>
          </cell>
          <cell r="O637">
            <v>556497</v>
          </cell>
          <cell r="P637">
            <v>814346</v>
          </cell>
          <cell r="Q637">
            <v>1106243</v>
          </cell>
          <cell r="R637">
            <v>1442379</v>
          </cell>
          <cell r="S637">
            <v>1931824</v>
          </cell>
          <cell r="T637">
            <v>2299631</v>
          </cell>
          <cell r="U637">
            <v>2634056</v>
          </cell>
          <cell r="V637">
            <v>3004776</v>
          </cell>
          <cell r="W637">
            <v>3405101</v>
          </cell>
          <cell r="X637">
            <v>3872215</v>
          </cell>
          <cell r="Y637">
            <v>4518225</v>
          </cell>
          <cell r="Z637">
            <v>599686</v>
          </cell>
          <cell r="AA637">
            <v>926705</v>
          </cell>
          <cell r="AB637">
            <v>1449038</v>
          </cell>
          <cell r="AC637">
            <v>1783206</v>
          </cell>
          <cell r="AD637">
            <v>2128674</v>
          </cell>
          <cell r="AE637">
            <v>2463754</v>
          </cell>
          <cell r="AF637">
            <v>2806784</v>
          </cell>
          <cell r="AG637">
            <v>3151222</v>
          </cell>
          <cell r="AH637">
            <v>3522032</v>
          </cell>
          <cell r="AI637">
            <v>4091628</v>
          </cell>
          <cell r="AJ637">
            <v>4473669</v>
          </cell>
          <cell r="AK637">
            <v>4938650</v>
          </cell>
          <cell r="AL637">
            <v>497388</v>
          </cell>
          <cell r="AM637">
            <v>1033770</v>
          </cell>
          <cell r="AN637">
            <v>1544183</v>
          </cell>
          <cell r="AO637">
            <v>2169727</v>
          </cell>
          <cell r="AP637">
            <v>2759647</v>
          </cell>
          <cell r="AQ637">
            <v>3327704</v>
          </cell>
          <cell r="AR637">
            <v>3921621</v>
          </cell>
          <cell r="AS637">
            <v>4524105</v>
          </cell>
          <cell r="AT637">
            <v>5352237</v>
          </cell>
          <cell r="AU637">
            <v>6267165</v>
          </cell>
          <cell r="AV637">
            <v>7921670</v>
          </cell>
          <cell r="AW637">
            <v>10288898</v>
          </cell>
          <cell r="AX637">
            <v>14302906</v>
          </cell>
          <cell r="AY637">
            <v>21887712</v>
          </cell>
          <cell r="AZ637">
            <v>30052281</v>
          </cell>
          <cell r="BA637">
            <v>30974837</v>
          </cell>
          <cell r="BB637">
            <v>30974837</v>
          </cell>
        </row>
        <row r="638">
          <cell r="A638" t="str">
            <v>LOWES</v>
          </cell>
          <cell r="B638">
            <v>102788</v>
          </cell>
          <cell r="C638">
            <v>192317</v>
          </cell>
          <cell r="D638">
            <v>281925</v>
          </cell>
          <cell r="E638">
            <v>359951</v>
          </cell>
          <cell r="F638">
            <v>457780</v>
          </cell>
          <cell r="G638">
            <v>555494</v>
          </cell>
          <cell r="H638">
            <v>699795</v>
          </cell>
          <cell r="I638">
            <v>790012</v>
          </cell>
          <cell r="J638">
            <v>881088</v>
          </cell>
          <cell r="K638">
            <v>980745</v>
          </cell>
          <cell r="L638">
            <v>1082221</v>
          </cell>
          <cell r="M638">
            <v>1215058</v>
          </cell>
          <cell r="N638">
            <v>94996</v>
          </cell>
          <cell r="O638">
            <v>200122</v>
          </cell>
          <cell r="P638">
            <v>296918</v>
          </cell>
          <cell r="Q638">
            <v>409213</v>
          </cell>
          <cell r="R638">
            <v>547189</v>
          </cell>
          <cell r="S638">
            <v>687339</v>
          </cell>
          <cell r="T638">
            <v>939211</v>
          </cell>
          <cell r="U638">
            <v>1096768</v>
          </cell>
          <cell r="V638">
            <v>1239045</v>
          </cell>
          <cell r="W638">
            <v>1382743</v>
          </cell>
          <cell r="X638">
            <v>1573044</v>
          </cell>
          <cell r="Y638">
            <v>1844810</v>
          </cell>
          <cell r="Z638">
            <v>150270</v>
          </cell>
          <cell r="AA638">
            <v>272464</v>
          </cell>
          <cell r="AB638">
            <v>377985</v>
          </cell>
          <cell r="AC638">
            <v>487147</v>
          </cell>
          <cell r="AD638">
            <v>599991</v>
          </cell>
          <cell r="AE638">
            <v>711982</v>
          </cell>
          <cell r="AF638">
            <v>822873</v>
          </cell>
          <cell r="AG638">
            <v>936548</v>
          </cell>
          <cell r="AH638">
            <v>1044865</v>
          </cell>
          <cell r="AI638">
            <v>1156322</v>
          </cell>
          <cell r="AJ638">
            <v>1265189</v>
          </cell>
          <cell r="AK638">
            <v>1368748</v>
          </cell>
          <cell r="AL638">
            <v>105081</v>
          </cell>
          <cell r="AM638">
            <v>214377</v>
          </cell>
          <cell r="AN638">
            <v>321786</v>
          </cell>
          <cell r="AO638">
            <v>428783</v>
          </cell>
          <cell r="AP638">
            <v>536906</v>
          </cell>
          <cell r="AQ638">
            <v>651936</v>
          </cell>
          <cell r="AR638">
            <v>764996</v>
          </cell>
          <cell r="AS638">
            <v>869621</v>
          </cell>
          <cell r="AT638">
            <v>977641</v>
          </cell>
          <cell r="AU638">
            <v>1087577</v>
          </cell>
          <cell r="AV638">
            <v>1209546</v>
          </cell>
          <cell r="AW638">
            <v>1336981</v>
          </cell>
          <cell r="AX638">
            <v>1513762</v>
          </cell>
          <cell r="AY638">
            <v>1858637</v>
          </cell>
          <cell r="AZ638">
            <v>2645475</v>
          </cell>
          <cell r="BA638">
            <v>3491353</v>
          </cell>
          <cell r="BB638">
            <v>3491353</v>
          </cell>
        </row>
        <row r="639">
          <cell r="A639" t="str">
            <v>MEIJER</v>
          </cell>
          <cell r="B639">
            <v>305683</v>
          </cell>
          <cell r="C639">
            <v>612889</v>
          </cell>
          <cell r="D639">
            <v>874918</v>
          </cell>
          <cell r="E639">
            <v>1119485</v>
          </cell>
          <cell r="F639">
            <v>1352754</v>
          </cell>
          <cell r="G639">
            <v>1715303</v>
          </cell>
          <cell r="H639">
            <v>1978742</v>
          </cell>
          <cell r="I639">
            <v>2216175</v>
          </cell>
          <cell r="J639">
            <v>2490535</v>
          </cell>
          <cell r="K639">
            <v>2780207</v>
          </cell>
          <cell r="L639">
            <v>3083853</v>
          </cell>
          <cell r="M639">
            <v>3368963</v>
          </cell>
          <cell r="N639">
            <v>261453</v>
          </cell>
          <cell r="O639">
            <v>786473</v>
          </cell>
          <cell r="P639">
            <v>1064648</v>
          </cell>
          <cell r="Q639">
            <v>1350840</v>
          </cell>
          <cell r="R639">
            <v>1672343</v>
          </cell>
          <cell r="S639">
            <v>2298652</v>
          </cell>
          <cell r="T639">
            <v>2753957</v>
          </cell>
          <cell r="U639">
            <v>3109818</v>
          </cell>
          <cell r="V639">
            <v>3531116</v>
          </cell>
          <cell r="W639">
            <v>3959500</v>
          </cell>
          <cell r="X639">
            <v>4507767</v>
          </cell>
          <cell r="Y639">
            <v>5265598</v>
          </cell>
          <cell r="Z639">
            <v>466549</v>
          </cell>
          <cell r="AA639">
            <v>817308</v>
          </cell>
          <cell r="AB639">
            <v>1131334</v>
          </cell>
          <cell r="AC639">
            <v>1450065</v>
          </cell>
          <cell r="AD639">
            <v>1772625</v>
          </cell>
          <cell r="AE639">
            <v>2107242</v>
          </cell>
          <cell r="AF639">
            <v>2453036</v>
          </cell>
          <cell r="AG639">
            <v>2785872</v>
          </cell>
          <cell r="AH639">
            <v>3107587</v>
          </cell>
          <cell r="AI639">
            <v>3460184</v>
          </cell>
          <cell r="AJ639">
            <v>3789923</v>
          </cell>
          <cell r="AK639">
            <v>4119325</v>
          </cell>
          <cell r="AL639">
            <v>328386</v>
          </cell>
          <cell r="AM639">
            <v>708363</v>
          </cell>
          <cell r="AN639">
            <v>1036060</v>
          </cell>
          <cell r="AO639">
            <v>1354864</v>
          </cell>
          <cell r="AP639">
            <v>1686424</v>
          </cell>
          <cell r="AQ639">
            <v>2058043</v>
          </cell>
          <cell r="AR639">
            <v>2406564</v>
          </cell>
          <cell r="AS639">
            <v>2764975</v>
          </cell>
          <cell r="AT639">
            <v>3167988</v>
          </cell>
          <cell r="AU639">
            <v>3653222</v>
          </cell>
          <cell r="AV639">
            <v>4287384</v>
          </cell>
          <cell r="AW639">
            <v>5455243</v>
          </cell>
          <cell r="AX639">
            <v>7762008</v>
          </cell>
          <cell r="AY639">
            <v>12654182</v>
          </cell>
          <cell r="AZ639">
            <v>18963359</v>
          </cell>
          <cell r="BA639">
            <v>19758638</v>
          </cell>
          <cell r="BB639">
            <v>19758638</v>
          </cell>
        </row>
        <row r="640">
          <cell r="A640" t="str">
            <v>METRO ONTARIO - CANADA</v>
          </cell>
          <cell r="B640">
            <v>117774</v>
          </cell>
          <cell r="C640">
            <v>234316</v>
          </cell>
          <cell r="D640">
            <v>341934</v>
          </cell>
          <cell r="E640">
            <v>448102</v>
          </cell>
          <cell r="F640">
            <v>583538</v>
          </cell>
          <cell r="G640">
            <v>778897</v>
          </cell>
          <cell r="H640">
            <v>913473</v>
          </cell>
          <cell r="I640">
            <v>1047928</v>
          </cell>
          <cell r="J640">
            <v>1170581</v>
          </cell>
          <cell r="K640">
            <v>1292185</v>
          </cell>
          <cell r="L640">
            <v>1430826</v>
          </cell>
          <cell r="M640">
            <v>1558477</v>
          </cell>
          <cell r="N640">
            <v>129089</v>
          </cell>
          <cell r="O640">
            <v>321196</v>
          </cell>
          <cell r="P640">
            <v>432861</v>
          </cell>
          <cell r="Q640">
            <v>567243</v>
          </cell>
          <cell r="R640">
            <v>727240</v>
          </cell>
          <cell r="S640">
            <v>974934</v>
          </cell>
          <cell r="T640">
            <v>1176873</v>
          </cell>
          <cell r="U640">
            <v>1360950</v>
          </cell>
          <cell r="V640">
            <v>1531452</v>
          </cell>
          <cell r="W640">
            <v>1700465</v>
          </cell>
          <cell r="X640">
            <v>1902565</v>
          </cell>
          <cell r="Y640">
            <v>2187612</v>
          </cell>
          <cell r="Z640">
            <v>230985</v>
          </cell>
          <cell r="AA640">
            <v>504724</v>
          </cell>
          <cell r="AB640">
            <v>650282</v>
          </cell>
          <cell r="AC640">
            <v>786820</v>
          </cell>
          <cell r="AD640">
            <v>939063</v>
          </cell>
          <cell r="AE640">
            <v>1093873</v>
          </cell>
          <cell r="AF640">
            <v>1243970</v>
          </cell>
          <cell r="AG640">
            <v>1393063</v>
          </cell>
          <cell r="AH640">
            <v>1549739</v>
          </cell>
          <cell r="AI640">
            <v>1710910</v>
          </cell>
          <cell r="AJ640">
            <v>1868372</v>
          </cell>
          <cell r="AK640">
            <v>2012069</v>
          </cell>
          <cell r="AL640">
            <v>156379</v>
          </cell>
          <cell r="AM640">
            <v>314390</v>
          </cell>
          <cell r="AN640">
            <v>461265</v>
          </cell>
          <cell r="AO640">
            <v>613360</v>
          </cell>
          <cell r="AP640">
            <v>787702</v>
          </cell>
          <cell r="AQ640">
            <v>924399</v>
          </cell>
          <cell r="AR640">
            <v>1072124</v>
          </cell>
          <cell r="AS640">
            <v>1214735</v>
          </cell>
          <cell r="AT640">
            <v>1378645</v>
          </cell>
          <cell r="AU640">
            <v>1571973</v>
          </cell>
          <cell r="AV640">
            <v>1794180</v>
          </cell>
          <cell r="AW640">
            <v>2186491</v>
          </cell>
          <cell r="AX640">
            <v>2891453</v>
          </cell>
          <cell r="AY640">
            <v>4215802</v>
          </cell>
          <cell r="AZ640">
            <v>5742788</v>
          </cell>
          <cell r="BA640">
            <v>6016747</v>
          </cell>
          <cell r="BB640">
            <v>6016747</v>
          </cell>
        </row>
        <row r="641">
          <cell r="A641" t="str">
            <v>MORRISONS</v>
          </cell>
          <cell r="B641">
            <v>111492</v>
          </cell>
          <cell r="C641">
            <v>228278</v>
          </cell>
          <cell r="D641">
            <v>347382</v>
          </cell>
          <cell r="E641">
            <v>469839</v>
          </cell>
          <cell r="F641">
            <v>613321</v>
          </cell>
          <cell r="G641">
            <v>839353</v>
          </cell>
          <cell r="H641">
            <v>997853</v>
          </cell>
          <cell r="I641">
            <v>1163760</v>
          </cell>
          <cell r="J641">
            <v>1478397</v>
          </cell>
          <cell r="K641">
            <v>1679942</v>
          </cell>
          <cell r="L641">
            <v>1857719</v>
          </cell>
          <cell r="M641">
            <v>2031112</v>
          </cell>
          <cell r="N641">
            <v>159423</v>
          </cell>
          <cell r="O641">
            <v>345939</v>
          </cell>
          <cell r="P641">
            <v>493363</v>
          </cell>
          <cell r="Q641">
            <v>643843</v>
          </cell>
          <cell r="R641">
            <v>821232</v>
          </cell>
          <cell r="S641">
            <v>1069914</v>
          </cell>
          <cell r="T641">
            <v>1289121</v>
          </cell>
          <cell r="U641">
            <v>1525117</v>
          </cell>
          <cell r="V641">
            <v>1761188</v>
          </cell>
          <cell r="W641">
            <v>1973181</v>
          </cell>
          <cell r="X641">
            <v>2213148</v>
          </cell>
          <cell r="Y641">
            <v>2496690</v>
          </cell>
          <cell r="Z641">
            <v>228742</v>
          </cell>
          <cell r="AA641">
            <v>463957</v>
          </cell>
          <cell r="AB641">
            <v>693361</v>
          </cell>
          <cell r="AC641">
            <v>914882</v>
          </cell>
          <cell r="AD641">
            <v>1156404</v>
          </cell>
          <cell r="AE641">
            <v>1382322</v>
          </cell>
          <cell r="AF641">
            <v>1592090</v>
          </cell>
          <cell r="AG641">
            <v>1795972</v>
          </cell>
          <cell r="AH641">
            <v>1998982</v>
          </cell>
          <cell r="AI641">
            <v>2205085</v>
          </cell>
          <cell r="AJ641">
            <v>2403588</v>
          </cell>
          <cell r="AK641">
            <v>2670473</v>
          </cell>
          <cell r="AL641">
            <v>260404</v>
          </cell>
          <cell r="AM641">
            <v>501161</v>
          </cell>
          <cell r="AN641">
            <v>738011</v>
          </cell>
          <cell r="AO641">
            <v>983718</v>
          </cell>
          <cell r="AP641">
            <v>1200525</v>
          </cell>
          <cell r="AQ641">
            <v>1404232</v>
          </cell>
          <cell r="AR641">
            <v>1610378</v>
          </cell>
          <cell r="AS641">
            <v>1842074</v>
          </cell>
          <cell r="AT641">
            <v>2266663</v>
          </cell>
          <cell r="AU641">
            <v>2922456</v>
          </cell>
          <cell r="AV641">
            <v>3450506</v>
          </cell>
          <cell r="AW641">
            <v>3983628</v>
          </cell>
          <cell r="AX641">
            <v>4884021</v>
          </cell>
          <cell r="AY641">
            <v>6695107</v>
          </cell>
          <cell r="AZ641">
            <v>11076014</v>
          </cell>
          <cell r="BA641">
            <v>12625660</v>
          </cell>
          <cell r="BB641">
            <v>12625660</v>
          </cell>
        </row>
        <row r="642">
          <cell r="A642" t="str">
            <v>OFFICE MAX</v>
          </cell>
          <cell r="B642">
            <v>264218</v>
          </cell>
          <cell r="C642">
            <v>505396</v>
          </cell>
          <cell r="D642">
            <v>732748</v>
          </cell>
          <cell r="E642">
            <v>949874</v>
          </cell>
          <cell r="F642">
            <v>1176201</v>
          </cell>
          <cell r="G642">
            <v>1476848</v>
          </cell>
          <cell r="H642">
            <v>1718076</v>
          </cell>
          <cell r="I642">
            <v>1941708</v>
          </cell>
          <cell r="J642">
            <v>2171330</v>
          </cell>
          <cell r="K642">
            <v>2412352</v>
          </cell>
          <cell r="L642">
            <v>2659846</v>
          </cell>
          <cell r="M642">
            <v>2903830</v>
          </cell>
          <cell r="N642">
            <v>236650</v>
          </cell>
          <cell r="O642">
            <v>528646</v>
          </cell>
          <cell r="P642">
            <v>770386</v>
          </cell>
          <cell r="Q642">
            <v>1019961</v>
          </cell>
          <cell r="R642">
            <v>1308346</v>
          </cell>
          <cell r="S642">
            <v>1741066</v>
          </cell>
          <cell r="T642">
            <v>2024280</v>
          </cell>
          <cell r="U642">
            <v>2391836</v>
          </cell>
          <cell r="V642">
            <v>2739714</v>
          </cell>
          <cell r="W642">
            <v>3091796</v>
          </cell>
          <cell r="X642">
            <v>3522868</v>
          </cell>
          <cell r="Y642">
            <v>4062097</v>
          </cell>
          <cell r="Z642">
            <v>379295</v>
          </cell>
          <cell r="AA642">
            <v>669979</v>
          </cell>
          <cell r="AB642">
            <v>935129</v>
          </cell>
          <cell r="AC642">
            <v>1201015</v>
          </cell>
          <cell r="AD642">
            <v>1477508</v>
          </cell>
          <cell r="AE642">
            <v>1753556</v>
          </cell>
          <cell r="AF642">
            <v>2038906</v>
          </cell>
          <cell r="AG642">
            <v>2323364</v>
          </cell>
          <cell r="AH642">
            <v>2613125</v>
          </cell>
          <cell r="AI642">
            <v>2909302</v>
          </cell>
          <cell r="AJ642">
            <v>3186930</v>
          </cell>
          <cell r="AK642">
            <v>3445382</v>
          </cell>
          <cell r="AL642">
            <v>268269</v>
          </cell>
          <cell r="AM642">
            <v>540836</v>
          </cell>
          <cell r="AN642">
            <v>803883</v>
          </cell>
          <cell r="AO642">
            <v>1078336</v>
          </cell>
          <cell r="AP642">
            <v>1338023</v>
          </cell>
          <cell r="AQ642">
            <v>1598309</v>
          </cell>
          <cell r="AR642">
            <v>1854584</v>
          </cell>
          <cell r="AS642">
            <v>2116703</v>
          </cell>
          <cell r="AT642">
            <v>2399639</v>
          </cell>
          <cell r="AU642">
            <v>2681568</v>
          </cell>
          <cell r="AV642">
            <v>3001316</v>
          </cell>
          <cell r="AW642">
            <v>3550273</v>
          </cell>
          <cell r="AX642">
            <v>4566768</v>
          </cell>
          <cell r="AY642">
            <v>6833453</v>
          </cell>
          <cell r="AZ642">
            <v>9620757</v>
          </cell>
          <cell r="BA642">
            <v>9933021</v>
          </cell>
          <cell r="BB642">
            <v>9933021</v>
          </cell>
        </row>
        <row r="643">
          <cell r="A643" t="str">
            <v>PATHMARK</v>
          </cell>
          <cell r="B643">
            <v>220222</v>
          </cell>
          <cell r="C643">
            <v>436592</v>
          </cell>
          <cell r="D643">
            <v>619094</v>
          </cell>
          <cell r="E643">
            <v>792691</v>
          </cell>
          <cell r="F643">
            <v>1017927</v>
          </cell>
          <cell r="G643">
            <v>1307226</v>
          </cell>
          <cell r="H643">
            <v>1533416</v>
          </cell>
          <cell r="I643">
            <v>1752375</v>
          </cell>
          <cell r="J643">
            <v>1950520</v>
          </cell>
          <cell r="K643">
            <v>2146821</v>
          </cell>
          <cell r="L643">
            <v>2343405</v>
          </cell>
          <cell r="M643">
            <v>2570838</v>
          </cell>
          <cell r="N643">
            <v>244425</v>
          </cell>
          <cell r="O643">
            <v>557638</v>
          </cell>
          <cell r="P643">
            <v>764369</v>
          </cell>
          <cell r="Q643">
            <v>1066358</v>
          </cell>
          <cell r="R643">
            <v>1546642</v>
          </cell>
          <cell r="S643">
            <v>2016358</v>
          </cell>
          <cell r="T643">
            <v>2438421</v>
          </cell>
          <cell r="U643">
            <v>2833652</v>
          </cell>
          <cell r="V643">
            <v>3265487</v>
          </cell>
          <cell r="W643">
            <v>3729852</v>
          </cell>
          <cell r="X643">
            <v>4166777</v>
          </cell>
          <cell r="Y643">
            <v>4747101</v>
          </cell>
          <cell r="Z643">
            <v>497085</v>
          </cell>
          <cell r="AA643">
            <v>855848</v>
          </cell>
          <cell r="AB643">
            <v>1129434</v>
          </cell>
          <cell r="AC643">
            <v>1426281</v>
          </cell>
          <cell r="AD643">
            <v>1702193</v>
          </cell>
          <cell r="AE643">
            <v>1975237</v>
          </cell>
          <cell r="AF643">
            <v>2257922</v>
          </cell>
          <cell r="AG643">
            <v>2547518</v>
          </cell>
          <cell r="AH643">
            <v>2832842</v>
          </cell>
          <cell r="AI643">
            <v>3107352</v>
          </cell>
          <cell r="AJ643">
            <v>3373893</v>
          </cell>
          <cell r="AK643">
            <v>3627085</v>
          </cell>
          <cell r="AL643">
            <v>267068</v>
          </cell>
          <cell r="AM643">
            <v>517042</v>
          </cell>
          <cell r="AN643">
            <v>749794</v>
          </cell>
          <cell r="AO643">
            <v>989314</v>
          </cell>
          <cell r="AP643">
            <v>1236217</v>
          </cell>
          <cell r="AQ643">
            <v>1471536</v>
          </cell>
          <cell r="AR643">
            <v>1702318</v>
          </cell>
          <cell r="AS643">
            <v>1930237</v>
          </cell>
          <cell r="AT643">
            <v>2151521</v>
          </cell>
          <cell r="AU643">
            <v>2386064</v>
          </cell>
          <cell r="AV643">
            <v>2645045</v>
          </cell>
          <cell r="AW643">
            <v>2999056</v>
          </cell>
          <cell r="AX643">
            <v>3592216</v>
          </cell>
          <cell r="AY643">
            <v>4970071</v>
          </cell>
          <cell r="AZ643">
            <v>7229481</v>
          </cell>
          <cell r="BA643">
            <v>7544904</v>
          </cell>
          <cell r="BB643">
            <v>7544904</v>
          </cell>
        </row>
        <row r="644">
          <cell r="A644" t="str">
            <v>PRICE CHOPPER</v>
          </cell>
          <cell r="B644">
            <v>268797</v>
          </cell>
          <cell r="C644">
            <v>524086</v>
          </cell>
          <cell r="D644">
            <v>757161</v>
          </cell>
          <cell r="E644">
            <v>978438</v>
          </cell>
          <cell r="F644">
            <v>1239572</v>
          </cell>
          <cell r="G644">
            <v>1562302</v>
          </cell>
          <cell r="H644">
            <v>1821109</v>
          </cell>
          <cell r="I644">
            <v>2064975</v>
          </cell>
          <cell r="J644">
            <v>2311385</v>
          </cell>
          <cell r="K644">
            <v>2569087</v>
          </cell>
          <cell r="L644">
            <v>2848528</v>
          </cell>
          <cell r="M644">
            <v>3101094</v>
          </cell>
          <cell r="N644">
            <v>217318</v>
          </cell>
          <cell r="O644">
            <v>547223</v>
          </cell>
          <cell r="P644">
            <v>760668</v>
          </cell>
          <cell r="Q644">
            <v>968295</v>
          </cell>
          <cell r="R644">
            <v>1248057</v>
          </cell>
          <cell r="S644">
            <v>1655911</v>
          </cell>
          <cell r="T644">
            <v>2003934</v>
          </cell>
          <cell r="U644">
            <v>2291092</v>
          </cell>
          <cell r="V644">
            <v>2563930</v>
          </cell>
          <cell r="W644">
            <v>2863096</v>
          </cell>
          <cell r="X644">
            <v>3230843</v>
          </cell>
          <cell r="Y644">
            <v>3700841</v>
          </cell>
          <cell r="Z644">
            <v>436597</v>
          </cell>
          <cell r="AA644">
            <v>798752</v>
          </cell>
          <cell r="AB644">
            <v>1095621</v>
          </cell>
          <cell r="AC644">
            <v>1405254</v>
          </cell>
          <cell r="AD644">
            <v>1703856</v>
          </cell>
          <cell r="AE644">
            <v>2003666</v>
          </cell>
          <cell r="AF644">
            <v>2309873</v>
          </cell>
          <cell r="AG644">
            <v>2615080</v>
          </cell>
          <cell r="AH644">
            <v>2907731</v>
          </cell>
          <cell r="AI644">
            <v>3201402</v>
          </cell>
          <cell r="AJ644">
            <v>3491972</v>
          </cell>
          <cell r="AK644">
            <v>3778812</v>
          </cell>
          <cell r="AL644">
            <v>280759</v>
          </cell>
          <cell r="AM644">
            <v>573291</v>
          </cell>
          <cell r="AN644">
            <v>852038</v>
          </cell>
          <cell r="AO644">
            <v>1143130</v>
          </cell>
          <cell r="AP644">
            <v>1420189</v>
          </cell>
          <cell r="AQ644">
            <v>1703835</v>
          </cell>
          <cell r="AR644">
            <v>1972274</v>
          </cell>
          <cell r="AS644">
            <v>2253620</v>
          </cell>
          <cell r="AT644">
            <v>2557633</v>
          </cell>
          <cell r="AU644">
            <v>2908035</v>
          </cell>
          <cell r="AV644">
            <v>3327725</v>
          </cell>
          <cell r="AW644">
            <v>4003661</v>
          </cell>
          <cell r="AX644">
            <v>5019729</v>
          </cell>
          <cell r="AY644">
            <v>7265424</v>
          </cell>
          <cell r="AZ644">
            <v>10284212</v>
          </cell>
          <cell r="BA644">
            <v>10818578</v>
          </cell>
          <cell r="BB644">
            <v>10818578</v>
          </cell>
        </row>
        <row r="645">
          <cell r="A645" t="str">
            <v>PUBLIX</v>
          </cell>
          <cell r="B645">
            <v>2432492</v>
          </cell>
          <cell r="C645">
            <v>4832988</v>
          </cell>
          <cell r="D645">
            <v>7065904</v>
          </cell>
          <cell r="E645">
            <v>9275659</v>
          </cell>
          <cell r="F645">
            <v>11695506</v>
          </cell>
          <cell r="G645">
            <v>15396245</v>
          </cell>
          <cell r="H645">
            <v>18005296</v>
          </cell>
          <cell r="I645">
            <v>20481388</v>
          </cell>
          <cell r="J645">
            <v>23037332</v>
          </cell>
          <cell r="K645">
            <v>25677570</v>
          </cell>
          <cell r="L645">
            <v>28392177</v>
          </cell>
          <cell r="M645">
            <v>31117311</v>
          </cell>
          <cell r="N645">
            <v>2714126</v>
          </cell>
          <cell r="O645">
            <v>6403579</v>
          </cell>
          <cell r="P645">
            <v>8905692</v>
          </cell>
          <cell r="Q645">
            <v>11906530</v>
          </cell>
          <cell r="R645">
            <v>15174522</v>
          </cell>
          <cell r="S645">
            <v>20656513</v>
          </cell>
          <cell r="T645">
            <v>24610423</v>
          </cell>
          <cell r="U645">
            <v>28021143</v>
          </cell>
          <cell r="V645">
            <v>31705526</v>
          </cell>
          <cell r="W645">
            <v>35642058</v>
          </cell>
          <cell r="X645">
            <v>40405914</v>
          </cell>
          <cell r="Y645">
            <v>45504657</v>
          </cell>
          <cell r="Z645">
            <v>3433014</v>
          </cell>
          <cell r="AA645">
            <v>6021704</v>
          </cell>
          <cell r="AB645">
            <v>8500019</v>
          </cell>
          <cell r="AC645">
            <v>10970396</v>
          </cell>
          <cell r="AD645">
            <v>13533585</v>
          </cell>
          <cell r="AE645">
            <v>16093866</v>
          </cell>
          <cell r="AF645">
            <v>18706327</v>
          </cell>
          <cell r="AG645">
            <v>21426994</v>
          </cell>
          <cell r="AH645">
            <v>24148312</v>
          </cell>
          <cell r="AI645">
            <v>26595676</v>
          </cell>
          <cell r="AJ645">
            <v>29121985</v>
          </cell>
          <cell r="AK645">
            <v>31624115</v>
          </cell>
          <cell r="AL645">
            <v>2587264</v>
          </cell>
          <cell r="AM645">
            <v>5228619</v>
          </cell>
          <cell r="AN645">
            <v>8000155</v>
          </cell>
          <cell r="AO645">
            <v>10956844</v>
          </cell>
          <cell r="AP645">
            <v>14126584</v>
          </cell>
          <cell r="AQ645">
            <v>17694452</v>
          </cell>
          <cell r="AR645">
            <v>20609001</v>
          </cell>
          <cell r="AS645">
            <v>23980611</v>
          </cell>
          <cell r="AT645">
            <v>26817899</v>
          </cell>
          <cell r="AU645">
            <v>29721850</v>
          </cell>
          <cell r="AV645">
            <v>32812443</v>
          </cell>
          <cell r="AW645">
            <v>38198548</v>
          </cell>
          <cell r="AX645">
            <v>47936841</v>
          </cell>
          <cell r="AY645">
            <v>70262803</v>
          </cell>
          <cell r="AZ645">
            <v>96073440</v>
          </cell>
          <cell r="BA645">
            <v>99440834</v>
          </cell>
          <cell r="BB645">
            <v>99440834</v>
          </cell>
        </row>
        <row r="646">
          <cell r="A646" t="str">
            <v>QUICK CHECK</v>
          </cell>
          <cell r="B646">
            <v>151215</v>
          </cell>
          <cell r="C646">
            <v>277125</v>
          </cell>
          <cell r="D646">
            <v>395414</v>
          </cell>
          <cell r="E646">
            <v>503256</v>
          </cell>
          <cell r="F646">
            <v>613087</v>
          </cell>
          <cell r="G646">
            <v>723044</v>
          </cell>
          <cell r="H646">
            <v>838353</v>
          </cell>
          <cell r="I646">
            <v>944917</v>
          </cell>
          <cell r="J646">
            <v>1045419</v>
          </cell>
          <cell r="K646">
            <v>1146848</v>
          </cell>
          <cell r="L646">
            <v>1256145</v>
          </cell>
          <cell r="M646">
            <v>1377995</v>
          </cell>
          <cell r="N646">
            <v>128805</v>
          </cell>
          <cell r="O646">
            <v>238492</v>
          </cell>
          <cell r="P646">
            <v>345272</v>
          </cell>
          <cell r="Q646">
            <v>460969</v>
          </cell>
          <cell r="R646">
            <v>592361</v>
          </cell>
          <cell r="S646">
            <v>715429</v>
          </cell>
          <cell r="T646">
            <v>859055</v>
          </cell>
          <cell r="U646">
            <v>994683</v>
          </cell>
          <cell r="V646">
            <v>1107419</v>
          </cell>
          <cell r="W646">
            <v>1219180</v>
          </cell>
          <cell r="X646">
            <v>1332407</v>
          </cell>
          <cell r="Y646">
            <v>1489685</v>
          </cell>
          <cell r="Z646">
            <v>187079</v>
          </cell>
          <cell r="AA646">
            <v>311399</v>
          </cell>
          <cell r="AB646">
            <v>437844</v>
          </cell>
          <cell r="AC646">
            <v>558360</v>
          </cell>
          <cell r="AD646">
            <v>670941</v>
          </cell>
          <cell r="AE646">
            <v>779816</v>
          </cell>
          <cell r="AF646">
            <v>905408</v>
          </cell>
          <cell r="AG646">
            <v>1012308</v>
          </cell>
          <cell r="AH646">
            <v>1120725</v>
          </cell>
          <cell r="AI646">
            <v>1220844</v>
          </cell>
          <cell r="AJ646">
            <v>1320916</v>
          </cell>
          <cell r="AK646">
            <v>1418443</v>
          </cell>
          <cell r="AL646">
            <v>98880</v>
          </cell>
          <cell r="AM646">
            <v>199868</v>
          </cell>
          <cell r="AN646">
            <v>315960</v>
          </cell>
          <cell r="AO646">
            <v>429527</v>
          </cell>
          <cell r="AP646">
            <v>530682</v>
          </cell>
          <cell r="AQ646">
            <v>631505</v>
          </cell>
          <cell r="AR646">
            <v>731086</v>
          </cell>
          <cell r="AS646">
            <v>836561</v>
          </cell>
          <cell r="AT646">
            <v>935852</v>
          </cell>
          <cell r="AU646">
            <v>1079052</v>
          </cell>
          <cell r="AV646">
            <v>1177929</v>
          </cell>
          <cell r="AW646">
            <v>1286053</v>
          </cell>
          <cell r="AX646">
            <v>1411373</v>
          </cell>
          <cell r="AY646">
            <v>1581741</v>
          </cell>
          <cell r="AZ646">
            <v>1980891</v>
          </cell>
          <cell r="BA646">
            <v>2943197</v>
          </cell>
          <cell r="BB646">
            <v>2943197</v>
          </cell>
        </row>
        <row r="647">
          <cell r="A647" t="str">
            <v>ROUNDYS</v>
          </cell>
          <cell r="B647">
            <v>314149</v>
          </cell>
          <cell r="C647">
            <v>627727</v>
          </cell>
          <cell r="D647">
            <v>890883</v>
          </cell>
          <cell r="E647">
            <v>1127360</v>
          </cell>
          <cell r="F647">
            <v>1387640</v>
          </cell>
          <cell r="G647">
            <v>1753625</v>
          </cell>
          <cell r="H647">
            <v>2017628</v>
          </cell>
          <cell r="I647">
            <v>2255113</v>
          </cell>
          <cell r="J647">
            <v>2509902</v>
          </cell>
          <cell r="K647">
            <v>2763688</v>
          </cell>
          <cell r="L647">
            <v>3024502</v>
          </cell>
          <cell r="M647">
            <v>3267303</v>
          </cell>
          <cell r="N647">
            <v>247866</v>
          </cell>
          <cell r="O647">
            <v>663032</v>
          </cell>
          <cell r="P647">
            <v>900604</v>
          </cell>
          <cell r="Q647">
            <v>1155765</v>
          </cell>
          <cell r="R647">
            <v>1435486</v>
          </cell>
          <cell r="S647">
            <v>1883180</v>
          </cell>
          <cell r="T647">
            <v>2223289</v>
          </cell>
          <cell r="U647">
            <v>2491446</v>
          </cell>
          <cell r="V647">
            <v>2787462</v>
          </cell>
          <cell r="W647">
            <v>3078596</v>
          </cell>
          <cell r="X647">
            <v>3473450</v>
          </cell>
          <cell r="Y647">
            <v>4042746</v>
          </cell>
          <cell r="Z647">
            <v>378086</v>
          </cell>
          <cell r="AA647">
            <v>653597</v>
          </cell>
          <cell r="AB647">
            <v>923729</v>
          </cell>
          <cell r="AC647">
            <v>1199148</v>
          </cell>
          <cell r="AD647">
            <v>1487126</v>
          </cell>
          <cell r="AE647">
            <v>1747873</v>
          </cell>
          <cell r="AF647">
            <v>2015674</v>
          </cell>
          <cell r="AG647">
            <v>2270387</v>
          </cell>
          <cell r="AH647">
            <v>2535275</v>
          </cell>
          <cell r="AI647">
            <v>2801961</v>
          </cell>
          <cell r="AJ647">
            <v>3053009</v>
          </cell>
          <cell r="AK647">
            <v>3298293</v>
          </cell>
          <cell r="AL647">
            <v>238423</v>
          </cell>
          <cell r="AM647">
            <v>499200</v>
          </cell>
          <cell r="AN647">
            <v>745564</v>
          </cell>
          <cell r="AO647">
            <v>990062</v>
          </cell>
          <cell r="AP647">
            <v>1233252</v>
          </cell>
          <cell r="AQ647">
            <v>1512405</v>
          </cell>
          <cell r="AR647">
            <v>1760692</v>
          </cell>
          <cell r="AS647">
            <v>2021069</v>
          </cell>
          <cell r="AT647">
            <v>2277408</v>
          </cell>
          <cell r="AU647">
            <v>2557378</v>
          </cell>
          <cell r="AV647">
            <v>2875267</v>
          </cell>
          <cell r="AW647">
            <v>3577002</v>
          </cell>
          <cell r="AX647">
            <v>4594787</v>
          </cell>
          <cell r="AY647">
            <v>6803364</v>
          </cell>
          <cell r="AZ647">
            <v>9703345</v>
          </cell>
          <cell r="BA647">
            <v>10212350</v>
          </cell>
          <cell r="BB647">
            <v>10212350</v>
          </cell>
        </row>
        <row r="648">
          <cell r="A648" t="str">
            <v>SAFEWAY</v>
          </cell>
          <cell r="B648">
            <v>11125163</v>
          </cell>
          <cell r="C648">
            <v>22133342</v>
          </cell>
          <cell r="D648">
            <v>32587894</v>
          </cell>
          <cell r="E648">
            <v>43001025</v>
          </cell>
          <cell r="F648">
            <v>53774597</v>
          </cell>
          <cell r="G648">
            <v>69433300</v>
          </cell>
          <cell r="H648">
            <v>80649534</v>
          </cell>
          <cell r="I648">
            <v>91314775</v>
          </cell>
          <cell r="J648">
            <v>102491230</v>
          </cell>
          <cell r="K648">
            <v>114177235</v>
          </cell>
          <cell r="L648">
            <v>125974301</v>
          </cell>
          <cell r="M648">
            <v>137587802</v>
          </cell>
          <cell r="N648">
            <v>11969316</v>
          </cell>
          <cell r="O648">
            <v>27672610</v>
          </cell>
          <cell r="P648">
            <v>40069207</v>
          </cell>
          <cell r="Q648">
            <v>52793638</v>
          </cell>
          <cell r="R648">
            <v>66327931</v>
          </cell>
          <cell r="S648">
            <v>87335124</v>
          </cell>
          <cell r="T648">
            <v>104267797</v>
          </cell>
          <cell r="U648">
            <v>118653041</v>
          </cell>
          <cell r="V648">
            <v>134839324</v>
          </cell>
          <cell r="W648">
            <v>151532766</v>
          </cell>
          <cell r="X648">
            <v>171490749</v>
          </cell>
          <cell r="Y648">
            <v>195429781</v>
          </cell>
          <cell r="Z648">
            <v>17905288</v>
          </cell>
          <cell r="AA648">
            <v>31993315</v>
          </cell>
          <cell r="AB648">
            <v>45196672</v>
          </cell>
          <cell r="AC648">
            <v>58457539</v>
          </cell>
          <cell r="AD648">
            <v>72437895</v>
          </cell>
          <cell r="AE648">
            <v>86245715</v>
          </cell>
          <cell r="AF648">
            <v>100326402</v>
          </cell>
          <cell r="AG648">
            <v>114364158</v>
          </cell>
          <cell r="AH648">
            <v>128641284</v>
          </cell>
          <cell r="AI648">
            <v>143111517</v>
          </cell>
          <cell r="AJ648">
            <v>156440314</v>
          </cell>
          <cell r="AK648">
            <v>169601018</v>
          </cell>
          <cell r="AL648">
            <v>13174814</v>
          </cell>
          <cell r="AM648">
            <v>26412058</v>
          </cell>
          <cell r="AN648">
            <v>39365038</v>
          </cell>
          <cell r="AO648">
            <v>52689097</v>
          </cell>
          <cell r="AP648">
            <v>65979074</v>
          </cell>
          <cell r="AQ648">
            <v>79539057</v>
          </cell>
          <cell r="AR648">
            <v>93111161</v>
          </cell>
          <cell r="AS648">
            <v>106630113</v>
          </cell>
          <cell r="AT648">
            <v>121315102</v>
          </cell>
          <cell r="AU648">
            <v>136966041</v>
          </cell>
          <cell r="AV648">
            <v>153944769</v>
          </cell>
          <cell r="AW648">
            <v>181436487</v>
          </cell>
          <cell r="AX648">
            <v>229437188</v>
          </cell>
          <cell r="AY648">
            <v>334619307</v>
          </cell>
          <cell r="AZ648">
            <v>457546110</v>
          </cell>
          <cell r="BA648">
            <v>477738419</v>
          </cell>
          <cell r="BB648">
            <v>477738419</v>
          </cell>
        </row>
        <row r="649">
          <cell r="A649" t="str">
            <v>SAVE MART</v>
          </cell>
          <cell r="B649">
            <v>343281</v>
          </cell>
          <cell r="C649">
            <v>684122</v>
          </cell>
          <cell r="D649">
            <v>1007783</v>
          </cell>
          <cell r="E649">
            <v>1320314</v>
          </cell>
          <cell r="F649">
            <v>1622259</v>
          </cell>
          <cell r="G649">
            <v>2087544</v>
          </cell>
          <cell r="H649">
            <v>2407471</v>
          </cell>
          <cell r="I649">
            <v>2701494</v>
          </cell>
          <cell r="J649">
            <v>3009673</v>
          </cell>
          <cell r="K649">
            <v>3333544</v>
          </cell>
          <cell r="L649">
            <v>3671633</v>
          </cell>
          <cell r="M649">
            <v>4024109</v>
          </cell>
          <cell r="N649">
            <v>337188</v>
          </cell>
          <cell r="O649">
            <v>858308</v>
          </cell>
          <cell r="P649">
            <v>1218004</v>
          </cell>
          <cell r="Q649">
            <v>1582092</v>
          </cell>
          <cell r="R649">
            <v>1985463</v>
          </cell>
          <cell r="S649">
            <v>2635571</v>
          </cell>
          <cell r="T649">
            <v>3159746</v>
          </cell>
          <cell r="U649">
            <v>3561827</v>
          </cell>
          <cell r="V649">
            <v>4106224</v>
          </cell>
          <cell r="W649">
            <v>4687077</v>
          </cell>
          <cell r="X649">
            <v>5381893</v>
          </cell>
          <cell r="Y649">
            <v>6198942</v>
          </cell>
          <cell r="Z649">
            <v>596777</v>
          </cell>
          <cell r="AA649">
            <v>1017216</v>
          </cell>
          <cell r="AB649">
            <v>1408834</v>
          </cell>
          <cell r="AC649">
            <v>1801582</v>
          </cell>
          <cell r="AD649">
            <v>2218484</v>
          </cell>
          <cell r="AE649">
            <v>2613770</v>
          </cell>
          <cell r="AF649">
            <v>3022204</v>
          </cell>
          <cell r="AG649">
            <v>3416664</v>
          </cell>
          <cell r="AH649">
            <v>3827568</v>
          </cell>
          <cell r="AI649">
            <v>4240280</v>
          </cell>
          <cell r="AJ649">
            <v>4639571</v>
          </cell>
          <cell r="AK649">
            <v>5059899</v>
          </cell>
          <cell r="AL649">
            <v>409821</v>
          </cell>
          <cell r="AM649">
            <v>833105</v>
          </cell>
          <cell r="AN649">
            <v>1239356</v>
          </cell>
          <cell r="AO649">
            <v>1672861</v>
          </cell>
          <cell r="AP649">
            <v>2075890</v>
          </cell>
          <cell r="AQ649">
            <v>2485573</v>
          </cell>
          <cell r="AR649">
            <v>2888649</v>
          </cell>
          <cell r="AS649">
            <v>3281443</v>
          </cell>
          <cell r="AT649">
            <v>3682996</v>
          </cell>
          <cell r="AU649">
            <v>4090392</v>
          </cell>
          <cell r="AV649">
            <v>4525346</v>
          </cell>
          <cell r="AW649">
            <v>5132044</v>
          </cell>
          <cell r="AX649">
            <v>6078202</v>
          </cell>
          <cell r="AY649">
            <v>8257623</v>
          </cell>
          <cell r="AZ649">
            <v>11723297</v>
          </cell>
          <cell r="BA649">
            <v>12170352</v>
          </cell>
          <cell r="BB649">
            <v>12170352</v>
          </cell>
        </row>
        <row r="650">
          <cell r="A650" t="str">
            <v>SOBEYS</v>
          </cell>
          <cell r="B650">
            <v>486628</v>
          </cell>
          <cell r="C650">
            <v>968248</v>
          </cell>
          <cell r="D650">
            <v>1420938</v>
          </cell>
          <cell r="E650">
            <v>1845543</v>
          </cell>
          <cell r="F650">
            <v>2220740</v>
          </cell>
          <cell r="G650">
            <v>2737868</v>
          </cell>
          <cell r="H650">
            <v>3144913</v>
          </cell>
          <cell r="I650">
            <v>3526357</v>
          </cell>
          <cell r="J650">
            <v>3874780</v>
          </cell>
          <cell r="K650">
            <v>4244199</v>
          </cell>
          <cell r="L650">
            <v>4653840</v>
          </cell>
          <cell r="M650">
            <v>5046073</v>
          </cell>
          <cell r="N650">
            <v>358063</v>
          </cell>
          <cell r="O650">
            <v>961082</v>
          </cell>
          <cell r="P650">
            <v>1305860</v>
          </cell>
          <cell r="Q650">
            <v>1689855</v>
          </cell>
          <cell r="R650">
            <v>2073973</v>
          </cell>
          <cell r="S650">
            <v>2659825</v>
          </cell>
          <cell r="T650">
            <v>3144774</v>
          </cell>
          <cell r="U650">
            <v>3584900</v>
          </cell>
          <cell r="V650">
            <v>4146617</v>
          </cell>
          <cell r="W650">
            <v>4609540</v>
          </cell>
          <cell r="X650">
            <v>5343398</v>
          </cell>
          <cell r="Y650">
            <v>6237851</v>
          </cell>
          <cell r="Z650">
            <v>840257</v>
          </cell>
          <cell r="AA650">
            <v>1719124</v>
          </cell>
          <cell r="AB650">
            <v>2349052</v>
          </cell>
          <cell r="AC650">
            <v>2989979</v>
          </cell>
          <cell r="AD650">
            <v>3637251</v>
          </cell>
          <cell r="AE650">
            <v>4290764</v>
          </cell>
          <cell r="AF650">
            <v>4959743</v>
          </cell>
          <cell r="AG650">
            <v>5591292</v>
          </cell>
          <cell r="AH650">
            <v>6250974</v>
          </cell>
          <cell r="AI650">
            <v>6908113</v>
          </cell>
          <cell r="AJ650">
            <v>7570027</v>
          </cell>
          <cell r="AK650">
            <v>8158976</v>
          </cell>
          <cell r="AL650">
            <v>599689</v>
          </cell>
          <cell r="AM650">
            <v>1207087</v>
          </cell>
          <cell r="AN650">
            <v>1841432</v>
          </cell>
          <cell r="AO650">
            <v>2465093</v>
          </cell>
          <cell r="AP650">
            <v>3069432</v>
          </cell>
          <cell r="AQ650">
            <v>3665881</v>
          </cell>
          <cell r="AR650">
            <v>4230549</v>
          </cell>
          <cell r="AS650">
            <v>4801399</v>
          </cell>
          <cell r="AT650">
            <v>5338541</v>
          </cell>
          <cell r="AU650">
            <v>5950819</v>
          </cell>
          <cell r="AV650">
            <v>6753294</v>
          </cell>
          <cell r="AW650">
            <v>8233882</v>
          </cell>
          <cell r="AX650">
            <v>10556872</v>
          </cell>
          <cell r="AY650">
            <v>14851224</v>
          </cell>
          <cell r="AZ650">
            <v>20092985</v>
          </cell>
          <cell r="BA650">
            <v>21145734</v>
          </cell>
          <cell r="BB650">
            <v>21145734</v>
          </cell>
        </row>
        <row r="651">
          <cell r="A651" t="str">
            <v>STAPLES</v>
          </cell>
          <cell r="B651">
            <v>1221048</v>
          </cell>
          <cell r="C651">
            <v>2354295</v>
          </cell>
          <cell r="D651">
            <v>3425499</v>
          </cell>
          <cell r="E651">
            <v>4432831</v>
          </cell>
          <cell r="F651">
            <v>5473788</v>
          </cell>
          <cell r="G651">
            <v>6708658</v>
          </cell>
          <cell r="H651">
            <v>7675497</v>
          </cell>
          <cell r="I651">
            <v>8797918</v>
          </cell>
          <cell r="J651">
            <v>9938368</v>
          </cell>
          <cell r="K651">
            <v>11122633</v>
          </cell>
          <cell r="L651">
            <v>12359765</v>
          </cell>
          <cell r="M651">
            <v>13600817</v>
          </cell>
          <cell r="N651">
            <v>1062779</v>
          </cell>
          <cell r="O651">
            <v>2679939</v>
          </cell>
          <cell r="P651">
            <v>3971867</v>
          </cell>
          <cell r="Q651">
            <v>5238457</v>
          </cell>
          <cell r="R651">
            <v>6549053</v>
          </cell>
          <cell r="S651">
            <v>8218725</v>
          </cell>
          <cell r="T651">
            <v>9465924</v>
          </cell>
          <cell r="U651">
            <v>10678269</v>
          </cell>
          <cell r="V651">
            <v>11990552</v>
          </cell>
          <cell r="W651">
            <v>13240150</v>
          </cell>
          <cell r="X651">
            <v>14665118</v>
          </cell>
          <cell r="Y651">
            <v>16600241</v>
          </cell>
          <cell r="Z651">
            <v>1432119</v>
          </cell>
          <cell r="AA651">
            <v>2510502</v>
          </cell>
          <cell r="AB651">
            <v>3502988</v>
          </cell>
          <cell r="AC651">
            <v>4380022</v>
          </cell>
          <cell r="AD651">
            <v>5423081</v>
          </cell>
          <cell r="AE651">
            <v>6639478</v>
          </cell>
          <cell r="AF651">
            <v>7771087</v>
          </cell>
          <cell r="AG651">
            <v>8999922</v>
          </cell>
          <cell r="AH651">
            <v>10060072</v>
          </cell>
          <cell r="AI651">
            <v>11167498</v>
          </cell>
          <cell r="AJ651">
            <v>12230936</v>
          </cell>
          <cell r="AK651">
            <v>13144934</v>
          </cell>
          <cell r="AL651">
            <v>870782</v>
          </cell>
          <cell r="AM651">
            <v>1692969</v>
          </cell>
          <cell r="AN651">
            <v>2500255</v>
          </cell>
          <cell r="AO651">
            <v>3284101</v>
          </cell>
          <cell r="AP651">
            <v>4240075</v>
          </cell>
          <cell r="AQ651">
            <v>5392684</v>
          </cell>
          <cell r="AR651">
            <v>6462230</v>
          </cell>
          <cell r="AS651">
            <v>7485392</v>
          </cell>
          <cell r="AT651">
            <v>8526302</v>
          </cell>
          <cell r="AU651">
            <v>9886359</v>
          </cell>
          <cell r="AV651">
            <v>11727179</v>
          </cell>
          <cell r="AW651">
            <v>14075100</v>
          </cell>
          <cell r="AX651">
            <v>17919076</v>
          </cell>
          <cell r="AY651">
            <v>23491836</v>
          </cell>
          <cell r="AZ651">
            <v>35010212</v>
          </cell>
          <cell r="BA651">
            <v>37164820</v>
          </cell>
          <cell r="BB651">
            <v>37164820</v>
          </cell>
        </row>
        <row r="652">
          <cell r="A652" t="str">
            <v>STATER BROS</v>
          </cell>
          <cell r="B652">
            <v>479394</v>
          </cell>
          <cell r="C652">
            <v>948048</v>
          </cell>
          <cell r="D652">
            <v>1357188</v>
          </cell>
          <cell r="E652">
            <v>1770584</v>
          </cell>
          <cell r="F652">
            <v>2185039</v>
          </cell>
          <cell r="G652">
            <v>2775931</v>
          </cell>
          <cell r="H652">
            <v>3196512</v>
          </cell>
          <cell r="I652">
            <v>3605887</v>
          </cell>
          <cell r="J652">
            <v>4020324</v>
          </cell>
          <cell r="K652">
            <v>4452609</v>
          </cell>
          <cell r="L652">
            <v>4898476</v>
          </cell>
          <cell r="M652">
            <v>5349557</v>
          </cell>
          <cell r="N652">
            <v>425397</v>
          </cell>
          <cell r="O652">
            <v>988671</v>
          </cell>
          <cell r="P652">
            <v>1434517</v>
          </cell>
          <cell r="Q652">
            <v>1886186</v>
          </cell>
          <cell r="R652">
            <v>2371055</v>
          </cell>
          <cell r="S652">
            <v>3190189</v>
          </cell>
          <cell r="T652">
            <v>3863730</v>
          </cell>
          <cell r="U652">
            <v>4342615</v>
          </cell>
          <cell r="V652">
            <v>4853058</v>
          </cell>
          <cell r="W652">
            <v>5363247</v>
          </cell>
          <cell r="X652">
            <v>6044324</v>
          </cell>
          <cell r="Y652">
            <v>7001358</v>
          </cell>
          <cell r="Z652">
            <v>696487</v>
          </cell>
          <cell r="AA652">
            <v>1176158</v>
          </cell>
          <cell r="AB652">
            <v>1662151</v>
          </cell>
          <cell r="AC652">
            <v>2132250</v>
          </cell>
          <cell r="AD652">
            <v>2639536</v>
          </cell>
          <cell r="AE652">
            <v>3146148</v>
          </cell>
          <cell r="AF652">
            <v>3655740</v>
          </cell>
          <cell r="AG652">
            <v>4184319</v>
          </cell>
          <cell r="AH652">
            <v>4681686</v>
          </cell>
          <cell r="AI652">
            <v>5166354</v>
          </cell>
          <cell r="AJ652">
            <v>5626067</v>
          </cell>
          <cell r="AK652">
            <v>6043352</v>
          </cell>
          <cell r="AL652">
            <v>403665</v>
          </cell>
          <cell r="AM652">
            <v>819508</v>
          </cell>
          <cell r="AN652">
            <v>1235121</v>
          </cell>
          <cell r="AO652">
            <v>1662229</v>
          </cell>
          <cell r="AP652">
            <v>2088503</v>
          </cell>
          <cell r="AQ652">
            <v>2519612</v>
          </cell>
          <cell r="AR652">
            <v>2920350</v>
          </cell>
          <cell r="AS652">
            <v>3321603</v>
          </cell>
          <cell r="AT652">
            <v>3723097</v>
          </cell>
          <cell r="AU652">
            <v>4137694</v>
          </cell>
          <cell r="AV652">
            <v>4589682</v>
          </cell>
          <cell r="AW652">
            <v>5273000</v>
          </cell>
          <cell r="AX652">
            <v>6427794</v>
          </cell>
          <cell r="AY652">
            <v>8918390</v>
          </cell>
          <cell r="AZ652">
            <v>13031064</v>
          </cell>
          <cell r="BA652">
            <v>13524869</v>
          </cell>
          <cell r="BB652">
            <v>13524869</v>
          </cell>
        </row>
        <row r="653">
          <cell r="A653" t="str">
            <v>SVU CORPORATE 30</v>
          </cell>
          <cell r="B653">
            <v>282383</v>
          </cell>
          <cell r="C653">
            <v>559205</v>
          </cell>
          <cell r="D653">
            <v>814089</v>
          </cell>
          <cell r="E653">
            <v>1062858</v>
          </cell>
          <cell r="F653">
            <v>1339233</v>
          </cell>
          <cell r="G653">
            <v>1721066</v>
          </cell>
          <cell r="H653">
            <v>2023305</v>
          </cell>
          <cell r="I653">
            <v>2307971</v>
          </cell>
          <cell r="J653">
            <v>2591886</v>
          </cell>
          <cell r="K653">
            <v>2901919</v>
          </cell>
          <cell r="L653">
            <v>3196308</v>
          </cell>
          <cell r="M653">
            <v>3484004</v>
          </cell>
          <cell r="N653">
            <v>293298</v>
          </cell>
          <cell r="O653">
            <v>679664</v>
          </cell>
          <cell r="P653">
            <v>980912</v>
          </cell>
          <cell r="Q653">
            <v>1282822</v>
          </cell>
          <cell r="R653">
            <v>1621207</v>
          </cell>
          <cell r="S653">
            <v>2150779</v>
          </cell>
          <cell r="T653">
            <v>2582941</v>
          </cell>
          <cell r="U653">
            <v>2940549</v>
          </cell>
          <cell r="V653">
            <v>3344640</v>
          </cell>
          <cell r="W653">
            <v>3758852</v>
          </cell>
          <cell r="X653">
            <v>4246626</v>
          </cell>
          <cell r="Y653">
            <v>4830105</v>
          </cell>
          <cell r="Z653">
            <v>438503</v>
          </cell>
          <cell r="AA653">
            <v>777461</v>
          </cell>
          <cell r="AB653">
            <v>1101857</v>
          </cell>
          <cell r="AC653">
            <v>1425763</v>
          </cell>
          <cell r="AD653">
            <v>1758108</v>
          </cell>
          <cell r="AE653">
            <v>2102911</v>
          </cell>
          <cell r="AF653">
            <v>2449580</v>
          </cell>
          <cell r="AG653">
            <v>2788042</v>
          </cell>
          <cell r="AH653">
            <v>3146031</v>
          </cell>
          <cell r="AI653">
            <v>3474866</v>
          </cell>
          <cell r="AJ653">
            <v>3787302</v>
          </cell>
          <cell r="AK653">
            <v>4106492</v>
          </cell>
          <cell r="AL653">
            <v>333253</v>
          </cell>
          <cell r="AM653">
            <v>657059</v>
          </cell>
          <cell r="AN653">
            <v>979593</v>
          </cell>
          <cell r="AO653">
            <v>1294429</v>
          </cell>
          <cell r="AP653">
            <v>1747413</v>
          </cell>
          <cell r="AQ653">
            <v>2085390</v>
          </cell>
          <cell r="AR653">
            <v>2433277</v>
          </cell>
          <cell r="AS653">
            <v>2782825</v>
          </cell>
          <cell r="AT653">
            <v>3167711</v>
          </cell>
          <cell r="AU653">
            <v>3594337</v>
          </cell>
          <cell r="AV653">
            <v>4066320</v>
          </cell>
          <cell r="AW653">
            <v>4771231</v>
          </cell>
          <cell r="AX653">
            <v>6378774</v>
          </cell>
          <cell r="AY653">
            <v>9138363</v>
          </cell>
          <cell r="AZ653">
            <v>12874079</v>
          </cell>
          <cell r="BA653">
            <v>13374692</v>
          </cell>
          <cell r="BB653">
            <v>13374692</v>
          </cell>
        </row>
        <row r="654">
          <cell r="A654" t="str">
            <v>SVU INDEPENDENT 10/25</v>
          </cell>
          <cell r="B654">
            <v>81455</v>
          </cell>
          <cell r="C654">
            <v>149777</v>
          </cell>
          <cell r="D654">
            <v>213909</v>
          </cell>
          <cell r="E654">
            <v>277937</v>
          </cell>
          <cell r="F654">
            <v>342680</v>
          </cell>
          <cell r="G654">
            <v>431963</v>
          </cell>
          <cell r="H654">
            <v>499704</v>
          </cell>
          <cell r="I654">
            <v>555436</v>
          </cell>
          <cell r="J654">
            <v>653841</v>
          </cell>
          <cell r="K654">
            <v>759744</v>
          </cell>
          <cell r="L654">
            <v>824302</v>
          </cell>
          <cell r="M654">
            <v>895367</v>
          </cell>
          <cell r="N654">
            <v>67360</v>
          </cell>
          <cell r="O654">
            <v>158013</v>
          </cell>
          <cell r="P654">
            <v>230601</v>
          </cell>
          <cell r="Q654">
            <v>303126</v>
          </cell>
          <cell r="R654">
            <v>382955</v>
          </cell>
          <cell r="S654">
            <v>508197</v>
          </cell>
          <cell r="T654">
            <v>595168</v>
          </cell>
          <cell r="U654">
            <v>693619</v>
          </cell>
          <cell r="V654">
            <v>793259</v>
          </cell>
          <cell r="W654">
            <v>893251</v>
          </cell>
          <cell r="X654">
            <v>1004446</v>
          </cell>
          <cell r="Y654">
            <v>1173633</v>
          </cell>
          <cell r="Z654">
            <v>120487</v>
          </cell>
          <cell r="AA654">
            <v>208783</v>
          </cell>
          <cell r="AB654">
            <v>294406</v>
          </cell>
          <cell r="AC654">
            <v>376476</v>
          </cell>
          <cell r="AD654">
            <v>459744</v>
          </cell>
          <cell r="AE654">
            <v>545521</v>
          </cell>
          <cell r="AF654">
            <v>634079</v>
          </cell>
          <cell r="AG654">
            <v>722943</v>
          </cell>
          <cell r="AH654">
            <v>812459</v>
          </cell>
          <cell r="AI654">
            <v>899673</v>
          </cell>
          <cell r="AJ654">
            <v>980493</v>
          </cell>
          <cell r="AK654">
            <v>1060212</v>
          </cell>
          <cell r="AL654">
            <v>90328</v>
          </cell>
          <cell r="AM654">
            <v>176003</v>
          </cell>
          <cell r="AN654">
            <v>264058</v>
          </cell>
          <cell r="AO654">
            <v>353948</v>
          </cell>
          <cell r="AP654">
            <v>445177</v>
          </cell>
          <cell r="AQ654">
            <v>559530</v>
          </cell>
          <cell r="AR654">
            <v>662364</v>
          </cell>
          <cell r="AS654">
            <v>763082</v>
          </cell>
          <cell r="AT654">
            <v>866811</v>
          </cell>
          <cell r="AU654">
            <v>994009</v>
          </cell>
          <cell r="AV654">
            <v>1130136</v>
          </cell>
          <cell r="AW654">
            <v>1311888</v>
          </cell>
          <cell r="AX654">
            <v>1610236</v>
          </cell>
          <cell r="AY654">
            <v>2106171</v>
          </cell>
          <cell r="AZ654">
            <v>3107902</v>
          </cell>
          <cell r="BA654">
            <v>3581003</v>
          </cell>
          <cell r="BB654">
            <v>3581003</v>
          </cell>
        </row>
        <row r="655">
          <cell r="A655" t="str">
            <v>SVU INDEPENDENT 5/25</v>
          </cell>
          <cell r="B655">
            <v>152258</v>
          </cell>
          <cell r="C655">
            <v>278936</v>
          </cell>
          <cell r="D655">
            <v>395932</v>
          </cell>
          <cell r="E655">
            <v>513569</v>
          </cell>
          <cell r="F655">
            <v>631041</v>
          </cell>
          <cell r="G655">
            <v>801545</v>
          </cell>
          <cell r="H655">
            <v>925713</v>
          </cell>
          <cell r="I655">
            <v>1032627</v>
          </cell>
          <cell r="J655">
            <v>1231424</v>
          </cell>
          <cell r="K655">
            <v>1429735</v>
          </cell>
          <cell r="L655">
            <v>1547944</v>
          </cell>
          <cell r="M655">
            <v>1676247</v>
          </cell>
          <cell r="N655">
            <v>125584</v>
          </cell>
          <cell r="O655">
            <v>298331</v>
          </cell>
          <cell r="P655">
            <v>432314</v>
          </cell>
          <cell r="Q655">
            <v>568179</v>
          </cell>
          <cell r="R655">
            <v>719870</v>
          </cell>
          <cell r="S655">
            <v>963195</v>
          </cell>
          <cell r="T655">
            <v>1129219</v>
          </cell>
          <cell r="U655">
            <v>1319126</v>
          </cell>
          <cell r="V655">
            <v>1506900</v>
          </cell>
          <cell r="W655">
            <v>1696345</v>
          </cell>
          <cell r="X655">
            <v>1908256</v>
          </cell>
          <cell r="Y655">
            <v>2241249</v>
          </cell>
          <cell r="Z655">
            <v>234772</v>
          </cell>
          <cell r="AA655">
            <v>408545</v>
          </cell>
          <cell r="AB655">
            <v>575417</v>
          </cell>
          <cell r="AC655">
            <v>736819</v>
          </cell>
          <cell r="AD655">
            <v>900795</v>
          </cell>
          <cell r="AE655">
            <v>1068915</v>
          </cell>
          <cell r="AF655">
            <v>1241086</v>
          </cell>
          <cell r="AG655">
            <v>1415003</v>
          </cell>
          <cell r="AH655">
            <v>1583988</v>
          </cell>
          <cell r="AI655">
            <v>1755267</v>
          </cell>
          <cell r="AJ655">
            <v>1913749</v>
          </cell>
          <cell r="AK655">
            <v>2071212</v>
          </cell>
          <cell r="AL655">
            <v>191184</v>
          </cell>
          <cell r="AM655">
            <v>369753</v>
          </cell>
          <cell r="AN655">
            <v>556221</v>
          </cell>
          <cell r="AO655">
            <v>747752</v>
          </cell>
          <cell r="AP655">
            <v>963199</v>
          </cell>
          <cell r="AQ655">
            <v>1268062</v>
          </cell>
          <cell r="AR655">
            <v>1522951</v>
          </cell>
          <cell r="AS655">
            <v>1776052</v>
          </cell>
          <cell r="AT655">
            <v>2019030</v>
          </cell>
          <cell r="AU655">
            <v>2316648</v>
          </cell>
          <cell r="AV655">
            <v>2631532</v>
          </cell>
          <cell r="AW655">
            <v>3047643</v>
          </cell>
          <cell r="AX655">
            <v>3678587</v>
          </cell>
          <cell r="AY655">
            <v>4674561</v>
          </cell>
          <cell r="AZ655">
            <v>6661559</v>
          </cell>
          <cell r="BA655">
            <v>7480627</v>
          </cell>
          <cell r="BB655">
            <v>7480627</v>
          </cell>
        </row>
        <row r="656">
          <cell r="A656" t="str">
            <v>TOYS R US</v>
          </cell>
          <cell r="B656">
            <v>122447</v>
          </cell>
          <cell r="C656">
            <v>221461</v>
          </cell>
          <cell r="D656">
            <v>307349</v>
          </cell>
          <cell r="E656">
            <v>397251</v>
          </cell>
          <cell r="F656">
            <v>491111</v>
          </cell>
          <cell r="G656">
            <v>668216</v>
          </cell>
          <cell r="H656">
            <v>773248</v>
          </cell>
          <cell r="I656">
            <v>866003</v>
          </cell>
          <cell r="J656">
            <v>951342</v>
          </cell>
          <cell r="K656">
            <v>1044016</v>
          </cell>
          <cell r="L656">
            <v>1148756</v>
          </cell>
          <cell r="M656">
            <v>1241552</v>
          </cell>
          <cell r="N656">
            <v>94731</v>
          </cell>
          <cell r="O656">
            <v>292317</v>
          </cell>
          <cell r="P656">
            <v>381014</v>
          </cell>
          <cell r="Q656">
            <v>476040</v>
          </cell>
          <cell r="R656">
            <v>572534</v>
          </cell>
          <cell r="S656">
            <v>796913</v>
          </cell>
          <cell r="T656">
            <v>907357</v>
          </cell>
          <cell r="U656">
            <v>1053835</v>
          </cell>
          <cell r="V656">
            <v>1178277</v>
          </cell>
          <cell r="W656">
            <v>1301382</v>
          </cell>
          <cell r="X656">
            <v>1453579</v>
          </cell>
          <cell r="Y656">
            <v>1756468</v>
          </cell>
          <cell r="Z656">
            <v>181501</v>
          </cell>
          <cell r="AA656">
            <v>294412</v>
          </cell>
          <cell r="AB656">
            <v>400469</v>
          </cell>
          <cell r="AC656">
            <v>503640</v>
          </cell>
          <cell r="AD656">
            <v>611036</v>
          </cell>
          <cell r="AE656">
            <v>715899</v>
          </cell>
          <cell r="AF656">
            <v>819850</v>
          </cell>
          <cell r="AG656">
            <v>930165</v>
          </cell>
          <cell r="AH656">
            <v>1034021</v>
          </cell>
          <cell r="AI656">
            <v>1134265</v>
          </cell>
          <cell r="AJ656">
            <v>1233355</v>
          </cell>
          <cell r="AK656">
            <v>1330325</v>
          </cell>
          <cell r="AL656">
            <v>96713</v>
          </cell>
          <cell r="AM656">
            <v>193495</v>
          </cell>
          <cell r="AN656">
            <v>286186</v>
          </cell>
          <cell r="AO656">
            <v>386547</v>
          </cell>
          <cell r="AP656">
            <v>481129</v>
          </cell>
          <cell r="AQ656">
            <v>587361</v>
          </cell>
          <cell r="AR656">
            <v>690983</v>
          </cell>
          <cell r="AS656">
            <v>806053</v>
          </cell>
          <cell r="AT656">
            <v>926811</v>
          </cell>
          <cell r="AU656">
            <v>1108987</v>
          </cell>
          <cell r="AV656">
            <v>1431748</v>
          </cell>
          <cell r="AW656">
            <v>1839085</v>
          </cell>
          <cell r="AX656">
            <v>2540547</v>
          </cell>
          <cell r="AY656">
            <v>3555951</v>
          </cell>
          <cell r="AZ656">
            <v>5612866</v>
          </cell>
          <cell r="BA656">
            <v>5930129</v>
          </cell>
          <cell r="BB656">
            <v>5930129</v>
          </cell>
        </row>
        <row r="657">
          <cell r="A657" t="str">
            <v>UG MERCHANTS</v>
          </cell>
          <cell r="B657">
            <v>188595</v>
          </cell>
          <cell r="C657">
            <v>347867</v>
          </cell>
          <cell r="D657">
            <v>497283</v>
          </cell>
          <cell r="E657">
            <v>644734</v>
          </cell>
          <cell r="F657">
            <v>793923</v>
          </cell>
          <cell r="G657">
            <v>993239</v>
          </cell>
          <cell r="H657">
            <v>1146523</v>
          </cell>
          <cell r="I657">
            <v>1267119</v>
          </cell>
          <cell r="J657">
            <v>1471535</v>
          </cell>
          <cell r="K657">
            <v>1715055</v>
          </cell>
          <cell r="L657">
            <v>1863206</v>
          </cell>
          <cell r="M657">
            <v>2027975</v>
          </cell>
          <cell r="N657">
            <v>154621</v>
          </cell>
          <cell r="O657">
            <v>359690</v>
          </cell>
          <cell r="P657">
            <v>527934</v>
          </cell>
          <cell r="Q657">
            <v>692280</v>
          </cell>
          <cell r="R657">
            <v>873460</v>
          </cell>
          <cell r="S657">
            <v>1152522</v>
          </cell>
          <cell r="T657">
            <v>1348285</v>
          </cell>
          <cell r="U657">
            <v>1569713</v>
          </cell>
          <cell r="V657">
            <v>1797550</v>
          </cell>
          <cell r="W657">
            <v>2026503</v>
          </cell>
          <cell r="X657">
            <v>2282743</v>
          </cell>
          <cell r="Y657">
            <v>2665616</v>
          </cell>
          <cell r="Z657">
            <v>271066</v>
          </cell>
          <cell r="AA657">
            <v>471547</v>
          </cell>
          <cell r="AB657">
            <v>666842</v>
          </cell>
          <cell r="AC657">
            <v>854267</v>
          </cell>
          <cell r="AD657">
            <v>1041205</v>
          </cell>
          <cell r="AE657">
            <v>1236377</v>
          </cell>
          <cell r="AF657">
            <v>1439937</v>
          </cell>
          <cell r="AG657">
            <v>1643386</v>
          </cell>
          <cell r="AH657">
            <v>1856865</v>
          </cell>
          <cell r="AI657">
            <v>2053943</v>
          </cell>
          <cell r="AJ657">
            <v>2235948</v>
          </cell>
          <cell r="AK657">
            <v>2415023</v>
          </cell>
          <cell r="AL657">
            <v>194534</v>
          </cell>
          <cell r="AM657">
            <v>381429</v>
          </cell>
          <cell r="AN657">
            <v>574180</v>
          </cell>
          <cell r="AO657">
            <v>772995</v>
          </cell>
          <cell r="AP657">
            <v>971949</v>
          </cell>
          <cell r="AQ657">
            <v>1205414</v>
          </cell>
          <cell r="AR657">
            <v>1420255</v>
          </cell>
          <cell r="AS657">
            <v>1626729</v>
          </cell>
          <cell r="AT657">
            <v>1832010</v>
          </cell>
          <cell r="AU657">
            <v>2070995</v>
          </cell>
          <cell r="AV657">
            <v>2322527</v>
          </cell>
          <cell r="AW657">
            <v>2673419</v>
          </cell>
          <cell r="AX657">
            <v>3263843</v>
          </cell>
          <cell r="AY657">
            <v>4208932</v>
          </cell>
          <cell r="AZ657">
            <v>6081604</v>
          </cell>
          <cell r="BA657">
            <v>6636290</v>
          </cell>
          <cell r="BB657">
            <v>6636290</v>
          </cell>
        </row>
        <row r="658">
          <cell r="A658" t="str">
            <v>WAKEFERN</v>
          </cell>
          <cell r="B658">
            <v>590791</v>
          </cell>
          <cell r="C658">
            <v>1164828</v>
          </cell>
          <cell r="D658">
            <v>1687767</v>
          </cell>
          <cell r="E658">
            <v>2187032</v>
          </cell>
          <cell r="F658">
            <v>2654855</v>
          </cell>
          <cell r="G658">
            <v>3239215</v>
          </cell>
          <cell r="H658">
            <v>3704761</v>
          </cell>
          <cell r="I658">
            <v>4157282</v>
          </cell>
          <cell r="J658">
            <v>4597998</v>
          </cell>
          <cell r="K658">
            <v>5093006</v>
          </cell>
          <cell r="L658">
            <v>5596103</v>
          </cell>
          <cell r="M658">
            <v>6058502</v>
          </cell>
          <cell r="N658">
            <v>468901</v>
          </cell>
          <cell r="O658">
            <v>1217344</v>
          </cell>
          <cell r="P658">
            <v>1651177</v>
          </cell>
          <cell r="Q658">
            <v>2150074</v>
          </cell>
          <cell r="R658">
            <v>2629256</v>
          </cell>
          <cell r="S658">
            <v>3489962</v>
          </cell>
          <cell r="T658">
            <v>4167211</v>
          </cell>
          <cell r="U658">
            <v>4680262</v>
          </cell>
          <cell r="V658">
            <v>5195788</v>
          </cell>
          <cell r="W658">
            <v>5743995</v>
          </cell>
          <cell r="X658">
            <v>6514477</v>
          </cell>
          <cell r="Y658">
            <v>7673137</v>
          </cell>
          <cell r="Z658">
            <v>939282</v>
          </cell>
          <cell r="AA658">
            <v>1993483</v>
          </cell>
          <cell r="AB658">
            <v>2509038</v>
          </cell>
          <cell r="AC658">
            <v>3262652</v>
          </cell>
          <cell r="AD658">
            <v>3790016</v>
          </cell>
          <cell r="AE658">
            <v>4291766</v>
          </cell>
          <cell r="AF658">
            <v>4788332</v>
          </cell>
          <cell r="AG658">
            <v>5290373</v>
          </cell>
          <cell r="AH658">
            <v>5811821</v>
          </cell>
          <cell r="AI658">
            <v>6324251</v>
          </cell>
          <cell r="AJ658">
            <v>6789055</v>
          </cell>
          <cell r="AK658">
            <v>7247982</v>
          </cell>
          <cell r="AL658">
            <v>488441</v>
          </cell>
          <cell r="AM658">
            <v>1007439</v>
          </cell>
          <cell r="AN658">
            <v>1517614</v>
          </cell>
          <cell r="AO658">
            <v>2182909</v>
          </cell>
          <cell r="AP658">
            <v>2800498</v>
          </cell>
          <cell r="AQ658">
            <v>3353960</v>
          </cell>
          <cell r="AR658">
            <v>3900002</v>
          </cell>
          <cell r="AS658">
            <v>4463628</v>
          </cell>
          <cell r="AT658">
            <v>5326282</v>
          </cell>
          <cell r="AU658">
            <v>6078931</v>
          </cell>
          <cell r="AV658">
            <v>6819931</v>
          </cell>
          <cell r="AW658">
            <v>8012212</v>
          </cell>
          <cell r="AX658">
            <v>9877133</v>
          </cell>
          <cell r="AY658">
            <v>13972355</v>
          </cell>
          <cell r="AZ658">
            <v>20154750</v>
          </cell>
          <cell r="BA658">
            <v>20974249</v>
          </cell>
          <cell r="BB658">
            <v>20974249</v>
          </cell>
        </row>
        <row r="659">
          <cell r="A659" t="str">
            <v>WAWA</v>
          </cell>
          <cell r="B659">
            <v>1012538</v>
          </cell>
          <cell r="C659">
            <v>1945276</v>
          </cell>
          <cell r="D659">
            <v>2785676</v>
          </cell>
          <cell r="E659">
            <v>3589597</v>
          </cell>
          <cell r="F659">
            <v>4438426</v>
          </cell>
          <cell r="G659">
            <v>5394182</v>
          </cell>
          <cell r="H659">
            <v>6200520</v>
          </cell>
          <cell r="I659">
            <v>6994140</v>
          </cell>
          <cell r="J659">
            <v>7804131</v>
          </cell>
          <cell r="K659">
            <v>8622804</v>
          </cell>
          <cell r="L659">
            <v>9432078</v>
          </cell>
          <cell r="M659">
            <v>10283150</v>
          </cell>
          <cell r="N659">
            <v>812455</v>
          </cell>
          <cell r="O659">
            <v>1735939</v>
          </cell>
          <cell r="P659">
            <v>2547203</v>
          </cell>
          <cell r="Q659">
            <v>3412229</v>
          </cell>
          <cell r="R659">
            <v>4283939</v>
          </cell>
          <cell r="S659">
            <v>5396799</v>
          </cell>
          <cell r="T659">
            <v>6433320</v>
          </cell>
          <cell r="U659">
            <v>7323197</v>
          </cell>
          <cell r="V659">
            <v>8214179</v>
          </cell>
          <cell r="W659">
            <v>9144184</v>
          </cell>
          <cell r="X659">
            <v>10307357</v>
          </cell>
          <cell r="Y659">
            <v>11652394</v>
          </cell>
          <cell r="Z659">
            <v>1179810</v>
          </cell>
          <cell r="AA659">
            <v>2055359</v>
          </cell>
          <cell r="AB659">
            <v>2915487</v>
          </cell>
          <cell r="AC659">
            <v>3772622</v>
          </cell>
          <cell r="AD659">
            <v>4598715</v>
          </cell>
          <cell r="AE659">
            <v>5414667</v>
          </cell>
          <cell r="AF659">
            <v>6249179</v>
          </cell>
          <cell r="AG659">
            <v>7081509</v>
          </cell>
          <cell r="AH659">
            <v>7898988</v>
          </cell>
          <cell r="AI659">
            <v>8736601</v>
          </cell>
          <cell r="AJ659">
            <v>9546990</v>
          </cell>
          <cell r="AK659">
            <v>10327201</v>
          </cell>
          <cell r="AL659">
            <v>775743</v>
          </cell>
          <cell r="AM659">
            <v>1546929</v>
          </cell>
          <cell r="AN659">
            <v>2323235</v>
          </cell>
          <cell r="AO659">
            <v>3136987</v>
          </cell>
          <cell r="AP659">
            <v>3932839</v>
          </cell>
          <cell r="AQ659">
            <v>4759176</v>
          </cell>
          <cell r="AR659">
            <v>5559163</v>
          </cell>
          <cell r="AS659">
            <v>6310918</v>
          </cell>
          <cell r="AT659">
            <v>7095672</v>
          </cell>
          <cell r="AU659">
            <v>7865960</v>
          </cell>
          <cell r="AV659">
            <v>8670636</v>
          </cell>
          <cell r="AW659">
            <v>9715160</v>
          </cell>
          <cell r="AX659">
            <v>11228059</v>
          </cell>
          <cell r="AY659">
            <v>15010960</v>
          </cell>
          <cell r="AZ659">
            <v>24223399</v>
          </cell>
          <cell r="BA659">
            <v>25272287</v>
          </cell>
          <cell r="BB659">
            <v>25272287</v>
          </cell>
        </row>
        <row r="660">
          <cell r="A660" t="str">
            <v>WEGMANS</v>
          </cell>
          <cell r="B660">
            <v>448402</v>
          </cell>
          <cell r="C660">
            <v>874845</v>
          </cell>
          <cell r="D660">
            <v>1274672</v>
          </cell>
          <cell r="E660">
            <v>1678885</v>
          </cell>
          <cell r="F660">
            <v>2130384</v>
          </cell>
          <cell r="G660">
            <v>2700510</v>
          </cell>
          <cell r="H660">
            <v>3154318</v>
          </cell>
          <cell r="I660">
            <v>3575055</v>
          </cell>
          <cell r="J660">
            <v>3979438</v>
          </cell>
          <cell r="K660">
            <v>4408067</v>
          </cell>
          <cell r="L660">
            <v>4821909</v>
          </cell>
          <cell r="M660">
            <v>5227804</v>
          </cell>
          <cell r="N660">
            <v>376521</v>
          </cell>
          <cell r="O660">
            <v>1028473</v>
          </cell>
          <cell r="P660">
            <v>1399034</v>
          </cell>
          <cell r="Q660">
            <v>1814171</v>
          </cell>
          <cell r="R660">
            <v>2258713</v>
          </cell>
          <cell r="S660">
            <v>2959200</v>
          </cell>
          <cell r="T660">
            <v>3490704</v>
          </cell>
          <cell r="U660">
            <v>3919249</v>
          </cell>
          <cell r="V660">
            <v>4371388</v>
          </cell>
          <cell r="W660">
            <v>4835950</v>
          </cell>
          <cell r="X660">
            <v>5431225</v>
          </cell>
          <cell r="Y660">
            <v>6335594</v>
          </cell>
          <cell r="Z660">
            <v>695331</v>
          </cell>
          <cell r="AA660">
            <v>1264879</v>
          </cell>
          <cell r="AB660">
            <v>1681555</v>
          </cell>
          <cell r="AC660">
            <v>2127343</v>
          </cell>
          <cell r="AD660">
            <v>2571376</v>
          </cell>
          <cell r="AE660">
            <v>3005590</v>
          </cell>
          <cell r="AF660">
            <v>3452408</v>
          </cell>
          <cell r="AG660">
            <v>3934526</v>
          </cell>
          <cell r="AH660">
            <v>4393884</v>
          </cell>
          <cell r="AI660">
            <v>4836124</v>
          </cell>
          <cell r="AJ660">
            <v>5255347</v>
          </cell>
          <cell r="AK660">
            <v>5672012</v>
          </cell>
          <cell r="AL660">
            <v>408459</v>
          </cell>
          <cell r="AM660">
            <v>815709</v>
          </cell>
          <cell r="AN660">
            <v>1227862</v>
          </cell>
          <cell r="AO660">
            <v>1647271</v>
          </cell>
          <cell r="AP660">
            <v>2059848</v>
          </cell>
          <cell r="AQ660">
            <v>2475097</v>
          </cell>
          <cell r="AR660">
            <v>2890613</v>
          </cell>
          <cell r="AS660">
            <v>3309480</v>
          </cell>
          <cell r="AT660">
            <v>3807841</v>
          </cell>
          <cell r="AU660">
            <v>4405156</v>
          </cell>
          <cell r="AV660">
            <v>5066231</v>
          </cell>
          <cell r="AW660">
            <v>6224485</v>
          </cell>
          <cell r="AX660">
            <v>8296503</v>
          </cell>
          <cell r="AY660">
            <v>12971493</v>
          </cell>
          <cell r="AZ660">
            <v>18942256</v>
          </cell>
          <cell r="BA660">
            <v>19752339</v>
          </cell>
          <cell r="BB660">
            <v>19752339</v>
          </cell>
        </row>
        <row r="661">
          <cell r="A661" t="str">
            <v>WEIS MARKET</v>
          </cell>
          <cell r="B661">
            <v>182683</v>
          </cell>
          <cell r="C661">
            <v>340387</v>
          </cell>
          <cell r="D661">
            <v>489127</v>
          </cell>
          <cell r="E661">
            <v>632730</v>
          </cell>
          <cell r="F661">
            <v>786062</v>
          </cell>
          <cell r="G661">
            <v>958296</v>
          </cell>
          <cell r="H661">
            <v>1153827</v>
          </cell>
          <cell r="I661">
            <v>1301697</v>
          </cell>
          <cell r="J661">
            <v>1455419</v>
          </cell>
          <cell r="K661">
            <v>1618489</v>
          </cell>
          <cell r="L661">
            <v>1783936</v>
          </cell>
          <cell r="M661">
            <v>2009048</v>
          </cell>
          <cell r="N661">
            <v>158681</v>
          </cell>
          <cell r="O661">
            <v>326930</v>
          </cell>
          <cell r="P661">
            <v>483726</v>
          </cell>
          <cell r="Q661">
            <v>643631</v>
          </cell>
          <cell r="R661">
            <v>821258</v>
          </cell>
          <cell r="S661">
            <v>1031288</v>
          </cell>
          <cell r="T661">
            <v>1274393</v>
          </cell>
          <cell r="U661">
            <v>1500217</v>
          </cell>
          <cell r="V661">
            <v>1704724</v>
          </cell>
          <cell r="W661">
            <v>1918610</v>
          </cell>
          <cell r="X661">
            <v>2184387</v>
          </cell>
          <cell r="Y661">
            <v>2559584</v>
          </cell>
          <cell r="Z661">
            <v>268500</v>
          </cell>
          <cell r="AA661">
            <v>461501</v>
          </cell>
          <cell r="AB661">
            <v>649400</v>
          </cell>
          <cell r="AC661">
            <v>833106</v>
          </cell>
          <cell r="AD661">
            <v>1017186</v>
          </cell>
          <cell r="AE661">
            <v>1197838</v>
          </cell>
          <cell r="AF661">
            <v>1387145</v>
          </cell>
          <cell r="AG661">
            <v>1568962</v>
          </cell>
          <cell r="AH661">
            <v>1755162</v>
          </cell>
          <cell r="AI661">
            <v>1946796</v>
          </cell>
          <cell r="AJ661">
            <v>2129098</v>
          </cell>
          <cell r="AK661">
            <v>2309566</v>
          </cell>
          <cell r="AL661">
            <v>182446</v>
          </cell>
          <cell r="AM661">
            <v>366821</v>
          </cell>
          <cell r="AN661">
            <v>539776</v>
          </cell>
          <cell r="AO661">
            <v>719565</v>
          </cell>
          <cell r="AP661">
            <v>893700</v>
          </cell>
          <cell r="AQ661">
            <v>1063083</v>
          </cell>
          <cell r="AR661">
            <v>1235677</v>
          </cell>
          <cell r="AS661">
            <v>1406531</v>
          </cell>
          <cell r="AT661">
            <v>1601936</v>
          </cell>
          <cell r="AU661">
            <v>1802235</v>
          </cell>
          <cell r="AV661">
            <v>2033686</v>
          </cell>
          <cell r="AW661">
            <v>2347355</v>
          </cell>
          <cell r="AX661">
            <v>2836053</v>
          </cell>
          <cell r="AY661">
            <v>3762804</v>
          </cell>
          <cell r="AZ661">
            <v>5301553</v>
          </cell>
          <cell r="BA661">
            <v>6485530</v>
          </cell>
          <cell r="BB661">
            <v>6485530</v>
          </cell>
        </row>
        <row r="662">
          <cell r="A662" t="str">
            <v>UNITED</v>
          </cell>
          <cell r="B662">
            <v>96143</v>
          </cell>
          <cell r="C662">
            <v>183527</v>
          </cell>
          <cell r="D662">
            <v>264565</v>
          </cell>
          <cell r="E662">
            <v>345888</v>
          </cell>
          <cell r="F662">
            <v>433409</v>
          </cell>
          <cell r="G662">
            <v>524967</v>
          </cell>
          <cell r="H662">
            <v>635932</v>
          </cell>
          <cell r="I662">
            <v>716626</v>
          </cell>
          <cell r="J662">
            <v>798520</v>
          </cell>
          <cell r="K662">
            <v>881887</v>
          </cell>
          <cell r="L662">
            <v>970405</v>
          </cell>
          <cell r="M662">
            <v>1067144</v>
          </cell>
          <cell r="N662">
            <v>72482</v>
          </cell>
          <cell r="O662">
            <v>166655</v>
          </cell>
          <cell r="P662">
            <v>243750</v>
          </cell>
          <cell r="Q662">
            <v>325046</v>
          </cell>
          <cell r="R662">
            <v>415550</v>
          </cell>
          <cell r="S662">
            <v>504097</v>
          </cell>
          <cell r="T662">
            <v>647033</v>
          </cell>
          <cell r="U662">
            <v>752459</v>
          </cell>
          <cell r="V662">
            <v>864637</v>
          </cell>
          <cell r="W662">
            <v>1014552</v>
          </cell>
          <cell r="X662">
            <v>1135271</v>
          </cell>
          <cell r="Y662">
            <v>1267197</v>
          </cell>
          <cell r="Z662">
            <v>105592</v>
          </cell>
          <cell r="AA662">
            <v>184841</v>
          </cell>
          <cell r="AB662">
            <v>264443</v>
          </cell>
          <cell r="AC662">
            <v>344877</v>
          </cell>
          <cell r="AD662">
            <v>430059</v>
          </cell>
          <cell r="AE662">
            <v>521997</v>
          </cell>
          <cell r="AF662">
            <v>601949</v>
          </cell>
          <cell r="AG662">
            <v>681872</v>
          </cell>
          <cell r="AH662">
            <v>765488</v>
          </cell>
          <cell r="AI662">
            <v>850422</v>
          </cell>
          <cell r="AJ662">
            <v>926397</v>
          </cell>
          <cell r="AK662">
            <v>1007827</v>
          </cell>
          <cell r="AL662">
            <v>77884</v>
          </cell>
          <cell r="AM662">
            <v>157764</v>
          </cell>
          <cell r="AN662">
            <v>237320</v>
          </cell>
          <cell r="AO662">
            <v>321342</v>
          </cell>
          <cell r="AP662">
            <v>404774</v>
          </cell>
          <cell r="AQ662">
            <v>495837</v>
          </cell>
          <cell r="AR662">
            <v>573890</v>
          </cell>
          <cell r="AS662">
            <v>654624</v>
          </cell>
          <cell r="AT662">
            <v>738860</v>
          </cell>
          <cell r="AU662">
            <v>818934</v>
          </cell>
          <cell r="AV662">
            <v>901532</v>
          </cell>
          <cell r="AW662">
            <v>981753</v>
          </cell>
          <cell r="AX662">
            <v>1124151</v>
          </cell>
          <cell r="AY662">
            <v>1382157</v>
          </cell>
          <cell r="AZ662">
            <v>1959295</v>
          </cell>
          <cell r="BA662">
            <v>2536017</v>
          </cell>
          <cell r="BB662">
            <v>2536017</v>
          </cell>
        </row>
        <row r="665">
          <cell r="A665" t="str">
            <v>A &amp; P</v>
          </cell>
          <cell r="B665">
            <v>638739</v>
          </cell>
          <cell r="C665">
            <v>1265733</v>
          </cell>
          <cell r="D665">
            <v>1843784</v>
          </cell>
          <cell r="E665">
            <v>2406091</v>
          </cell>
          <cell r="F665">
            <v>2990273</v>
          </cell>
          <cell r="G665">
            <v>3718228</v>
          </cell>
          <cell r="H665">
            <v>4304655</v>
          </cell>
          <cell r="I665">
            <v>4879325</v>
          </cell>
          <cell r="J665">
            <v>5413636</v>
          </cell>
          <cell r="K665">
            <v>5971715</v>
          </cell>
          <cell r="L665">
            <v>6535754</v>
          </cell>
          <cell r="M665">
            <v>7093903</v>
          </cell>
          <cell r="N665">
            <v>7654460</v>
          </cell>
          <cell r="O665">
            <v>8512577</v>
          </cell>
          <cell r="P665">
            <v>9070361</v>
          </cell>
          <cell r="Q665">
            <v>9662140</v>
          </cell>
          <cell r="R665">
            <v>10301605</v>
          </cell>
          <cell r="S665">
            <v>11316060</v>
          </cell>
          <cell r="T665">
            <v>12146524</v>
          </cell>
          <cell r="U665">
            <v>12821953</v>
          </cell>
          <cell r="V665">
            <v>13554296</v>
          </cell>
          <cell r="W665">
            <v>14356938</v>
          </cell>
          <cell r="X665">
            <v>15442116</v>
          </cell>
          <cell r="Y665">
            <v>16984217</v>
          </cell>
          <cell r="Z665">
            <v>18316103</v>
          </cell>
          <cell r="AA665">
            <v>19165026</v>
          </cell>
          <cell r="AB665">
            <v>19797702</v>
          </cell>
          <cell r="AC665">
            <v>20418504</v>
          </cell>
          <cell r="AD665">
            <v>21060757</v>
          </cell>
          <cell r="AE665">
            <v>21707497</v>
          </cell>
          <cell r="AF665">
            <v>22373840</v>
          </cell>
          <cell r="AG665">
            <v>23029743</v>
          </cell>
          <cell r="AH665">
            <v>23697764</v>
          </cell>
          <cell r="AI665">
            <v>24325271</v>
          </cell>
          <cell r="AJ665">
            <v>24923081</v>
          </cell>
          <cell r="AK665">
            <v>25535078</v>
          </cell>
          <cell r="AL665">
            <v>26137575</v>
          </cell>
          <cell r="AM665">
            <v>26737447</v>
          </cell>
          <cell r="AN665">
            <v>27342063</v>
          </cell>
          <cell r="AO665">
            <v>27916863</v>
          </cell>
          <cell r="AP665">
            <v>28504827</v>
          </cell>
          <cell r="AQ665">
            <v>29088138</v>
          </cell>
          <cell r="AR665">
            <v>29655412</v>
          </cell>
          <cell r="AS665">
            <v>30225412</v>
          </cell>
          <cell r="AT665">
            <v>30877813</v>
          </cell>
          <cell r="AU665">
            <v>31565803</v>
          </cell>
          <cell r="AV665">
            <v>32341280</v>
          </cell>
          <cell r="AW665">
            <v>33431631</v>
          </cell>
          <cell r="AX665">
            <v>35210698</v>
          </cell>
          <cell r="AY665">
            <v>39572690</v>
          </cell>
          <cell r="AZ665">
            <v>45923118</v>
          </cell>
          <cell r="BA665">
            <v>46849548</v>
          </cell>
          <cell r="BB665">
            <v>46849548</v>
          </cell>
        </row>
        <row r="666">
          <cell r="A666" t="str">
            <v>AHOLD</v>
          </cell>
          <cell r="B666">
            <v>2274260</v>
          </cell>
          <cell r="C666">
            <v>4498554</v>
          </cell>
          <cell r="D666">
            <v>6479053</v>
          </cell>
          <cell r="E666">
            <v>8470293</v>
          </cell>
          <cell r="F666">
            <v>10562988</v>
          </cell>
          <cell r="G666">
            <v>13424009</v>
          </cell>
          <cell r="H666">
            <v>15578376</v>
          </cell>
          <cell r="I666">
            <v>17660064</v>
          </cell>
          <cell r="J666">
            <v>19866232</v>
          </cell>
          <cell r="K666">
            <v>22135612</v>
          </cell>
          <cell r="L666">
            <v>24480457</v>
          </cell>
          <cell r="M666">
            <v>26675295</v>
          </cell>
          <cell r="N666">
            <v>28885315</v>
          </cell>
          <cell r="O666">
            <v>32444312</v>
          </cell>
          <cell r="P666">
            <v>34639189</v>
          </cell>
          <cell r="Q666">
            <v>37015492</v>
          </cell>
          <cell r="R666">
            <v>39654902</v>
          </cell>
          <cell r="S666">
            <v>44049158</v>
          </cell>
          <cell r="T666">
            <v>47562497</v>
          </cell>
          <cell r="U666">
            <v>50384406</v>
          </cell>
          <cell r="V666">
            <v>53627258</v>
          </cell>
          <cell r="W666">
            <v>57055522</v>
          </cell>
          <cell r="X666">
            <v>61514148</v>
          </cell>
          <cell r="Y666">
            <v>67425650</v>
          </cell>
          <cell r="Z666">
            <v>72137721</v>
          </cell>
          <cell r="AA666">
            <v>75431835</v>
          </cell>
          <cell r="AB666">
            <v>78339907</v>
          </cell>
          <cell r="AC666">
            <v>81353111</v>
          </cell>
          <cell r="AD666">
            <v>84261527</v>
          </cell>
          <cell r="AE666">
            <v>87231573</v>
          </cell>
          <cell r="AF666">
            <v>90269623</v>
          </cell>
          <cell r="AG666">
            <v>93353560</v>
          </cell>
          <cell r="AH666">
            <v>96427265</v>
          </cell>
          <cell r="AI666">
            <v>99521576</v>
          </cell>
          <cell r="AJ666">
            <v>102432770</v>
          </cell>
          <cell r="AK666">
            <v>105306995</v>
          </cell>
          <cell r="AL666">
            <v>108213550</v>
          </cell>
          <cell r="AM666">
            <v>111129150</v>
          </cell>
          <cell r="AN666">
            <v>114000186</v>
          </cell>
          <cell r="AO666">
            <v>116905386</v>
          </cell>
          <cell r="AP666">
            <v>119796496</v>
          </cell>
          <cell r="AQ666">
            <v>122737750</v>
          </cell>
          <cell r="AR666">
            <v>125696353</v>
          </cell>
          <cell r="AS666">
            <v>128585622</v>
          </cell>
          <cell r="AT666">
            <v>131644780</v>
          </cell>
          <cell r="AU666">
            <v>134860525</v>
          </cell>
          <cell r="AV666">
            <v>138532992</v>
          </cell>
          <cell r="AW666">
            <v>144023891</v>
          </cell>
          <cell r="AX666">
            <v>153162340</v>
          </cell>
          <cell r="AY666">
            <v>173893857</v>
          </cell>
          <cell r="AZ666">
            <v>201900646</v>
          </cell>
          <cell r="BA666">
            <v>206574694</v>
          </cell>
          <cell r="BB666">
            <v>206574694</v>
          </cell>
        </row>
        <row r="667">
          <cell r="A667" t="str">
            <v>ALBERTSONS</v>
          </cell>
          <cell r="B667">
            <v>2217763</v>
          </cell>
          <cell r="C667">
            <v>4390593</v>
          </cell>
          <cell r="D667">
            <v>6330877</v>
          </cell>
          <cell r="E667">
            <v>8299554</v>
          </cell>
          <cell r="F667">
            <v>10408882</v>
          </cell>
          <cell r="G667">
            <v>13393498</v>
          </cell>
          <cell r="H667">
            <v>15604442</v>
          </cell>
          <cell r="I667">
            <v>17678295</v>
          </cell>
          <cell r="J667">
            <v>19880046</v>
          </cell>
          <cell r="K667">
            <v>22196284</v>
          </cell>
          <cell r="L667">
            <v>24594654</v>
          </cell>
          <cell r="M667">
            <v>26881595</v>
          </cell>
          <cell r="N667">
            <v>29181695</v>
          </cell>
          <cell r="O667">
            <v>32691815</v>
          </cell>
          <cell r="P667">
            <v>35036435</v>
          </cell>
          <cell r="Q667">
            <v>37526376</v>
          </cell>
          <cell r="R667">
            <v>40262548</v>
          </cell>
          <cell r="S667">
            <v>44697871</v>
          </cell>
          <cell r="T667">
            <v>48392846</v>
          </cell>
          <cell r="U667">
            <v>51325486</v>
          </cell>
          <cell r="V667">
            <v>54682696</v>
          </cell>
          <cell r="W667">
            <v>58118945</v>
          </cell>
          <cell r="X667">
            <v>62624254</v>
          </cell>
          <cell r="Y667">
            <v>68206319</v>
          </cell>
          <cell r="Z667">
            <v>72433031</v>
          </cell>
          <cell r="AA667">
            <v>75443547</v>
          </cell>
          <cell r="AB667">
            <v>78318272</v>
          </cell>
          <cell r="AC667">
            <v>81214837</v>
          </cell>
          <cell r="AD667">
            <v>84292276</v>
          </cell>
          <cell r="AE667">
            <v>87486375</v>
          </cell>
          <cell r="AF667">
            <v>90699044</v>
          </cell>
          <cell r="AG667">
            <v>93890398</v>
          </cell>
          <cell r="AH667">
            <v>97079117</v>
          </cell>
          <cell r="AI667">
            <v>100170636</v>
          </cell>
          <cell r="AJ667">
            <v>103178567</v>
          </cell>
          <cell r="AK667">
            <v>106048245</v>
          </cell>
          <cell r="AL667">
            <v>108900276</v>
          </cell>
          <cell r="AM667">
            <v>111767651</v>
          </cell>
          <cell r="AN667">
            <v>114637458</v>
          </cell>
          <cell r="AO667">
            <v>117483777</v>
          </cell>
          <cell r="AP667">
            <v>120322118</v>
          </cell>
          <cell r="AQ667">
            <v>123267525</v>
          </cell>
          <cell r="AR667">
            <v>126184313</v>
          </cell>
          <cell r="AS667">
            <v>129081102</v>
          </cell>
          <cell r="AT667">
            <v>131988630</v>
          </cell>
          <cell r="AU667">
            <v>135149583</v>
          </cell>
          <cell r="AV667">
            <v>138520344</v>
          </cell>
          <cell r="AW667">
            <v>143646037</v>
          </cell>
          <cell r="AX667">
            <v>152547445</v>
          </cell>
          <cell r="AY667">
            <v>173500094</v>
          </cell>
          <cell r="AZ667">
            <v>203911197</v>
          </cell>
          <cell r="BA667">
            <v>207774941</v>
          </cell>
          <cell r="BB667">
            <v>207774941</v>
          </cell>
        </row>
        <row r="668">
          <cell r="A668" t="str">
            <v>ALBERTSONS LLC</v>
          </cell>
          <cell r="B668">
            <v>328885</v>
          </cell>
          <cell r="C668">
            <v>644564</v>
          </cell>
          <cell r="D668">
            <v>935577</v>
          </cell>
          <cell r="E668">
            <v>1235199</v>
          </cell>
          <cell r="F668">
            <v>1537397</v>
          </cell>
          <cell r="G668">
            <v>2002312</v>
          </cell>
          <cell r="H668">
            <v>2324752</v>
          </cell>
          <cell r="I668">
            <v>2620964</v>
          </cell>
          <cell r="J668">
            <v>2926076</v>
          </cell>
          <cell r="K668">
            <v>3238048</v>
          </cell>
          <cell r="L668">
            <v>3567037</v>
          </cell>
          <cell r="M668">
            <v>3892695</v>
          </cell>
          <cell r="N668">
            <v>4205229</v>
          </cell>
          <cell r="O668">
            <v>4622448</v>
          </cell>
          <cell r="P668">
            <v>4960550</v>
          </cell>
          <cell r="Q668">
            <v>5304934</v>
          </cell>
          <cell r="R668">
            <v>5693752</v>
          </cell>
          <cell r="S668">
            <v>6374889</v>
          </cell>
          <cell r="T668">
            <v>6902024</v>
          </cell>
          <cell r="U668">
            <v>7340790</v>
          </cell>
          <cell r="V668">
            <v>7805368</v>
          </cell>
          <cell r="W668">
            <v>8300737</v>
          </cell>
          <cell r="X668">
            <v>8807317</v>
          </cell>
          <cell r="Y668">
            <v>9397080</v>
          </cell>
          <cell r="Z668">
            <v>9834456</v>
          </cell>
          <cell r="AA668">
            <v>10162548</v>
          </cell>
          <cell r="AB668">
            <v>10477751</v>
          </cell>
          <cell r="AC668">
            <v>10800356</v>
          </cell>
          <cell r="AD668">
            <v>11122083</v>
          </cell>
          <cell r="AE668">
            <v>11440397</v>
          </cell>
          <cell r="AF668">
            <v>11741683</v>
          </cell>
          <cell r="AG668">
            <v>12048373</v>
          </cell>
          <cell r="AH668">
            <v>12357620</v>
          </cell>
          <cell r="AI668">
            <v>12649736</v>
          </cell>
          <cell r="AJ668">
            <v>12947428</v>
          </cell>
          <cell r="AK668">
            <v>13228119</v>
          </cell>
          <cell r="AL668">
            <v>13522272</v>
          </cell>
          <cell r="AM668">
            <v>13816187</v>
          </cell>
          <cell r="AN668">
            <v>14123368</v>
          </cell>
          <cell r="AO668">
            <v>14428627</v>
          </cell>
          <cell r="AP668">
            <v>14735724</v>
          </cell>
          <cell r="AQ668">
            <v>15061333</v>
          </cell>
          <cell r="AR668">
            <v>15386035</v>
          </cell>
          <cell r="AS668">
            <v>15687449</v>
          </cell>
          <cell r="AT668">
            <v>16006440</v>
          </cell>
          <cell r="AU668">
            <v>16356388</v>
          </cell>
          <cell r="AV668">
            <v>16745544</v>
          </cell>
          <cell r="AW668">
            <v>17360729</v>
          </cell>
          <cell r="AX668">
            <v>18462665</v>
          </cell>
          <cell r="AY668">
            <v>21040326</v>
          </cell>
          <cell r="AZ668">
            <v>24571410</v>
          </cell>
          <cell r="BA668">
            <v>25042877</v>
          </cell>
          <cell r="BB668">
            <v>25042877</v>
          </cell>
        </row>
        <row r="669">
          <cell r="A669" t="str">
            <v>AUSTRALIAN POST</v>
          </cell>
          <cell r="B669">
            <v>272879</v>
          </cell>
          <cell r="C669">
            <v>560466</v>
          </cell>
          <cell r="D669">
            <v>791995</v>
          </cell>
          <cell r="E669">
            <v>1014009</v>
          </cell>
          <cell r="F669">
            <v>1254835</v>
          </cell>
          <cell r="G669">
            <v>1554660</v>
          </cell>
          <cell r="H669">
            <v>1899931</v>
          </cell>
          <cell r="I669">
            <v>2230314</v>
          </cell>
          <cell r="J669">
            <v>2588036</v>
          </cell>
          <cell r="K669">
            <v>2937266</v>
          </cell>
          <cell r="L669">
            <v>3337868</v>
          </cell>
          <cell r="M669">
            <v>3739792</v>
          </cell>
          <cell r="N669">
            <v>4132858</v>
          </cell>
          <cell r="O669">
            <v>4548947</v>
          </cell>
          <cell r="P669">
            <v>4956896</v>
          </cell>
          <cell r="Q669">
            <v>5344870</v>
          </cell>
          <cell r="R669">
            <v>5806474</v>
          </cell>
          <cell r="S669">
            <v>6298001</v>
          </cell>
          <cell r="T669">
            <v>7022903</v>
          </cell>
          <cell r="U669">
            <v>7551729</v>
          </cell>
          <cell r="V669">
            <v>7995429</v>
          </cell>
          <cell r="W669">
            <v>8498572</v>
          </cell>
          <cell r="X669">
            <v>8911869</v>
          </cell>
          <cell r="Y669">
            <v>9371253</v>
          </cell>
          <cell r="Z669">
            <v>9881288</v>
          </cell>
          <cell r="AA669">
            <v>10401824</v>
          </cell>
          <cell r="AB669">
            <v>10893697</v>
          </cell>
          <cell r="AC669">
            <v>11325721</v>
          </cell>
          <cell r="AD669">
            <v>11823606</v>
          </cell>
          <cell r="AE669">
            <v>12322401</v>
          </cell>
          <cell r="AF669">
            <v>12825611</v>
          </cell>
          <cell r="AG669">
            <v>13372877</v>
          </cell>
          <cell r="AH669">
            <v>13938126</v>
          </cell>
          <cell r="AI669">
            <v>14562153</v>
          </cell>
          <cell r="AJ669">
            <v>15228394</v>
          </cell>
          <cell r="AK669">
            <v>16062384</v>
          </cell>
          <cell r="AL669">
            <v>16733653</v>
          </cell>
          <cell r="AM669">
            <v>17323152</v>
          </cell>
          <cell r="AN669">
            <v>17994980</v>
          </cell>
          <cell r="AO669">
            <v>18570663</v>
          </cell>
          <cell r="AP669">
            <v>19139542</v>
          </cell>
          <cell r="AQ669">
            <v>19778408</v>
          </cell>
          <cell r="AR669">
            <v>20419201</v>
          </cell>
          <cell r="AS669">
            <v>21106711</v>
          </cell>
          <cell r="AT669">
            <v>21903705</v>
          </cell>
          <cell r="AU669">
            <v>22763575</v>
          </cell>
          <cell r="AV669">
            <v>23776732</v>
          </cell>
          <cell r="AW669">
            <v>25039672</v>
          </cell>
          <cell r="AX669">
            <v>26753304</v>
          </cell>
          <cell r="AY669">
            <v>29882669</v>
          </cell>
          <cell r="AZ669">
            <v>40605268</v>
          </cell>
          <cell r="BA669">
            <v>46668644</v>
          </cell>
          <cell r="BB669">
            <v>46668644</v>
          </cell>
        </row>
        <row r="670">
          <cell r="A670" t="str">
            <v>AWG - DIVISIONS</v>
          </cell>
          <cell r="B670">
            <v>176960</v>
          </cell>
          <cell r="C670">
            <v>334897</v>
          </cell>
          <cell r="D670">
            <v>461222</v>
          </cell>
          <cell r="E670">
            <v>586275</v>
          </cell>
          <cell r="F670">
            <v>725973</v>
          </cell>
          <cell r="G670">
            <v>898656</v>
          </cell>
          <cell r="H670">
            <v>1031992</v>
          </cell>
          <cell r="I670">
            <v>1135229</v>
          </cell>
          <cell r="J670">
            <v>1295857</v>
          </cell>
          <cell r="K670">
            <v>1495880</v>
          </cell>
          <cell r="L670">
            <v>1649128</v>
          </cell>
          <cell r="M670">
            <v>1791849</v>
          </cell>
          <cell r="N670">
            <v>1921247</v>
          </cell>
          <cell r="O670">
            <v>2088030</v>
          </cell>
          <cell r="P670">
            <v>2230419</v>
          </cell>
          <cell r="Q670">
            <v>2368610</v>
          </cell>
          <cell r="R670">
            <v>2517320</v>
          </cell>
          <cell r="S670">
            <v>2739306</v>
          </cell>
          <cell r="T670">
            <v>2901122</v>
          </cell>
          <cell r="U670">
            <v>3080595</v>
          </cell>
          <cell r="V670">
            <v>3270539</v>
          </cell>
          <cell r="W670">
            <v>3467251</v>
          </cell>
          <cell r="X670">
            <v>3674480</v>
          </cell>
          <cell r="Y670">
            <v>3978002</v>
          </cell>
          <cell r="Z670">
            <v>4234102</v>
          </cell>
          <cell r="AA670">
            <v>4430962</v>
          </cell>
          <cell r="AB670">
            <v>4650397</v>
          </cell>
          <cell r="AC670">
            <v>4868114</v>
          </cell>
          <cell r="AD670">
            <v>5046207</v>
          </cell>
          <cell r="AE670">
            <v>5223423</v>
          </cell>
          <cell r="AF670">
            <v>5424010</v>
          </cell>
          <cell r="AG670">
            <v>5713695</v>
          </cell>
          <cell r="AH670">
            <v>5954263</v>
          </cell>
          <cell r="AI670">
            <v>6172285</v>
          </cell>
          <cell r="AJ670">
            <v>6323330</v>
          </cell>
          <cell r="AK670">
            <v>6472495</v>
          </cell>
          <cell r="AL670">
            <v>6635775</v>
          </cell>
          <cell r="AM670">
            <v>6792910</v>
          </cell>
          <cell r="AN670">
            <v>6961412</v>
          </cell>
          <cell r="AO670">
            <v>7128327</v>
          </cell>
          <cell r="AP670">
            <v>7308220</v>
          </cell>
          <cell r="AQ670">
            <v>7498291</v>
          </cell>
          <cell r="AR670">
            <v>7674030</v>
          </cell>
          <cell r="AS670">
            <v>7845727</v>
          </cell>
          <cell r="AT670">
            <v>8018121</v>
          </cell>
          <cell r="AU670">
            <v>8211420</v>
          </cell>
          <cell r="AV670">
            <v>8417954</v>
          </cell>
          <cell r="AW670">
            <v>8701112</v>
          </cell>
          <cell r="AX670">
            <v>9154879</v>
          </cell>
          <cell r="AY670">
            <v>9916046</v>
          </cell>
          <cell r="AZ670">
            <v>11390582</v>
          </cell>
          <cell r="BA670">
            <v>12027366</v>
          </cell>
          <cell r="BB670">
            <v>12027366</v>
          </cell>
        </row>
        <row r="671">
          <cell r="A671" t="str">
            <v>BI LO</v>
          </cell>
          <cell r="B671">
            <v>305142</v>
          </cell>
          <cell r="C671">
            <v>600100</v>
          </cell>
          <cell r="D671">
            <v>894165</v>
          </cell>
          <cell r="E671">
            <v>1189901</v>
          </cell>
          <cell r="F671">
            <v>1566341</v>
          </cell>
          <cell r="G671">
            <v>2119041</v>
          </cell>
          <cell r="H671">
            <v>2481004</v>
          </cell>
          <cell r="I671">
            <v>2857654</v>
          </cell>
          <cell r="J671">
            <v>3259781</v>
          </cell>
          <cell r="K671">
            <v>3685466</v>
          </cell>
          <cell r="L671">
            <v>4131732</v>
          </cell>
          <cell r="M671">
            <v>4483776</v>
          </cell>
          <cell r="N671">
            <v>4823715</v>
          </cell>
          <cell r="O671">
            <v>5333549</v>
          </cell>
          <cell r="P671">
            <v>5729183</v>
          </cell>
          <cell r="Q671">
            <v>6093382</v>
          </cell>
          <cell r="R671">
            <v>6502964</v>
          </cell>
          <cell r="S671">
            <v>7140473</v>
          </cell>
          <cell r="T671">
            <v>7651715</v>
          </cell>
          <cell r="U671">
            <v>8081834</v>
          </cell>
          <cell r="V671">
            <v>8589222</v>
          </cell>
          <cell r="W671">
            <v>9112810</v>
          </cell>
          <cell r="X671">
            <v>9662894</v>
          </cell>
          <cell r="Y671">
            <v>10315450</v>
          </cell>
          <cell r="Z671">
            <v>10811413</v>
          </cell>
          <cell r="AA671">
            <v>11244002</v>
          </cell>
          <cell r="AB671">
            <v>11717614</v>
          </cell>
          <cell r="AC671">
            <v>12188292</v>
          </cell>
          <cell r="AD671">
            <v>12690752</v>
          </cell>
          <cell r="AE671">
            <v>13250337</v>
          </cell>
          <cell r="AF671">
            <v>13830594</v>
          </cell>
          <cell r="AG671">
            <v>14254532</v>
          </cell>
          <cell r="AH671">
            <v>14576502</v>
          </cell>
          <cell r="AI671">
            <v>14923086</v>
          </cell>
          <cell r="AJ671">
            <v>15247646</v>
          </cell>
          <cell r="AK671">
            <v>15580986</v>
          </cell>
          <cell r="AL671">
            <v>15917872</v>
          </cell>
          <cell r="AM671">
            <v>16263651</v>
          </cell>
          <cell r="AN671">
            <v>16622401</v>
          </cell>
          <cell r="AO671">
            <v>16984099</v>
          </cell>
          <cell r="AP671">
            <v>17394504</v>
          </cell>
          <cell r="AQ671">
            <v>17805789</v>
          </cell>
          <cell r="AR671">
            <v>18125289</v>
          </cell>
          <cell r="AS671">
            <v>18477667</v>
          </cell>
          <cell r="AT671">
            <v>18803902</v>
          </cell>
          <cell r="AU671">
            <v>19127948</v>
          </cell>
          <cell r="AV671">
            <v>19477226</v>
          </cell>
          <cell r="AW671">
            <v>19956097</v>
          </cell>
          <cell r="AX671">
            <v>20734252</v>
          </cell>
          <cell r="AY671">
            <v>22367166</v>
          </cell>
          <cell r="AZ671">
            <v>24545880</v>
          </cell>
          <cell r="BA671">
            <v>24938019</v>
          </cell>
          <cell r="BB671">
            <v>24938019</v>
          </cell>
        </row>
        <row r="672">
          <cell r="A672" t="str">
            <v>BIG Y</v>
          </cell>
          <cell r="B672">
            <v>123772</v>
          </cell>
          <cell r="C672">
            <v>246069</v>
          </cell>
          <cell r="D672">
            <v>354803</v>
          </cell>
          <cell r="E672">
            <v>458565</v>
          </cell>
          <cell r="F672">
            <v>583248</v>
          </cell>
          <cell r="G672">
            <v>746709</v>
          </cell>
          <cell r="H672">
            <v>866308</v>
          </cell>
          <cell r="I672">
            <v>979684</v>
          </cell>
          <cell r="J672">
            <v>1086084</v>
          </cell>
          <cell r="K672">
            <v>1193218</v>
          </cell>
          <cell r="L672">
            <v>1305135</v>
          </cell>
          <cell r="M672">
            <v>1418136</v>
          </cell>
          <cell r="N672">
            <v>1556878</v>
          </cell>
          <cell r="O672">
            <v>1767035</v>
          </cell>
          <cell r="P672">
            <v>1858070</v>
          </cell>
          <cell r="Q672">
            <v>2098048</v>
          </cell>
          <cell r="R672">
            <v>2363991</v>
          </cell>
          <cell r="S672">
            <v>2601801</v>
          </cell>
          <cell r="T672">
            <v>2828207</v>
          </cell>
          <cell r="U672">
            <v>3011503</v>
          </cell>
          <cell r="V672">
            <v>3316342</v>
          </cell>
          <cell r="W672">
            <v>3634071</v>
          </cell>
          <cell r="X672">
            <v>3868433</v>
          </cell>
          <cell r="Y672">
            <v>4205879</v>
          </cell>
          <cell r="Z672">
            <v>4488443</v>
          </cell>
          <cell r="AA672">
            <v>4669610</v>
          </cell>
          <cell r="AB672">
            <v>4834795</v>
          </cell>
          <cell r="AC672">
            <v>4999690</v>
          </cell>
          <cell r="AD672">
            <v>5153243</v>
          </cell>
          <cell r="AE672">
            <v>5287016</v>
          </cell>
          <cell r="AF672">
            <v>5419629</v>
          </cell>
          <cell r="AG672">
            <v>5562103</v>
          </cell>
          <cell r="AH672">
            <v>5702819</v>
          </cell>
          <cell r="AI672">
            <v>5856431</v>
          </cell>
          <cell r="AJ672">
            <v>5995914</v>
          </cell>
          <cell r="AK672">
            <v>6119159</v>
          </cell>
          <cell r="AL672">
            <v>6242129</v>
          </cell>
          <cell r="AM672">
            <v>6362196</v>
          </cell>
          <cell r="AN672">
            <v>6481593</v>
          </cell>
          <cell r="AO672">
            <v>6602252</v>
          </cell>
          <cell r="AP672">
            <v>6729928</v>
          </cell>
          <cell r="AQ672">
            <v>6862464</v>
          </cell>
          <cell r="AR672">
            <v>6994796</v>
          </cell>
          <cell r="AS672">
            <v>7123654</v>
          </cell>
          <cell r="AT672">
            <v>7257138</v>
          </cell>
          <cell r="AU672">
            <v>7389862</v>
          </cell>
          <cell r="AV672">
            <v>7541239</v>
          </cell>
          <cell r="AW672">
            <v>7799484</v>
          </cell>
          <cell r="AX672">
            <v>8264416</v>
          </cell>
          <cell r="AY672">
            <v>9387794</v>
          </cell>
          <cell r="AZ672">
            <v>11133042</v>
          </cell>
          <cell r="BA672">
            <v>11313079</v>
          </cell>
          <cell r="BB672">
            <v>11313079</v>
          </cell>
        </row>
        <row r="673">
          <cell r="A673" t="str">
            <v>CIRCLE K</v>
          </cell>
          <cell r="B673">
            <v>93331</v>
          </cell>
          <cell r="C673">
            <v>168964</v>
          </cell>
          <cell r="D673">
            <v>246655</v>
          </cell>
          <cell r="E673">
            <v>324089</v>
          </cell>
          <cell r="F673">
            <v>397514</v>
          </cell>
          <cell r="G673">
            <v>475666</v>
          </cell>
          <cell r="H673">
            <v>567889</v>
          </cell>
          <cell r="I673">
            <v>640826</v>
          </cell>
          <cell r="J673">
            <v>716208</v>
          </cell>
          <cell r="K673">
            <v>795036</v>
          </cell>
          <cell r="L673">
            <v>865650</v>
          </cell>
          <cell r="M673">
            <v>945745</v>
          </cell>
          <cell r="N673">
            <v>1009267</v>
          </cell>
          <cell r="O673">
            <v>1078083</v>
          </cell>
          <cell r="P673">
            <v>1142984</v>
          </cell>
          <cell r="Q673">
            <v>1213052</v>
          </cell>
          <cell r="R673">
            <v>1287145</v>
          </cell>
          <cell r="S673">
            <v>1363400</v>
          </cell>
          <cell r="T673">
            <v>1460007</v>
          </cell>
          <cell r="U673">
            <v>1553418</v>
          </cell>
          <cell r="V673">
            <v>1647992</v>
          </cell>
          <cell r="W673">
            <v>1729794</v>
          </cell>
          <cell r="X673">
            <v>1815519</v>
          </cell>
          <cell r="Y673">
            <v>1911387</v>
          </cell>
          <cell r="Z673">
            <v>2002235</v>
          </cell>
          <cell r="AA673">
            <v>2077469</v>
          </cell>
          <cell r="AB673">
            <v>2149384</v>
          </cell>
          <cell r="AC673">
            <v>2219416</v>
          </cell>
          <cell r="AD673">
            <v>2286150</v>
          </cell>
          <cell r="AE673">
            <v>2352573</v>
          </cell>
          <cell r="AF673">
            <v>2416896</v>
          </cell>
          <cell r="AG673">
            <v>2487688</v>
          </cell>
          <cell r="AH673">
            <v>2558974</v>
          </cell>
          <cell r="AI673">
            <v>2625251</v>
          </cell>
          <cell r="AJ673">
            <v>2695604</v>
          </cell>
          <cell r="AK673">
            <v>2763149</v>
          </cell>
          <cell r="AL673">
            <v>2824933</v>
          </cell>
          <cell r="AM673">
            <v>2893489</v>
          </cell>
          <cell r="AN673">
            <v>2961788</v>
          </cell>
          <cell r="AO673">
            <v>3035566</v>
          </cell>
          <cell r="AP673">
            <v>3102591</v>
          </cell>
          <cell r="AQ673">
            <v>3173552</v>
          </cell>
          <cell r="AR673">
            <v>3242442</v>
          </cell>
          <cell r="AS673">
            <v>3315110</v>
          </cell>
          <cell r="AT673">
            <v>3384865</v>
          </cell>
          <cell r="AU673">
            <v>3451847</v>
          </cell>
          <cell r="AV673">
            <v>3523716</v>
          </cell>
          <cell r="AW673">
            <v>3602454</v>
          </cell>
          <cell r="AX673">
            <v>3705842</v>
          </cell>
          <cell r="AY673">
            <v>3854430</v>
          </cell>
          <cell r="AZ673">
            <v>4158957</v>
          </cell>
          <cell r="BA673">
            <v>4793549</v>
          </cell>
          <cell r="BB673">
            <v>4793549</v>
          </cell>
        </row>
        <row r="674">
          <cell r="A674" t="str">
            <v>CVS PHARMACY</v>
          </cell>
          <cell r="B674">
            <v>1110865</v>
          </cell>
          <cell r="C674">
            <v>2221730</v>
          </cell>
          <cell r="D674">
            <v>3295268</v>
          </cell>
          <cell r="E674">
            <v>4371638</v>
          </cell>
          <cell r="F674">
            <v>5330300</v>
          </cell>
          <cell r="G674">
            <v>6647077</v>
          </cell>
          <cell r="H674">
            <v>7652145</v>
          </cell>
          <cell r="I674">
            <v>8588554</v>
          </cell>
          <cell r="J674">
            <v>9469494</v>
          </cell>
          <cell r="K674">
            <v>10362144</v>
          </cell>
          <cell r="L674">
            <v>11285066</v>
          </cell>
          <cell r="M674">
            <v>12172549</v>
          </cell>
          <cell r="N674">
            <v>12936034</v>
          </cell>
          <cell r="O674">
            <v>13914833</v>
          </cell>
          <cell r="P674">
            <v>14689487</v>
          </cell>
          <cell r="Q674">
            <v>15460714</v>
          </cell>
          <cell r="R674">
            <v>16208439</v>
          </cell>
          <cell r="S674">
            <v>17312769</v>
          </cell>
          <cell r="T674">
            <v>18212677</v>
          </cell>
          <cell r="U674">
            <v>18972739</v>
          </cell>
          <cell r="V674">
            <v>19769626</v>
          </cell>
          <cell r="W674">
            <v>20558911</v>
          </cell>
          <cell r="X674">
            <v>21450987</v>
          </cell>
          <cell r="Y674">
            <v>22728026</v>
          </cell>
          <cell r="Z674">
            <v>23808356</v>
          </cell>
          <cell r="AA674">
            <v>24601477</v>
          </cell>
          <cell r="AB674">
            <v>25294398</v>
          </cell>
          <cell r="AC674">
            <v>25996329</v>
          </cell>
          <cell r="AD674">
            <v>25996329</v>
          </cell>
          <cell r="AE674">
            <v>25996329</v>
          </cell>
          <cell r="AF674">
            <v>25996329</v>
          </cell>
          <cell r="AG674">
            <v>25996329</v>
          </cell>
          <cell r="AH674">
            <v>25996329</v>
          </cell>
          <cell r="AI674">
            <v>25996329</v>
          </cell>
          <cell r="AJ674">
            <v>25996329</v>
          </cell>
          <cell r="AK674">
            <v>25996329</v>
          </cell>
          <cell r="AL674">
            <v>25996329</v>
          </cell>
          <cell r="AM674">
            <v>25996329</v>
          </cell>
          <cell r="AN674">
            <v>25996329</v>
          </cell>
          <cell r="AO674">
            <v>25996329</v>
          </cell>
          <cell r="AP674">
            <v>25996329</v>
          </cell>
          <cell r="AQ674">
            <v>25996329</v>
          </cell>
          <cell r="AR674">
            <v>25996329</v>
          </cell>
          <cell r="AS674">
            <v>25996329</v>
          </cell>
          <cell r="AT674">
            <v>25996329</v>
          </cell>
          <cell r="AU674">
            <v>25996329</v>
          </cell>
          <cell r="AV674">
            <v>25996329</v>
          </cell>
          <cell r="AW674">
            <v>25996329</v>
          </cell>
          <cell r="AX674">
            <v>25996329</v>
          </cell>
          <cell r="AY674">
            <v>25996329</v>
          </cell>
          <cell r="AZ674">
            <v>25996329</v>
          </cell>
          <cell r="BA674">
            <v>25996329</v>
          </cell>
          <cell r="BB674">
            <v>25996329</v>
          </cell>
        </row>
        <row r="675">
          <cell r="A675" t="str">
            <v>DW - PETRO CANADA</v>
          </cell>
          <cell r="B675">
            <v>102654</v>
          </cell>
          <cell r="C675">
            <v>205308</v>
          </cell>
          <cell r="D675">
            <v>295785</v>
          </cell>
          <cell r="E675">
            <v>371699</v>
          </cell>
          <cell r="F675">
            <v>448781</v>
          </cell>
          <cell r="G675">
            <v>572463</v>
          </cell>
          <cell r="H675">
            <v>652802</v>
          </cell>
          <cell r="I675">
            <v>731153</v>
          </cell>
          <cell r="J675">
            <v>806703</v>
          </cell>
          <cell r="K675">
            <v>883797</v>
          </cell>
          <cell r="L675">
            <v>984279</v>
          </cell>
          <cell r="M675">
            <v>1072747</v>
          </cell>
          <cell r="N675">
            <v>1159088</v>
          </cell>
          <cell r="O675">
            <v>1276271</v>
          </cell>
          <cell r="P675">
            <v>1383058</v>
          </cell>
          <cell r="Q675">
            <v>1475608</v>
          </cell>
          <cell r="R675">
            <v>1580803</v>
          </cell>
          <cell r="S675">
            <v>1717096</v>
          </cell>
          <cell r="T675">
            <v>1851123</v>
          </cell>
          <cell r="U675">
            <v>1963316</v>
          </cell>
          <cell r="V675">
            <v>2077790</v>
          </cell>
          <cell r="W675">
            <v>2197591</v>
          </cell>
          <cell r="X675">
            <v>2313306</v>
          </cell>
          <cell r="Y675">
            <v>2461850</v>
          </cell>
          <cell r="Z675">
            <v>2621537</v>
          </cell>
          <cell r="AA675">
            <v>2751655</v>
          </cell>
          <cell r="AB675">
            <v>2858257</v>
          </cell>
          <cell r="AC675">
            <v>2979666</v>
          </cell>
          <cell r="AD675">
            <v>3088941</v>
          </cell>
          <cell r="AE675">
            <v>3195900</v>
          </cell>
          <cell r="AF675">
            <v>3303945</v>
          </cell>
          <cell r="AG675">
            <v>3416067</v>
          </cell>
          <cell r="AH675">
            <v>3539042</v>
          </cell>
          <cell r="AI675">
            <v>3654333</v>
          </cell>
          <cell r="AJ675">
            <v>3773023</v>
          </cell>
          <cell r="AK675">
            <v>3898239</v>
          </cell>
          <cell r="AL675">
            <v>4026248</v>
          </cell>
          <cell r="AM675">
            <v>4143804</v>
          </cell>
          <cell r="AN675">
            <v>4286044</v>
          </cell>
          <cell r="AO675">
            <v>4415913</v>
          </cell>
          <cell r="AP675">
            <v>4544178</v>
          </cell>
          <cell r="AQ675">
            <v>4663050</v>
          </cell>
          <cell r="AR675">
            <v>4782290</v>
          </cell>
          <cell r="AS675">
            <v>4904744</v>
          </cell>
          <cell r="AT675">
            <v>5033884</v>
          </cell>
          <cell r="AU675">
            <v>5188256</v>
          </cell>
          <cell r="AV675">
            <v>5373639</v>
          </cell>
          <cell r="AW675">
            <v>5683881</v>
          </cell>
          <cell r="AX675">
            <v>6111473</v>
          </cell>
          <cell r="AY675">
            <v>6835105</v>
          </cell>
          <cell r="AZ675">
            <v>7944899</v>
          </cell>
          <cell r="BA675">
            <v>8169814</v>
          </cell>
          <cell r="BB675">
            <v>8169814</v>
          </cell>
        </row>
        <row r="676">
          <cell r="A676" t="str">
            <v>FEDERATED CO-OP - CANADA</v>
          </cell>
          <cell r="B676">
            <v>88881</v>
          </cell>
          <cell r="C676">
            <v>169493</v>
          </cell>
          <cell r="D676">
            <v>251238</v>
          </cell>
          <cell r="E676">
            <v>330308</v>
          </cell>
          <cell r="F676">
            <v>408124</v>
          </cell>
          <cell r="G676">
            <v>516345</v>
          </cell>
          <cell r="H676">
            <v>601127</v>
          </cell>
          <cell r="I676">
            <v>680341</v>
          </cell>
          <cell r="J676">
            <v>761746</v>
          </cell>
          <cell r="K676">
            <v>847037</v>
          </cell>
          <cell r="L676">
            <v>931049</v>
          </cell>
          <cell r="M676">
            <v>1019408</v>
          </cell>
          <cell r="N676">
            <v>1112362</v>
          </cell>
          <cell r="O676">
            <v>1224151</v>
          </cell>
          <cell r="P676">
            <v>1305057</v>
          </cell>
          <cell r="Q676">
            <v>1388952</v>
          </cell>
          <cell r="R676">
            <v>1484141</v>
          </cell>
          <cell r="S676">
            <v>1604071</v>
          </cell>
          <cell r="T676">
            <v>1695176</v>
          </cell>
          <cell r="U676">
            <v>1777140</v>
          </cell>
          <cell r="V676">
            <v>1869099</v>
          </cell>
          <cell r="W676">
            <v>1962514</v>
          </cell>
          <cell r="X676">
            <v>2067799</v>
          </cell>
          <cell r="Y676">
            <v>2225605</v>
          </cell>
          <cell r="Z676">
            <v>2379009</v>
          </cell>
          <cell r="AA676">
            <v>2466566</v>
          </cell>
          <cell r="AB676">
            <v>2601630</v>
          </cell>
          <cell r="AC676">
            <v>2688836</v>
          </cell>
          <cell r="AD676">
            <v>2779021</v>
          </cell>
          <cell r="AE676">
            <v>2866483</v>
          </cell>
          <cell r="AF676">
            <v>2955031</v>
          </cell>
          <cell r="AG676">
            <v>3042315</v>
          </cell>
          <cell r="AH676">
            <v>3135400</v>
          </cell>
          <cell r="AI676">
            <v>3279431</v>
          </cell>
          <cell r="AJ676">
            <v>3381060</v>
          </cell>
          <cell r="AK676">
            <v>3509825</v>
          </cell>
          <cell r="AL676">
            <v>3634685</v>
          </cell>
          <cell r="AM676">
            <v>3757529</v>
          </cell>
          <cell r="AN676">
            <v>3865366</v>
          </cell>
          <cell r="AO676">
            <v>3987293</v>
          </cell>
          <cell r="AP676">
            <v>4096337</v>
          </cell>
          <cell r="AQ676">
            <v>4194450</v>
          </cell>
          <cell r="AR676">
            <v>4304998</v>
          </cell>
          <cell r="AS676">
            <v>4414126</v>
          </cell>
          <cell r="AT676">
            <v>4565998</v>
          </cell>
          <cell r="AU676">
            <v>4741890</v>
          </cell>
          <cell r="AV676">
            <v>5027019</v>
          </cell>
          <cell r="AW676">
            <v>5405671</v>
          </cell>
          <cell r="AX676">
            <v>6034232</v>
          </cell>
          <cell r="AY676">
            <v>7208417</v>
          </cell>
          <cell r="AZ676">
            <v>8395498</v>
          </cell>
          <cell r="BA676">
            <v>8558859</v>
          </cell>
          <cell r="BB676">
            <v>8558859</v>
          </cell>
        </row>
        <row r="677">
          <cell r="A677" t="str">
            <v>FOOD LION</v>
          </cell>
          <cell r="B677">
            <v>423919</v>
          </cell>
          <cell r="C677">
            <v>850965</v>
          </cell>
          <cell r="D677">
            <v>1234593</v>
          </cell>
          <cell r="E677">
            <v>1617752</v>
          </cell>
          <cell r="F677">
            <v>1977438</v>
          </cell>
          <cell r="G677">
            <v>2563118</v>
          </cell>
          <cell r="H677">
            <v>2925033</v>
          </cell>
          <cell r="I677">
            <v>3282431</v>
          </cell>
          <cell r="J677">
            <v>3646836</v>
          </cell>
          <cell r="K677">
            <v>4010890</v>
          </cell>
          <cell r="L677">
            <v>4397530</v>
          </cell>
          <cell r="M677">
            <v>4762805</v>
          </cell>
          <cell r="N677">
            <v>5137566</v>
          </cell>
          <cell r="O677">
            <v>5655661</v>
          </cell>
          <cell r="P677">
            <v>6017637</v>
          </cell>
          <cell r="Q677">
            <v>6425206</v>
          </cell>
          <cell r="R677">
            <v>6858545</v>
          </cell>
          <cell r="S677">
            <v>7742077</v>
          </cell>
          <cell r="T677">
            <v>8450976</v>
          </cell>
          <cell r="U677">
            <v>9020836</v>
          </cell>
          <cell r="V677">
            <v>9653107</v>
          </cell>
          <cell r="W677">
            <v>10364005</v>
          </cell>
          <cell r="X677">
            <v>11280833</v>
          </cell>
          <cell r="Y677">
            <v>12411090</v>
          </cell>
          <cell r="Z677">
            <v>13214467</v>
          </cell>
          <cell r="AA677">
            <v>13824126</v>
          </cell>
          <cell r="AB677">
            <v>14444936</v>
          </cell>
          <cell r="AC677">
            <v>15090970</v>
          </cell>
          <cell r="AD677">
            <v>15753237</v>
          </cell>
          <cell r="AE677">
            <v>16414290</v>
          </cell>
          <cell r="AF677">
            <v>17097174</v>
          </cell>
          <cell r="AG677">
            <v>17793259</v>
          </cell>
          <cell r="AH677">
            <v>18452093</v>
          </cell>
          <cell r="AI677">
            <v>19115527</v>
          </cell>
          <cell r="AJ677">
            <v>19758057</v>
          </cell>
          <cell r="AK677">
            <v>20395580</v>
          </cell>
          <cell r="AL677">
            <v>21052825</v>
          </cell>
          <cell r="AM677">
            <v>21691509</v>
          </cell>
          <cell r="AN677">
            <v>22317322</v>
          </cell>
          <cell r="AO677">
            <v>22966662</v>
          </cell>
          <cell r="AP677">
            <v>23605138</v>
          </cell>
          <cell r="AQ677">
            <v>24250528</v>
          </cell>
          <cell r="AR677">
            <v>24898217</v>
          </cell>
          <cell r="AS677">
            <v>25533500</v>
          </cell>
          <cell r="AT677">
            <v>26250115</v>
          </cell>
          <cell r="AU677">
            <v>27004779</v>
          </cell>
          <cell r="AV677">
            <v>27867463</v>
          </cell>
          <cell r="AW677">
            <v>29257102</v>
          </cell>
          <cell r="AX677">
            <v>31465574</v>
          </cell>
          <cell r="AY677">
            <v>36707134</v>
          </cell>
          <cell r="AZ677">
            <v>44176979</v>
          </cell>
          <cell r="BA677">
            <v>45151867</v>
          </cell>
          <cell r="BB677">
            <v>45151867</v>
          </cell>
        </row>
        <row r="678">
          <cell r="A678" t="str">
            <v>GIANT EAGLE</v>
          </cell>
          <cell r="B678">
            <v>7295573</v>
          </cell>
          <cell r="C678">
            <v>14638391</v>
          </cell>
          <cell r="D678">
            <v>22728615</v>
          </cell>
          <cell r="E678">
            <v>31173174</v>
          </cell>
          <cell r="F678">
            <v>39908539</v>
          </cell>
          <cell r="G678">
            <v>49018180</v>
          </cell>
          <cell r="H678">
            <v>57964817</v>
          </cell>
          <cell r="I678">
            <v>66430098</v>
          </cell>
          <cell r="J678">
            <v>73827899</v>
          </cell>
          <cell r="K678">
            <v>81079832</v>
          </cell>
          <cell r="L678">
            <v>90201985</v>
          </cell>
          <cell r="M678">
            <v>100112449</v>
          </cell>
          <cell r="N678">
            <v>110433548</v>
          </cell>
          <cell r="O678">
            <v>121371175</v>
          </cell>
          <cell r="P678">
            <v>129694948</v>
          </cell>
          <cell r="Q678">
            <v>140938801</v>
          </cell>
          <cell r="R678">
            <v>153895815</v>
          </cell>
          <cell r="S678">
            <v>170624883</v>
          </cell>
          <cell r="T678">
            <v>185232909</v>
          </cell>
          <cell r="U678">
            <v>198380559</v>
          </cell>
          <cell r="V678">
            <v>213363696</v>
          </cell>
          <cell r="W678">
            <v>228763137</v>
          </cell>
          <cell r="X678">
            <v>244909633</v>
          </cell>
          <cell r="Y678">
            <v>263671595</v>
          </cell>
          <cell r="Z678">
            <v>278850708</v>
          </cell>
          <cell r="AA678">
            <v>293753592</v>
          </cell>
          <cell r="AB678">
            <v>307733876</v>
          </cell>
          <cell r="AC678">
            <v>322426523</v>
          </cell>
          <cell r="AD678">
            <v>336613928</v>
          </cell>
          <cell r="AE678">
            <v>350341963</v>
          </cell>
          <cell r="AF678">
            <v>363840687</v>
          </cell>
          <cell r="AG678">
            <v>379780998</v>
          </cell>
          <cell r="AH678">
            <v>397268504</v>
          </cell>
          <cell r="AI678">
            <v>415548083</v>
          </cell>
          <cell r="AJ678">
            <v>434566144</v>
          </cell>
          <cell r="AK678">
            <v>446859038</v>
          </cell>
          <cell r="AL678">
            <v>458859623</v>
          </cell>
          <cell r="AM678">
            <v>470712236</v>
          </cell>
          <cell r="AN678">
            <v>482791630</v>
          </cell>
          <cell r="AO678">
            <v>495056735</v>
          </cell>
          <cell r="AP678">
            <v>506724883</v>
          </cell>
          <cell r="AQ678">
            <v>520080179</v>
          </cell>
          <cell r="AR678">
            <v>534154963</v>
          </cell>
          <cell r="AS678">
            <v>547847135</v>
          </cell>
          <cell r="AT678">
            <v>562042394</v>
          </cell>
          <cell r="AU678">
            <v>578840184</v>
          </cell>
          <cell r="AV678">
            <v>597664497</v>
          </cell>
          <cell r="AW678">
            <v>622784752</v>
          </cell>
          <cell r="AX678">
            <v>662239738</v>
          </cell>
          <cell r="AY678">
            <v>713359495</v>
          </cell>
          <cell r="AZ678">
            <v>761940516</v>
          </cell>
          <cell r="BA678">
            <v>785234695</v>
          </cell>
          <cell r="BB678">
            <v>785234695</v>
          </cell>
        </row>
        <row r="679">
          <cell r="A679" t="str">
            <v>HANNAFORD</v>
          </cell>
          <cell r="B679">
            <v>218939</v>
          </cell>
          <cell r="C679">
            <v>436504</v>
          </cell>
          <cell r="D679">
            <v>622502</v>
          </cell>
          <cell r="E679">
            <v>815175</v>
          </cell>
          <cell r="F679">
            <v>1028800</v>
          </cell>
          <cell r="G679">
            <v>1327062</v>
          </cell>
          <cell r="H679">
            <v>1554216</v>
          </cell>
          <cell r="I679">
            <v>1749044</v>
          </cell>
          <cell r="J679">
            <v>1957898</v>
          </cell>
          <cell r="K679">
            <v>2190626</v>
          </cell>
          <cell r="L679">
            <v>2433542</v>
          </cell>
          <cell r="M679">
            <v>2658704</v>
          </cell>
          <cell r="N679">
            <v>2898956</v>
          </cell>
          <cell r="O679">
            <v>3259362</v>
          </cell>
          <cell r="P679">
            <v>3488403</v>
          </cell>
          <cell r="Q679">
            <v>3738782</v>
          </cell>
          <cell r="R679">
            <v>4004235</v>
          </cell>
          <cell r="S679">
            <v>4438536</v>
          </cell>
          <cell r="T679">
            <v>4774343</v>
          </cell>
          <cell r="U679">
            <v>5066721</v>
          </cell>
          <cell r="V679">
            <v>5374408</v>
          </cell>
          <cell r="W679">
            <v>5710403</v>
          </cell>
          <cell r="X679">
            <v>6124871</v>
          </cell>
          <cell r="Y679">
            <v>6683025</v>
          </cell>
          <cell r="Z679">
            <v>7155171</v>
          </cell>
          <cell r="AA679">
            <v>7505917</v>
          </cell>
          <cell r="AB679">
            <v>7805917</v>
          </cell>
          <cell r="AC679">
            <v>8108660</v>
          </cell>
          <cell r="AD679">
            <v>8411057</v>
          </cell>
          <cell r="AE679">
            <v>8717523</v>
          </cell>
          <cell r="AF679">
            <v>9039542</v>
          </cell>
          <cell r="AG679">
            <v>9362710</v>
          </cell>
          <cell r="AH679">
            <v>9683775</v>
          </cell>
          <cell r="AI679">
            <v>10009904</v>
          </cell>
          <cell r="AJ679">
            <v>10313585</v>
          </cell>
          <cell r="AK679">
            <v>10616517</v>
          </cell>
          <cell r="AL679">
            <v>10908862</v>
          </cell>
          <cell r="AM679">
            <v>11206350</v>
          </cell>
          <cell r="AN679">
            <v>11500914</v>
          </cell>
          <cell r="AO679">
            <v>11800694</v>
          </cell>
          <cell r="AP679">
            <v>12096939</v>
          </cell>
          <cell r="AQ679">
            <v>12392325</v>
          </cell>
          <cell r="AR679">
            <v>12689548</v>
          </cell>
          <cell r="AS679">
            <v>12987902</v>
          </cell>
          <cell r="AT679">
            <v>13300662</v>
          </cell>
          <cell r="AU679">
            <v>13624992</v>
          </cell>
          <cell r="AV679">
            <v>13993838</v>
          </cell>
          <cell r="AW679">
            <v>14602282</v>
          </cell>
          <cell r="AX679">
            <v>15485599</v>
          </cell>
          <cell r="AY679">
            <v>17671744</v>
          </cell>
          <cell r="AZ679">
            <v>20615374</v>
          </cell>
          <cell r="BA679">
            <v>20990359</v>
          </cell>
          <cell r="BB679">
            <v>20990359</v>
          </cell>
        </row>
        <row r="680">
          <cell r="A680" t="str">
            <v>HARRIS TEETER</v>
          </cell>
          <cell r="B680">
            <v>61527</v>
          </cell>
          <cell r="C680">
            <v>113049</v>
          </cell>
          <cell r="D680">
            <v>162677</v>
          </cell>
          <cell r="E680">
            <v>211418</v>
          </cell>
          <cell r="F680">
            <v>262259</v>
          </cell>
          <cell r="G680">
            <v>352309</v>
          </cell>
          <cell r="H680">
            <v>408363</v>
          </cell>
          <cell r="I680">
            <v>458047</v>
          </cell>
          <cell r="J680">
            <v>509100</v>
          </cell>
          <cell r="K680">
            <v>563247</v>
          </cell>
          <cell r="L680">
            <v>620331</v>
          </cell>
          <cell r="M680">
            <v>674193</v>
          </cell>
          <cell r="N680">
            <v>730268</v>
          </cell>
          <cell r="O680">
            <v>813680</v>
          </cell>
          <cell r="P680">
            <v>867448</v>
          </cell>
          <cell r="Q680">
            <v>924915</v>
          </cell>
          <cell r="R680">
            <v>992954</v>
          </cell>
          <cell r="S680">
            <v>1119537</v>
          </cell>
          <cell r="T680">
            <v>1185125</v>
          </cell>
          <cell r="U680">
            <v>1278114</v>
          </cell>
          <cell r="V680">
            <v>1357603</v>
          </cell>
          <cell r="W680">
            <v>1440234</v>
          </cell>
          <cell r="X680">
            <v>1543223</v>
          </cell>
          <cell r="Y680">
            <v>1703822</v>
          </cell>
          <cell r="Z680">
            <v>1808662</v>
          </cell>
          <cell r="AA680">
            <v>1886716</v>
          </cell>
          <cell r="AB680">
            <v>1957156</v>
          </cell>
          <cell r="AC680">
            <v>2028195</v>
          </cell>
          <cell r="AD680">
            <v>2103753</v>
          </cell>
          <cell r="AE680">
            <v>2177515</v>
          </cell>
          <cell r="AF680">
            <v>2253383</v>
          </cell>
          <cell r="AG680">
            <v>2328702</v>
          </cell>
          <cell r="AH680">
            <v>2405453</v>
          </cell>
          <cell r="AI680">
            <v>2483213</v>
          </cell>
          <cell r="AJ680">
            <v>2556626</v>
          </cell>
          <cell r="AK680">
            <v>2628167</v>
          </cell>
          <cell r="AL680">
            <v>2700732</v>
          </cell>
          <cell r="AM680">
            <v>2774310</v>
          </cell>
          <cell r="AN680">
            <v>2845427</v>
          </cell>
          <cell r="AO680">
            <v>2918247</v>
          </cell>
          <cell r="AP680">
            <v>2989093</v>
          </cell>
          <cell r="AQ680">
            <v>3064175</v>
          </cell>
          <cell r="AR680">
            <v>3137007</v>
          </cell>
          <cell r="AS680">
            <v>3212912</v>
          </cell>
          <cell r="AT680">
            <v>3295492</v>
          </cell>
          <cell r="AU680">
            <v>3384101</v>
          </cell>
          <cell r="AV680">
            <v>3485617</v>
          </cell>
          <cell r="AW680">
            <v>3668144</v>
          </cell>
          <cell r="AX680">
            <v>4013851</v>
          </cell>
          <cell r="AY680">
            <v>4799884</v>
          </cell>
          <cell r="AZ680">
            <v>5745586</v>
          </cell>
          <cell r="BA680">
            <v>5843250</v>
          </cell>
          <cell r="BB680">
            <v>5843250</v>
          </cell>
        </row>
        <row r="681">
          <cell r="A681" t="str">
            <v>HY-VEE</v>
          </cell>
          <cell r="B681">
            <v>341218</v>
          </cell>
          <cell r="C681">
            <v>675219</v>
          </cell>
          <cell r="D681">
            <v>970809</v>
          </cell>
          <cell r="E681">
            <v>1277602</v>
          </cell>
          <cell r="F681">
            <v>1534996</v>
          </cell>
          <cell r="G681">
            <v>1947280</v>
          </cell>
          <cell r="H681">
            <v>2246733</v>
          </cell>
          <cell r="I681">
            <v>2501612</v>
          </cell>
          <cell r="J681">
            <v>2778608</v>
          </cell>
          <cell r="K681">
            <v>3062997</v>
          </cell>
          <cell r="L681">
            <v>3356522</v>
          </cell>
          <cell r="M681">
            <v>3635990</v>
          </cell>
          <cell r="N681">
            <v>3898704</v>
          </cell>
          <cell r="O681">
            <v>4261632</v>
          </cell>
          <cell r="P681">
            <v>4526508</v>
          </cell>
          <cell r="Q681">
            <v>4806613</v>
          </cell>
          <cell r="R681">
            <v>5108827</v>
          </cell>
          <cell r="S681">
            <v>5574318</v>
          </cell>
          <cell r="T681">
            <v>5981488</v>
          </cell>
          <cell r="U681">
            <v>6311452</v>
          </cell>
          <cell r="V681">
            <v>6644511</v>
          </cell>
          <cell r="W681">
            <v>6980475</v>
          </cell>
          <cell r="X681">
            <v>7322001</v>
          </cell>
          <cell r="Y681">
            <v>7809766</v>
          </cell>
          <cell r="Z681">
            <v>8169076</v>
          </cell>
          <cell r="AA681">
            <v>8435619</v>
          </cell>
          <cell r="AB681">
            <v>8690022</v>
          </cell>
          <cell r="AC681">
            <v>8970193</v>
          </cell>
          <cell r="AD681">
            <v>9243269</v>
          </cell>
          <cell r="AE681">
            <v>9526424</v>
          </cell>
          <cell r="AF681">
            <v>9811466</v>
          </cell>
          <cell r="AG681">
            <v>10104794</v>
          </cell>
          <cell r="AH681">
            <v>10389097</v>
          </cell>
          <cell r="AI681">
            <v>10665619</v>
          </cell>
          <cell r="AJ681">
            <v>10928696</v>
          </cell>
          <cell r="AK681">
            <v>11198593</v>
          </cell>
          <cell r="AL681">
            <v>11460217</v>
          </cell>
          <cell r="AM681">
            <v>11708655</v>
          </cell>
          <cell r="AN681">
            <v>11954714</v>
          </cell>
          <cell r="AO681">
            <v>12197578</v>
          </cell>
          <cell r="AP681">
            <v>12443883</v>
          </cell>
          <cell r="AQ681">
            <v>12718115</v>
          </cell>
          <cell r="AR681">
            <v>12953813</v>
          </cell>
          <cell r="AS681">
            <v>13201843</v>
          </cell>
          <cell r="AT681">
            <v>13463242</v>
          </cell>
          <cell r="AU681">
            <v>13754141</v>
          </cell>
          <cell r="AV681">
            <v>14104490</v>
          </cell>
          <cell r="AW681">
            <v>15015939</v>
          </cell>
          <cell r="AX681">
            <v>17223087</v>
          </cell>
          <cell r="AY681">
            <v>21539300</v>
          </cell>
          <cell r="AZ681">
            <v>26358876</v>
          </cell>
          <cell r="BA681">
            <v>26818496</v>
          </cell>
          <cell r="BB681">
            <v>26818496</v>
          </cell>
        </row>
        <row r="682">
          <cell r="A682" t="str">
            <v>INGLES MARKETS</v>
          </cell>
          <cell r="B682">
            <v>114002</v>
          </cell>
          <cell r="C682">
            <v>213097</v>
          </cell>
          <cell r="D682">
            <v>307922</v>
          </cell>
          <cell r="E682">
            <v>398894</v>
          </cell>
          <cell r="F682">
            <v>498046</v>
          </cell>
          <cell r="G682">
            <v>600512</v>
          </cell>
          <cell r="H682">
            <v>739068</v>
          </cell>
          <cell r="I682">
            <v>825529</v>
          </cell>
          <cell r="J682">
            <v>916397</v>
          </cell>
          <cell r="K682">
            <v>1010004</v>
          </cell>
          <cell r="L682">
            <v>1106689</v>
          </cell>
          <cell r="M682">
            <v>1229836</v>
          </cell>
          <cell r="N682">
            <v>1329103</v>
          </cell>
          <cell r="O682">
            <v>1439875</v>
          </cell>
          <cell r="P682">
            <v>1543452</v>
          </cell>
          <cell r="Q682">
            <v>1642372</v>
          </cell>
          <cell r="R682">
            <v>1753788</v>
          </cell>
          <cell r="S682">
            <v>1870571</v>
          </cell>
          <cell r="T682">
            <v>2046532</v>
          </cell>
          <cell r="U682">
            <v>2187416</v>
          </cell>
          <cell r="V682">
            <v>2341992</v>
          </cell>
          <cell r="W682">
            <v>2476898</v>
          </cell>
          <cell r="X682">
            <v>2622559</v>
          </cell>
          <cell r="Y682">
            <v>2825764</v>
          </cell>
          <cell r="Z682">
            <v>2981335</v>
          </cell>
          <cell r="AA682">
            <v>3096330</v>
          </cell>
          <cell r="AB682">
            <v>3209709</v>
          </cell>
          <cell r="AC682">
            <v>3325671</v>
          </cell>
          <cell r="AD682">
            <v>3431004</v>
          </cell>
          <cell r="AE682">
            <v>3544843</v>
          </cell>
          <cell r="AF682">
            <v>3657520</v>
          </cell>
          <cell r="AG682">
            <v>3779799</v>
          </cell>
          <cell r="AH682">
            <v>3893376</v>
          </cell>
          <cell r="AI682">
            <v>4010240</v>
          </cell>
          <cell r="AJ682">
            <v>4119499</v>
          </cell>
          <cell r="AK682">
            <v>4225733</v>
          </cell>
          <cell r="AL682">
            <v>4345325</v>
          </cell>
          <cell r="AM682">
            <v>4462772</v>
          </cell>
          <cell r="AN682">
            <v>4567567</v>
          </cell>
          <cell r="AO682">
            <v>4675152</v>
          </cell>
          <cell r="AP682">
            <v>4791377</v>
          </cell>
          <cell r="AQ682">
            <v>4933439</v>
          </cell>
          <cell r="AR682">
            <v>5046075</v>
          </cell>
          <cell r="AS682">
            <v>5164193</v>
          </cell>
          <cell r="AT682">
            <v>5281015</v>
          </cell>
          <cell r="AU682">
            <v>5394471</v>
          </cell>
          <cell r="AV682">
            <v>5511506</v>
          </cell>
          <cell r="AW682">
            <v>5689618</v>
          </cell>
          <cell r="AX682">
            <v>5904911</v>
          </cell>
          <cell r="AY682">
            <v>6211547</v>
          </cell>
          <cell r="AZ682">
            <v>6892466</v>
          </cell>
          <cell r="BA682">
            <v>7745224</v>
          </cell>
          <cell r="BB682">
            <v>7745224</v>
          </cell>
        </row>
        <row r="683">
          <cell r="A683" t="str">
            <v>KATZ</v>
          </cell>
          <cell r="B683">
            <v>108644</v>
          </cell>
          <cell r="C683">
            <v>215395</v>
          </cell>
          <cell r="D683">
            <v>316113</v>
          </cell>
          <cell r="E683">
            <v>423791</v>
          </cell>
          <cell r="F683">
            <v>524528</v>
          </cell>
          <cell r="G683">
            <v>694688</v>
          </cell>
          <cell r="H683">
            <v>807704</v>
          </cell>
          <cell r="I683">
            <v>909645</v>
          </cell>
          <cell r="J683">
            <v>1006954</v>
          </cell>
          <cell r="K683">
            <v>1112857</v>
          </cell>
          <cell r="L683">
            <v>1229116</v>
          </cell>
          <cell r="M683">
            <v>1336453</v>
          </cell>
          <cell r="N683">
            <v>1452949</v>
          </cell>
          <cell r="O683">
            <v>1617705</v>
          </cell>
          <cell r="P683">
            <v>1729570</v>
          </cell>
          <cell r="Q683">
            <v>1856438</v>
          </cell>
          <cell r="R683">
            <v>1986813</v>
          </cell>
          <cell r="S683">
            <v>2203618</v>
          </cell>
          <cell r="T683">
            <v>2367410</v>
          </cell>
          <cell r="U683">
            <v>2515345</v>
          </cell>
          <cell r="V683">
            <v>2676720</v>
          </cell>
          <cell r="W683">
            <v>2841375</v>
          </cell>
          <cell r="X683">
            <v>3044264</v>
          </cell>
          <cell r="Y683">
            <v>3303487</v>
          </cell>
          <cell r="Z683">
            <v>3516940</v>
          </cell>
          <cell r="AA683">
            <v>3738894</v>
          </cell>
          <cell r="AB683">
            <v>3870057</v>
          </cell>
          <cell r="AC683">
            <v>3999569</v>
          </cell>
          <cell r="AD683">
            <v>4146714</v>
          </cell>
          <cell r="AE683">
            <v>4294620</v>
          </cell>
          <cell r="AF683">
            <v>4442943</v>
          </cell>
          <cell r="AG683">
            <v>4598840</v>
          </cell>
          <cell r="AH683">
            <v>4760935</v>
          </cell>
          <cell r="AI683">
            <v>4927414</v>
          </cell>
          <cell r="AJ683">
            <v>5095835</v>
          </cell>
          <cell r="AK683">
            <v>5256861</v>
          </cell>
          <cell r="AL683">
            <v>5425735</v>
          </cell>
          <cell r="AM683">
            <v>5593645</v>
          </cell>
          <cell r="AN683">
            <v>5759101</v>
          </cell>
          <cell r="AO683">
            <v>5926005</v>
          </cell>
          <cell r="AP683">
            <v>6090948</v>
          </cell>
          <cell r="AQ683">
            <v>6241394</v>
          </cell>
          <cell r="AR683">
            <v>6384930</v>
          </cell>
          <cell r="AS683">
            <v>6536662</v>
          </cell>
          <cell r="AT683">
            <v>6681648</v>
          </cell>
          <cell r="AU683">
            <v>6856651</v>
          </cell>
          <cell r="AV683">
            <v>7087182</v>
          </cell>
          <cell r="AW683">
            <v>7535535</v>
          </cell>
          <cell r="AX683">
            <v>8264532</v>
          </cell>
          <cell r="AY683">
            <v>9662310</v>
          </cell>
          <cell r="AZ683">
            <v>11228256</v>
          </cell>
          <cell r="BA683">
            <v>11541810</v>
          </cell>
          <cell r="BB683">
            <v>11541810</v>
          </cell>
        </row>
        <row r="684">
          <cell r="A684" t="str">
            <v>KING KULLEN</v>
          </cell>
          <cell r="B684">
            <v>109174</v>
          </cell>
          <cell r="C684">
            <v>195092</v>
          </cell>
          <cell r="D684">
            <v>278007</v>
          </cell>
          <cell r="E684">
            <v>353604</v>
          </cell>
          <cell r="F684">
            <v>430407</v>
          </cell>
          <cell r="G684">
            <v>516941</v>
          </cell>
          <cell r="H684">
            <v>617972</v>
          </cell>
          <cell r="I684">
            <v>690936</v>
          </cell>
          <cell r="J684">
            <v>778356</v>
          </cell>
          <cell r="K684">
            <v>866189</v>
          </cell>
          <cell r="L684">
            <v>964087</v>
          </cell>
          <cell r="M684">
            <v>1102272</v>
          </cell>
          <cell r="N684">
            <v>1174968</v>
          </cell>
          <cell r="O684">
            <v>1261690</v>
          </cell>
          <cell r="P684">
            <v>1346234</v>
          </cell>
          <cell r="Q684">
            <v>1441028</v>
          </cell>
          <cell r="R684">
            <v>1529668</v>
          </cell>
          <cell r="S684">
            <v>1624087</v>
          </cell>
          <cell r="T684">
            <v>1788658</v>
          </cell>
          <cell r="U684">
            <v>1912553</v>
          </cell>
          <cell r="V684">
            <v>2016967</v>
          </cell>
          <cell r="W684">
            <v>2113680</v>
          </cell>
          <cell r="X684">
            <v>2243301</v>
          </cell>
          <cell r="Y684">
            <v>2476571</v>
          </cell>
          <cell r="Z684">
            <v>2692616</v>
          </cell>
          <cell r="AA684">
            <v>2911941</v>
          </cell>
          <cell r="AB684">
            <v>3023839</v>
          </cell>
          <cell r="AC684">
            <v>3129892</v>
          </cell>
          <cell r="AD684">
            <v>3241611</v>
          </cell>
          <cell r="AE684">
            <v>3345272</v>
          </cell>
          <cell r="AF684">
            <v>3450731</v>
          </cell>
          <cell r="AG684">
            <v>3556100</v>
          </cell>
          <cell r="AH684">
            <v>3667104</v>
          </cell>
          <cell r="AI684">
            <v>3772003</v>
          </cell>
          <cell r="AJ684">
            <v>3867181</v>
          </cell>
          <cell r="AK684">
            <v>3953466</v>
          </cell>
          <cell r="AL684">
            <v>4044028</v>
          </cell>
          <cell r="AM684">
            <v>4137148</v>
          </cell>
          <cell r="AN684">
            <v>4223880</v>
          </cell>
          <cell r="AO684">
            <v>4324782</v>
          </cell>
          <cell r="AP684">
            <v>4416091</v>
          </cell>
          <cell r="AQ684">
            <v>4513046</v>
          </cell>
          <cell r="AR684">
            <v>4605289</v>
          </cell>
          <cell r="AS684">
            <v>4695247</v>
          </cell>
          <cell r="AT684">
            <v>4789082</v>
          </cell>
          <cell r="AU684">
            <v>4885920</v>
          </cell>
          <cell r="AV684">
            <v>4993778</v>
          </cell>
          <cell r="AW684">
            <v>5113876</v>
          </cell>
          <cell r="AX684">
            <v>5286545</v>
          </cell>
          <cell r="AY684">
            <v>5590223</v>
          </cell>
          <cell r="AZ684">
            <v>6365530</v>
          </cell>
          <cell r="BA684">
            <v>7531930</v>
          </cell>
          <cell r="BB684">
            <v>7531930</v>
          </cell>
        </row>
        <row r="685">
          <cell r="A685" t="str">
            <v>KMART</v>
          </cell>
          <cell r="B685">
            <v>951410</v>
          </cell>
          <cell r="C685">
            <v>1898833</v>
          </cell>
          <cell r="D685">
            <v>2746543</v>
          </cell>
          <cell r="E685">
            <v>3607187</v>
          </cell>
          <cell r="F685">
            <v>4565094</v>
          </cell>
          <cell r="G685">
            <v>5722709</v>
          </cell>
          <cell r="H685">
            <v>6744157</v>
          </cell>
          <cell r="I685">
            <v>7644448</v>
          </cell>
          <cell r="J685">
            <v>8577963</v>
          </cell>
          <cell r="K685">
            <v>9524990</v>
          </cell>
          <cell r="L685">
            <v>10478592</v>
          </cell>
          <cell r="M685">
            <v>11410704</v>
          </cell>
          <cell r="N685">
            <v>12293774</v>
          </cell>
          <cell r="O685">
            <v>13585857</v>
          </cell>
          <cell r="P685">
            <v>14495571</v>
          </cell>
          <cell r="Q685">
            <v>15409386</v>
          </cell>
          <cell r="R685">
            <v>16292164</v>
          </cell>
          <cell r="S685">
            <v>17559310</v>
          </cell>
          <cell r="T685">
            <v>18583375</v>
          </cell>
          <cell r="U685">
            <v>19579662</v>
          </cell>
          <cell r="V685">
            <v>20555933</v>
          </cell>
          <cell r="W685">
            <v>21555017</v>
          </cell>
          <cell r="X685">
            <v>22714930</v>
          </cell>
          <cell r="Y685">
            <v>24208819</v>
          </cell>
          <cell r="Z685">
            <v>25334532</v>
          </cell>
          <cell r="AA685">
            <v>26237786</v>
          </cell>
          <cell r="AB685">
            <v>27105652</v>
          </cell>
          <cell r="AC685">
            <v>28061702</v>
          </cell>
          <cell r="AD685">
            <v>28986548</v>
          </cell>
          <cell r="AE685">
            <v>29869830</v>
          </cell>
          <cell r="AF685">
            <v>30803442</v>
          </cell>
          <cell r="AG685">
            <v>31716081</v>
          </cell>
          <cell r="AH685">
            <v>32603386</v>
          </cell>
          <cell r="AI685">
            <v>33460901</v>
          </cell>
          <cell r="AJ685">
            <v>34323498</v>
          </cell>
          <cell r="AK685">
            <v>35175110</v>
          </cell>
          <cell r="AL685">
            <v>35967153</v>
          </cell>
          <cell r="AM685">
            <v>36754740</v>
          </cell>
          <cell r="AN685">
            <v>37516706</v>
          </cell>
          <cell r="AO685">
            <v>38390860</v>
          </cell>
          <cell r="AP685">
            <v>39256318</v>
          </cell>
          <cell r="AQ685">
            <v>40104727</v>
          </cell>
          <cell r="AR685">
            <v>41022439</v>
          </cell>
          <cell r="AS685">
            <v>41868172</v>
          </cell>
          <cell r="AT685">
            <v>42817594</v>
          </cell>
          <cell r="AU685">
            <v>43846876</v>
          </cell>
          <cell r="AV685">
            <v>44979674</v>
          </cell>
          <cell r="AW685">
            <v>46863953</v>
          </cell>
          <cell r="AX685">
            <v>49670207</v>
          </cell>
          <cell r="AY685">
            <v>54805156</v>
          </cell>
          <cell r="AZ685">
            <v>61220525</v>
          </cell>
          <cell r="BA685">
            <v>62785320</v>
          </cell>
          <cell r="BB685">
            <v>62785320</v>
          </cell>
        </row>
        <row r="686">
          <cell r="A686" t="str">
            <v>KOHLS</v>
          </cell>
          <cell r="B686">
            <v>252117</v>
          </cell>
          <cell r="C686">
            <v>458941</v>
          </cell>
          <cell r="D686">
            <v>644925</v>
          </cell>
          <cell r="E686">
            <v>837675</v>
          </cell>
          <cell r="F686">
            <v>1044573</v>
          </cell>
          <cell r="G686">
            <v>1388608</v>
          </cell>
          <cell r="H686">
            <v>1613789</v>
          </cell>
          <cell r="I686">
            <v>1811296</v>
          </cell>
          <cell r="J686">
            <v>1998534</v>
          </cell>
          <cell r="K686">
            <v>2197008</v>
          </cell>
          <cell r="L686">
            <v>2413361</v>
          </cell>
          <cell r="M686">
            <v>2612365</v>
          </cell>
          <cell r="N686">
            <v>2810266</v>
          </cell>
          <cell r="O686">
            <v>3187046</v>
          </cell>
          <cell r="P686">
            <v>3374667</v>
          </cell>
          <cell r="Q686">
            <v>3572190</v>
          </cell>
          <cell r="R686">
            <v>3771062</v>
          </cell>
          <cell r="S686">
            <v>4187800</v>
          </cell>
          <cell r="T686">
            <v>4415294</v>
          </cell>
          <cell r="U686">
            <v>4700480</v>
          </cell>
          <cell r="V686">
            <v>4948619</v>
          </cell>
          <cell r="W686">
            <v>5193904</v>
          </cell>
          <cell r="X686">
            <v>5492249</v>
          </cell>
          <cell r="Y686">
            <v>6043082</v>
          </cell>
          <cell r="Z686">
            <v>6388527</v>
          </cell>
          <cell r="AA686">
            <v>6616449</v>
          </cell>
          <cell r="AB686">
            <v>6837537</v>
          </cell>
          <cell r="AC686">
            <v>7049720</v>
          </cell>
          <cell r="AD686">
            <v>7268241</v>
          </cell>
          <cell r="AE686">
            <v>7480861</v>
          </cell>
          <cell r="AF686">
            <v>7694931</v>
          </cell>
          <cell r="AG686">
            <v>7918588</v>
          </cell>
          <cell r="AH686">
            <v>8129488</v>
          </cell>
          <cell r="AI686">
            <v>8333614</v>
          </cell>
          <cell r="AJ686">
            <v>8538189</v>
          </cell>
          <cell r="AK686">
            <v>8731986</v>
          </cell>
          <cell r="AL686">
            <v>8960040</v>
          </cell>
          <cell r="AM686">
            <v>9185786</v>
          </cell>
          <cell r="AN686">
            <v>9409434</v>
          </cell>
          <cell r="AO686">
            <v>9674896</v>
          </cell>
          <cell r="AP686">
            <v>9953194</v>
          </cell>
          <cell r="AQ686">
            <v>10234979</v>
          </cell>
          <cell r="AR686">
            <v>10554070</v>
          </cell>
          <cell r="AS686">
            <v>10912709</v>
          </cell>
          <cell r="AT686">
            <v>11339433</v>
          </cell>
          <cell r="AU686">
            <v>12034618</v>
          </cell>
          <cell r="AV686">
            <v>13425376</v>
          </cell>
          <cell r="AW686">
            <v>15661589</v>
          </cell>
          <cell r="AX686">
            <v>19323114</v>
          </cell>
          <cell r="AY686">
            <v>24760825</v>
          </cell>
          <cell r="AZ686">
            <v>32887205</v>
          </cell>
          <cell r="BA686">
            <v>34166811</v>
          </cell>
          <cell r="BB686">
            <v>34166811</v>
          </cell>
        </row>
        <row r="687">
          <cell r="A687" t="str">
            <v>KROGER</v>
          </cell>
          <cell r="B687">
            <v>6209298</v>
          </cell>
          <cell r="C687">
            <v>12303557</v>
          </cell>
          <cell r="D687">
            <v>17829552</v>
          </cell>
          <cell r="E687">
            <v>23243690</v>
          </cell>
          <cell r="F687">
            <v>29035252</v>
          </cell>
          <cell r="G687">
            <v>37810019</v>
          </cell>
          <cell r="H687">
            <v>44024401</v>
          </cell>
          <cell r="I687">
            <v>49738628</v>
          </cell>
          <cell r="J687">
            <v>55652864</v>
          </cell>
          <cell r="K687">
            <v>61605010</v>
          </cell>
          <cell r="L687">
            <v>67898271</v>
          </cell>
          <cell r="M687">
            <v>74097264</v>
          </cell>
          <cell r="N687">
            <v>80079237</v>
          </cell>
          <cell r="O687">
            <v>88491668</v>
          </cell>
          <cell r="P687">
            <v>94594613</v>
          </cell>
          <cell r="Q687">
            <v>101112369</v>
          </cell>
          <cell r="R687">
            <v>108418287</v>
          </cell>
          <cell r="S687">
            <v>121818443</v>
          </cell>
          <cell r="T687">
            <v>132162392</v>
          </cell>
          <cell r="U687">
            <v>139994992</v>
          </cell>
          <cell r="V687">
            <v>149876228</v>
          </cell>
          <cell r="W687">
            <v>159706354</v>
          </cell>
          <cell r="X687">
            <v>170794777</v>
          </cell>
          <cell r="Y687">
            <v>186869890</v>
          </cell>
          <cell r="Z687">
            <v>196991059</v>
          </cell>
          <cell r="AA687">
            <v>203985894</v>
          </cell>
          <cell r="AB687">
            <v>211098616</v>
          </cell>
          <cell r="AC687">
            <v>218133735</v>
          </cell>
          <cell r="AD687">
            <v>225349904</v>
          </cell>
          <cell r="AE687">
            <v>232301361</v>
          </cell>
          <cell r="AF687">
            <v>239725090</v>
          </cell>
          <cell r="AG687">
            <v>246714114</v>
          </cell>
          <cell r="AH687">
            <v>253354719</v>
          </cell>
          <cell r="AI687">
            <v>259721301</v>
          </cell>
          <cell r="AJ687">
            <v>265585537</v>
          </cell>
          <cell r="AK687">
            <v>271144467</v>
          </cell>
          <cell r="AL687">
            <v>276493048</v>
          </cell>
          <cell r="AM687">
            <v>281825467</v>
          </cell>
          <cell r="AN687">
            <v>287113211</v>
          </cell>
          <cell r="AO687">
            <v>292935550</v>
          </cell>
          <cell r="AP687">
            <v>299006870</v>
          </cell>
          <cell r="AQ687">
            <v>306190497</v>
          </cell>
          <cell r="AR687">
            <v>312879971</v>
          </cell>
          <cell r="AS687">
            <v>320015562</v>
          </cell>
          <cell r="AT687">
            <v>326737713</v>
          </cell>
          <cell r="AU687">
            <v>334100444</v>
          </cell>
          <cell r="AV687">
            <v>342965082</v>
          </cell>
          <cell r="AW687">
            <v>360483825</v>
          </cell>
          <cell r="AX687">
            <v>391912182</v>
          </cell>
          <cell r="AY687">
            <v>460013643</v>
          </cell>
          <cell r="AZ687">
            <v>543711420</v>
          </cell>
          <cell r="BA687">
            <v>555393540</v>
          </cell>
          <cell r="BB687">
            <v>555393540</v>
          </cell>
        </row>
        <row r="688">
          <cell r="A688" t="str">
            <v>KROGER C</v>
          </cell>
          <cell r="B688">
            <v>514170</v>
          </cell>
          <cell r="C688">
            <v>972926</v>
          </cell>
          <cell r="D688">
            <v>1420747</v>
          </cell>
          <cell r="E688">
            <v>1853032</v>
          </cell>
          <cell r="F688">
            <v>2359770</v>
          </cell>
          <cell r="G688">
            <v>2874893</v>
          </cell>
          <cell r="H688">
            <v>3361765</v>
          </cell>
          <cell r="I688">
            <v>3825787</v>
          </cell>
          <cell r="J688">
            <v>4310133</v>
          </cell>
          <cell r="K688">
            <v>4802627</v>
          </cell>
          <cell r="L688">
            <v>5300799</v>
          </cell>
          <cell r="M688">
            <v>5837461</v>
          </cell>
          <cell r="N688">
            <v>6362187</v>
          </cell>
          <cell r="O688">
            <v>6900593</v>
          </cell>
          <cell r="P688">
            <v>7423570</v>
          </cell>
          <cell r="Q688">
            <v>7945702</v>
          </cell>
          <cell r="R688">
            <v>8473740</v>
          </cell>
          <cell r="S688">
            <v>9015861</v>
          </cell>
          <cell r="T688">
            <v>9581131</v>
          </cell>
          <cell r="U688">
            <v>10115104</v>
          </cell>
          <cell r="V688">
            <v>10650688</v>
          </cell>
          <cell r="W688">
            <v>11193719</v>
          </cell>
          <cell r="X688">
            <v>11768779</v>
          </cell>
          <cell r="Y688">
            <v>12407579</v>
          </cell>
          <cell r="Z688">
            <v>13058572</v>
          </cell>
          <cell r="AA688">
            <v>13622541</v>
          </cell>
          <cell r="AB688">
            <v>14215085</v>
          </cell>
          <cell r="AC688">
            <v>14791750</v>
          </cell>
          <cell r="AD688">
            <v>15352256</v>
          </cell>
          <cell r="AE688">
            <v>15897085</v>
          </cell>
          <cell r="AF688">
            <v>16467184</v>
          </cell>
          <cell r="AG688">
            <v>17012045</v>
          </cell>
          <cell r="AH688">
            <v>17532099</v>
          </cell>
          <cell r="AI688">
            <v>18069952</v>
          </cell>
          <cell r="AJ688">
            <v>18601539</v>
          </cell>
          <cell r="AK688">
            <v>19128293</v>
          </cell>
          <cell r="AL688">
            <v>19644138</v>
          </cell>
          <cell r="AM688">
            <v>20146449</v>
          </cell>
          <cell r="AN688">
            <v>20642702</v>
          </cell>
          <cell r="AO688">
            <v>21196164</v>
          </cell>
          <cell r="AP688">
            <v>21721109</v>
          </cell>
          <cell r="AQ688">
            <v>22250133</v>
          </cell>
          <cell r="AR688">
            <v>22763377</v>
          </cell>
          <cell r="AS688">
            <v>23304872</v>
          </cell>
          <cell r="AT688">
            <v>23871532</v>
          </cell>
          <cell r="AU688">
            <v>24408253</v>
          </cell>
          <cell r="AV688">
            <v>24957075</v>
          </cell>
          <cell r="AW688">
            <v>25508886</v>
          </cell>
          <cell r="AX688">
            <v>26094680</v>
          </cell>
          <cell r="AY688">
            <v>26865236</v>
          </cell>
          <cell r="AZ688">
            <v>29206755</v>
          </cell>
          <cell r="BA688">
            <v>30658995</v>
          </cell>
          <cell r="BB688">
            <v>30658995</v>
          </cell>
        </row>
        <row r="689">
          <cell r="A689" t="str">
            <v>LOBLAWS - CANADA</v>
          </cell>
          <cell r="B689">
            <v>153766</v>
          </cell>
          <cell r="C689">
            <v>287882</v>
          </cell>
          <cell r="D689">
            <v>467398</v>
          </cell>
          <cell r="E689">
            <v>650700</v>
          </cell>
          <cell r="F689">
            <v>833793</v>
          </cell>
          <cell r="G689">
            <v>1104300</v>
          </cell>
          <cell r="H689">
            <v>1299279</v>
          </cell>
          <cell r="I689">
            <v>1489976</v>
          </cell>
          <cell r="J689">
            <v>1683854</v>
          </cell>
          <cell r="K689">
            <v>1894812</v>
          </cell>
          <cell r="L689">
            <v>2105877</v>
          </cell>
          <cell r="M689">
            <v>2327062</v>
          </cell>
          <cell r="N689">
            <v>2563497</v>
          </cell>
          <cell r="O689">
            <v>2883559</v>
          </cell>
          <cell r="P689">
            <v>3141408</v>
          </cell>
          <cell r="Q689">
            <v>3433305</v>
          </cell>
          <cell r="R689">
            <v>3769441</v>
          </cell>
          <cell r="S689">
            <v>4258886</v>
          </cell>
          <cell r="T689">
            <v>4626693</v>
          </cell>
          <cell r="U689">
            <v>4961118</v>
          </cell>
          <cell r="V689">
            <v>5331838</v>
          </cell>
          <cell r="W689">
            <v>5732163</v>
          </cell>
          <cell r="X689">
            <v>6199277</v>
          </cell>
          <cell r="Y689">
            <v>6845287</v>
          </cell>
          <cell r="Z689">
            <v>7444973</v>
          </cell>
          <cell r="AA689">
            <v>7771992</v>
          </cell>
          <cell r="AB689">
            <v>8294325</v>
          </cell>
          <cell r="AC689">
            <v>8628493</v>
          </cell>
          <cell r="AD689">
            <v>8973961</v>
          </cell>
          <cell r="AE689">
            <v>9309041</v>
          </cell>
          <cell r="AF689">
            <v>9652071</v>
          </cell>
          <cell r="AG689">
            <v>9996509</v>
          </cell>
          <cell r="AH689">
            <v>10367319</v>
          </cell>
          <cell r="AI689">
            <v>10936915</v>
          </cell>
          <cell r="AJ689">
            <v>11318956</v>
          </cell>
          <cell r="AK689">
            <v>11783937</v>
          </cell>
          <cell r="AL689">
            <v>12281325</v>
          </cell>
          <cell r="AM689">
            <v>12817707</v>
          </cell>
          <cell r="AN689">
            <v>13328120</v>
          </cell>
          <cell r="AO689">
            <v>13953664</v>
          </cell>
          <cell r="AP689">
            <v>14543584</v>
          </cell>
          <cell r="AQ689">
            <v>15111641</v>
          </cell>
          <cell r="AR689">
            <v>15705558</v>
          </cell>
          <cell r="AS689">
            <v>16308042</v>
          </cell>
          <cell r="AT689">
            <v>17136174</v>
          </cell>
          <cell r="AU689">
            <v>18051102</v>
          </cell>
          <cell r="AV689">
            <v>19705607</v>
          </cell>
          <cell r="AW689">
            <v>22072835</v>
          </cell>
          <cell r="AX689">
            <v>26086843</v>
          </cell>
          <cell r="AY689">
            <v>33671649</v>
          </cell>
          <cell r="AZ689">
            <v>41836218</v>
          </cell>
          <cell r="BA689">
            <v>42758774</v>
          </cell>
          <cell r="BB689">
            <v>42758774</v>
          </cell>
        </row>
        <row r="690">
          <cell r="A690" t="str">
            <v>LOWES</v>
          </cell>
          <cell r="B690">
            <v>102788</v>
          </cell>
          <cell r="C690">
            <v>192317</v>
          </cell>
          <cell r="D690">
            <v>281925</v>
          </cell>
          <cell r="E690">
            <v>359951</v>
          </cell>
          <cell r="F690">
            <v>457780</v>
          </cell>
          <cell r="G690">
            <v>555494</v>
          </cell>
          <cell r="H690">
            <v>699795</v>
          </cell>
          <cell r="I690">
            <v>790012</v>
          </cell>
          <cell r="J690">
            <v>881088</v>
          </cell>
          <cell r="K690">
            <v>980745</v>
          </cell>
          <cell r="L690">
            <v>1082221</v>
          </cell>
          <cell r="M690">
            <v>1215058</v>
          </cell>
          <cell r="N690">
            <v>1310054</v>
          </cell>
          <cell r="O690">
            <v>1415180</v>
          </cell>
          <cell r="P690">
            <v>1511976</v>
          </cell>
          <cell r="Q690">
            <v>1624271</v>
          </cell>
          <cell r="R690">
            <v>1762247</v>
          </cell>
          <cell r="S690">
            <v>1902397</v>
          </cell>
          <cell r="T690">
            <v>2154269</v>
          </cell>
          <cell r="U690">
            <v>2311826</v>
          </cell>
          <cell r="V690">
            <v>2454103</v>
          </cell>
          <cell r="W690">
            <v>2597801</v>
          </cell>
          <cell r="X690">
            <v>2788102</v>
          </cell>
          <cell r="Y690">
            <v>3059868</v>
          </cell>
          <cell r="Z690">
            <v>3210138</v>
          </cell>
          <cell r="AA690">
            <v>3332332</v>
          </cell>
          <cell r="AB690">
            <v>3437853</v>
          </cell>
          <cell r="AC690">
            <v>3547015</v>
          </cell>
          <cell r="AD690">
            <v>3659859</v>
          </cell>
          <cell r="AE690">
            <v>3771850</v>
          </cell>
          <cell r="AF690">
            <v>3882741</v>
          </cell>
          <cell r="AG690">
            <v>3996416</v>
          </cell>
          <cell r="AH690">
            <v>4104733</v>
          </cell>
          <cell r="AI690">
            <v>4216190</v>
          </cell>
          <cell r="AJ690">
            <v>4325057</v>
          </cell>
          <cell r="AK690">
            <v>4428616</v>
          </cell>
          <cell r="AL690">
            <v>4533697</v>
          </cell>
          <cell r="AM690">
            <v>4642993</v>
          </cell>
          <cell r="AN690">
            <v>4750402</v>
          </cell>
          <cell r="AO690">
            <v>4857399</v>
          </cell>
          <cell r="AP690">
            <v>4965522</v>
          </cell>
          <cell r="AQ690">
            <v>5080552</v>
          </cell>
          <cell r="AR690">
            <v>5193612</v>
          </cell>
          <cell r="AS690">
            <v>5298237</v>
          </cell>
          <cell r="AT690">
            <v>5406257</v>
          </cell>
          <cell r="AU690">
            <v>5516193</v>
          </cell>
          <cell r="AV690">
            <v>5638162</v>
          </cell>
          <cell r="AW690">
            <v>5765597</v>
          </cell>
          <cell r="AX690">
            <v>5942378</v>
          </cell>
          <cell r="AY690">
            <v>6287253</v>
          </cell>
          <cell r="AZ690">
            <v>7074091</v>
          </cell>
          <cell r="BA690">
            <v>7919969</v>
          </cell>
          <cell r="BB690">
            <v>7919969</v>
          </cell>
        </row>
        <row r="691">
          <cell r="A691" t="str">
            <v>MEIJER</v>
          </cell>
          <cell r="B691">
            <v>305683</v>
          </cell>
          <cell r="C691">
            <v>612889</v>
          </cell>
          <cell r="D691">
            <v>874918</v>
          </cell>
          <cell r="E691">
            <v>1119485</v>
          </cell>
          <cell r="F691">
            <v>1352754</v>
          </cell>
          <cell r="G691">
            <v>1715303</v>
          </cell>
          <cell r="H691">
            <v>1978742</v>
          </cell>
          <cell r="I691">
            <v>2216175</v>
          </cell>
          <cell r="J691">
            <v>2490535</v>
          </cell>
          <cell r="K691">
            <v>2780207</v>
          </cell>
          <cell r="L691">
            <v>3083853</v>
          </cell>
          <cell r="M691">
            <v>3368963</v>
          </cell>
          <cell r="N691">
            <v>3630416</v>
          </cell>
          <cell r="O691">
            <v>4155436</v>
          </cell>
          <cell r="P691">
            <v>4433611</v>
          </cell>
          <cell r="Q691">
            <v>4719803</v>
          </cell>
          <cell r="R691">
            <v>5041306</v>
          </cell>
          <cell r="S691">
            <v>5667615</v>
          </cell>
          <cell r="T691">
            <v>6122920</v>
          </cell>
          <cell r="U691">
            <v>6478781</v>
          </cell>
          <cell r="V691">
            <v>6900079</v>
          </cell>
          <cell r="W691">
            <v>7328463</v>
          </cell>
          <cell r="X691">
            <v>7876730</v>
          </cell>
          <cell r="Y691">
            <v>8634561</v>
          </cell>
          <cell r="Z691">
            <v>9101110</v>
          </cell>
          <cell r="AA691">
            <v>9451869</v>
          </cell>
          <cell r="AB691">
            <v>9765895</v>
          </cell>
          <cell r="AC691">
            <v>10084626</v>
          </cell>
          <cell r="AD691">
            <v>10407186</v>
          </cell>
          <cell r="AE691">
            <v>10741803</v>
          </cell>
          <cell r="AF691">
            <v>11087597</v>
          </cell>
          <cell r="AG691">
            <v>11420433</v>
          </cell>
          <cell r="AH691">
            <v>11742148</v>
          </cell>
          <cell r="AI691">
            <v>12094745</v>
          </cell>
          <cell r="AJ691">
            <v>12424484</v>
          </cell>
          <cell r="AK691">
            <v>12753886</v>
          </cell>
          <cell r="AL691">
            <v>13082272</v>
          </cell>
          <cell r="AM691">
            <v>13462249</v>
          </cell>
          <cell r="AN691">
            <v>13789946</v>
          </cell>
          <cell r="AO691">
            <v>14108750</v>
          </cell>
          <cell r="AP691">
            <v>14440310</v>
          </cell>
          <cell r="AQ691">
            <v>14811929</v>
          </cell>
          <cell r="AR691">
            <v>15160450</v>
          </cell>
          <cell r="AS691">
            <v>15518861</v>
          </cell>
          <cell r="AT691">
            <v>15921874</v>
          </cell>
          <cell r="AU691">
            <v>16407108</v>
          </cell>
          <cell r="AV691">
            <v>17041270</v>
          </cell>
          <cell r="AW691">
            <v>18209129</v>
          </cell>
          <cell r="AX691">
            <v>20515894</v>
          </cell>
          <cell r="AY691">
            <v>25408068</v>
          </cell>
          <cell r="AZ691">
            <v>31717245</v>
          </cell>
          <cell r="BA691">
            <v>32512524</v>
          </cell>
          <cell r="BB691">
            <v>32512524</v>
          </cell>
        </row>
        <row r="692">
          <cell r="A692" t="str">
            <v>METRO ONTARIO - CANADA</v>
          </cell>
          <cell r="B692">
            <v>117774</v>
          </cell>
          <cell r="C692">
            <v>234316</v>
          </cell>
          <cell r="D692">
            <v>341934</v>
          </cell>
          <cell r="E692">
            <v>448102</v>
          </cell>
          <cell r="F692">
            <v>583538</v>
          </cell>
          <cell r="G692">
            <v>778897</v>
          </cell>
          <cell r="H692">
            <v>913473</v>
          </cell>
          <cell r="I692">
            <v>1047928</v>
          </cell>
          <cell r="J692">
            <v>1170581</v>
          </cell>
          <cell r="K692">
            <v>1292185</v>
          </cell>
          <cell r="L692">
            <v>1430826</v>
          </cell>
          <cell r="M692">
            <v>1558477</v>
          </cell>
          <cell r="N692">
            <v>1687566</v>
          </cell>
          <cell r="O692">
            <v>1879673</v>
          </cell>
          <cell r="P692">
            <v>1991338</v>
          </cell>
          <cell r="Q692">
            <v>2125720</v>
          </cell>
          <cell r="R692">
            <v>2285717</v>
          </cell>
          <cell r="S692">
            <v>2533411</v>
          </cell>
          <cell r="T692">
            <v>2735350</v>
          </cell>
          <cell r="U692">
            <v>2919427</v>
          </cell>
          <cell r="V692">
            <v>3089929</v>
          </cell>
          <cell r="W692">
            <v>3258942</v>
          </cell>
          <cell r="X692">
            <v>3461042</v>
          </cell>
          <cell r="Y692">
            <v>3746089</v>
          </cell>
          <cell r="Z692">
            <v>3977074</v>
          </cell>
          <cell r="AA692">
            <v>4250813</v>
          </cell>
          <cell r="AB692">
            <v>4396371</v>
          </cell>
          <cell r="AC692">
            <v>4532909</v>
          </cell>
          <cell r="AD692">
            <v>4685152</v>
          </cell>
          <cell r="AE692">
            <v>4839962</v>
          </cell>
          <cell r="AF692">
            <v>4990059</v>
          </cell>
          <cell r="AG692">
            <v>5139152</v>
          </cell>
          <cell r="AH692">
            <v>5295828</v>
          </cell>
          <cell r="AI692">
            <v>5456999</v>
          </cell>
          <cell r="AJ692">
            <v>5614461</v>
          </cell>
          <cell r="AK692">
            <v>5758158</v>
          </cell>
          <cell r="AL692">
            <v>5914537</v>
          </cell>
          <cell r="AM692">
            <v>6072548</v>
          </cell>
          <cell r="AN692">
            <v>6219423</v>
          </cell>
          <cell r="AO692">
            <v>6371518</v>
          </cell>
          <cell r="AP692">
            <v>6545860</v>
          </cell>
          <cell r="AQ692">
            <v>6682557</v>
          </cell>
          <cell r="AR692">
            <v>6830282</v>
          </cell>
          <cell r="AS692">
            <v>6972893</v>
          </cell>
          <cell r="AT692">
            <v>7136803</v>
          </cell>
          <cell r="AU692">
            <v>7330131</v>
          </cell>
          <cell r="AV692">
            <v>7552338</v>
          </cell>
          <cell r="AW692">
            <v>7944649</v>
          </cell>
          <cell r="AX692">
            <v>8649611</v>
          </cell>
          <cell r="AY692">
            <v>9973960</v>
          </cell>
          <cell r="AZ692">
            <v>11500946</v>
          </cell>
          <cell r="BA692">
            <v>11774905</v>
          </cell>
          <cell r="BB692">
            <v>11774905</v>
          </cell>
        </row>
        <row r="693">
          <cell r="A693" t="str">
            <v>MORRISONS</v>
          </cell>
          <cell r="B693">
            <v>111492</v>
          </cell>
          <cell r="C693">
            <v>228278</v>
          </cell>
          <cell r="D693">
            <v>347382</v>
          </cell>
          <cell r="E693">
            <v>469839</v>
          </cell>
          <cell r="F693">
            <v>613321</v>
          </cell>
          <cell r="G693">
            <v>839353</v>
          </cell>
          <cell r="H693">
            <v>997853</v>
          </cell>
          <cell r="I693">
            <v>1163760</v>
          </cell>
          <cell r="J693">
            <v>1478397</v>
          </cell>
          <cell r="K693">
            <v>1679942</v>
          </cell>
          <cell r="L693">
            <v>1857719</v>
          </cell>
          <cell r="M693">
            <v>2031112</v>
          </cell>
          <cell r="N693">
            <v>2190535</v>
          </cell>
          <cell r="O693">
            <v>2377051</v>
          </cell>
          <cell r="P693">
            <v>2524475</v>
          </cell>
          <cell r="Q693">
            <v>2674955</v>
          </cell>
          <cell r="R693">
            <v>2852344</v>
          </cell>
          <cell r="S693">
            <v>3101026</v>
          </cell>
          <cell r="T693">
            <v>3320233</v>
          </cell>
          <cell r="U693">
            <v>3556229</v>
          </cell>
          <cell r="V693">
            <v>3792300</v>
          </cell>
          <cell r="W693">
            <v>4004293</v>
          </cell>
          <cell r="X693">
            <v>4244260</v>
          </cell>
          <cell r="Y693">
            <v>4527802</v>
          </cell>
          <cell r="Z693">
            <v>4756544</v>
          </cell>
          <cell r="AA693">
            <v>4991759</v>
          </cell>
          <cell r="AB693">
            <v>5221163</v>
          </cell>
          <cell r="AC693">
            <v>5442684</v>
          </cell>
          <cell r="AD693">
            <v>5684206</v>
          </cell>
          <cell r="AE693">
            <v>5910124</v>
          </cell>
          <cell r="AF693">
            <v>6119892</v>
          </cell>
          <cell r="AG693">
            <v>6323774</v>
          </cell>
          <cell r="AH693">
            <v>6526784</v>
          </cell>
          <cell r="AI693">
            <v>6732887</v>
          </cell>
          <cell r="AJ693">
            <v>6931390</v>
          </cell>
          <cell r="AK693">
            <v>7198275</v>
          </cell>
          <cell r="AL693">
            <v>7458679</v>
          </cell>
          <cell r="AM693">
            <v>7699436</v>
          </cell>
          <cell r="AN693">
            <v>7936286</v>
          </cell>
          <cell r="AO693">
            <v>8181993</v>
          </cell>
          <cell r="AP693">
            <v>8398800</v>
          </cell>
          <cell r="AQ693">
            <v>8602507</v>
          </cell>
          <cell r="AR693">
            <v>8808653</v>
          </cell>
          <cell r="AS693">
            <v>9040349</v>
          </cell>
          <cell r="AT693">
            <v>9464938</v>
          </cell>
          <cell r="AU693">
            <v>10120731</v>
          </cell>
          <cell r="AV693">
            <v>10648781</v>
          </cell>
          <cell r="AW693">
            <v>11181903</v>
          </cell>
          <cell r="AX693">
            <v>12082296</v>
          </cell>
          <cell r="AY693">
            <v>13893382</v>
          </cell>
          <cell r="AZ693">
            <v>18274289</v>
          </cell>
          <cell r="BA693">
            <v>19823935</v>
          </cell>
          <cell r="BB693">
            <v>19823935</v>
          </cell>
        </row>
        <row r="694">
          <cell r="A694" t="str">
            <v>OFFICE MAX</v>
          </cell>
          <cell r="B694">
            <v>264218</v>
          </cell>
          <cell r="C694">
            <v>505396</v>
          </cell>
          <cell r="D694">
            <v>732748</v>
          </cell>
          <cell r="E694">
            <v>949874</v>
          </cell>
          <cell r="F694">
            <v>1176201</v>
          </cell>
          <cell r="G694">
            <v>1476848</v>
          </cell>
          <cell r="H694">
            <v>1718076</v>
          </cell>
          <cell r="I694">
            <v>1941708</v>
          </cell>
          <cell r="J694">
            <v>2171330</v>
          </cell>
          <cell r="K694">
            <v>2412352</v>
          </cell>
          <cell r="L694">
            <v>2659846</v>
          </cell>
          <cell r="M694">
            <v>2903830</v>
          </cell>
          <cell r="N694">
            <v>3140480</v>
          </cell>
          <cell r="O694">
            <v>3432476</v>
          </cell>
          <cell r="P694">
            <v>3674216</v>
          </cell>
          <cell r="Q694">
            <v>3923791</v>
          </cell>
          <cell r="R694">
            <v>4212176</v>
          </cell>
          <cell r="S694">
            <v>4644896</v>
          </cell>
          <cell r="T694">
            <v>4928110</v>
          </cell>
          <cell r="U694">
            <v>5295666</v>
          </cell>
          <cell r="V694">
            <v>5643544</v>
          </cell>
          <cell r="W694">
            <v>5995626</v>
          </cell>
          <cell r="X694">
            <v>6426698</v>
          </cell>
          <cell r="Y694">
            <v>6965927</v>
          </cell>
          <cell r="Z694">
            <v>7345222</v>
          </cell>
          <cell r="AA694">
            <v>7635906</v>
          </cell>
          <cell r="AB694">
            <v>7901056</v>
          </cell>
          <cell r="AC694">
            <v>8166942</v>
          </cell>
          <cell r="AD694">
            <v>8443435</v>
          </cell>
          <cell r="AE694">
            <v>8719483</v>
          </cell>
          <cell r="AF694">
            <v>9004833</v>
          </cell>
          <cell r="AG694">
            <v>9289291</v>
          </cell>
          <cell r="AH694">
            <v>9579052</v>
          </cell>
          <cell r="AI694">
            <v>9875229</v>
          </cell>
          <cell r="AJ694">
            <v>10152857</v>
          </cell>
          <cell r="AK694">
            <v>10411309</v>
          </cell>
          <cell r="AL694">
            <v>10679578</v>
          </cell>
          <cell r="AM694">
            <v>10952145</v>
          </cell>
          <cell r="AN694">
            <v>11215192</v>
          </cell>
          <cell r="AO694">
            <v>11489645</v>
          </cell>
          <cell r="AP694">
            <v>11749332</v>
          </cell>
          <cell r="AQ694">
            <v>12009618</v>
          </cell>
          <cell r="AR694">
            <v>12265893</v>
          </cell>
          <cell r="AS694">
            <v>12528012</v>
          </cell>
          <cell r="AT694">
            <v>12810948</v>
          </cell>
          <cell r="AU694">
            <v>13092877</v>
          </cell>
          <cell r="AV694">
            <v>13412625</v>
          </cell>
          <cell r="AW694">
            <v>13961582</v>
          </cell>
          <cell r="AX694">
            <v>14978077</v>
          </cell>
          <cell r="AY694">
            <v>17244762</v>
          </cell>
          <cell r="AZ694">
            <v>20032066</v>
          </cell>
          <cell r="BA694">
            <v>20344330</v>
          </cell>
          <cell r="BB694">
            <v>20344330</v>
          </cell>
        </row>
        <row r="695">
          <cell r="A695" t="str">
            <v>PATHMARK</v>
          </cell>
          <cell r="B695">
            <v>220222</v>
          </cell>
          <cell r="C695">
            <v>436592</v>
          </cell>
          <cell r="D695">
            <v>619094</v>
          </cell>
          <cell r="E695">
            <v>792691</v>
          </cell>
          <cell r="F695">
            <v>1017927</v>
          </cell>
          <cell r="G695">
            <v>1307226</v>
          </cell>
          <cell r="H695">
            <v>1533416</v>
          </cell>
          <cell r="I695">
            <v>1752375</v>
          </cell>
          <cell r="J695">
            <v>1950520</v>
          </cell>
          <cell r="K695">
            <v>2146821</v>
          </cell>
          <cell r="L695">
            <v>2343405</v>
          </cell>
          <cell r="M695">
            <v>2570838</v>
          </cell>
          <cell r="N695">
            <v>2815263</v>
          </cell>
          <cell r="O695">
            <v>3128476</v>
          </cell>
          <cell r="P695">
            <v>3335207</v>
          </cell>
          <cell r="Q695">
            <v>3637196</v>
          </cell>
          <cell r="R695">
            <v>4117480</v>
          </cell>
          <cell r="S695">
            <v>4587196</v>
          </cell>
          <cell r="T695">
            <v>5009259</v>
          </cell>
          <cell r="U695">
            <v>5404490</v>
          </cell>
          <cell r="V695">
            <v>5836325</v>
          </cell>
          <cell r="W695">
            <v>6300690</v>
          </cell>
          <cell r="X695">
            <v>6737615</v>
          </cell>
          <cell r="Y695">
            <v>7317939</v>
          </cell>
          <cell r="Z695">
            <v>7815024</v>
          </cell>
          <cell r="AA695">
            <v>8173787</v>
          </cell>
          <cell r="AB695">
            <v>8447373</v>
          </cell>
          <cell r="AC695">
            <v>8744220</v>
          </cell>
          <cell r="AD695">
            <v>9020132</v>
          </cell>
          <cell r="AE695">
            <v>9293176</v>
          </cell>
          <cell r="AF695">
            <v>9575861</v>
          </cell>
          <cell r="AG695">
            <v>9865457</v>
          </cell>
          <cell r="AH695">
            <v>10150781</v>
          </cell>
          <cell r="AI695">
            <v>10425291</v>
          </cell>
          <cell r="AJ695">
            <v>10691832</v>
          </cell>
          <cell r="AK695">
            <v>10945024</v>
          </cell>
          <cell r="AL695">
            <v>11212092</v>
          </cell>
          <cell r="AM695">
            <v>11462066</v>
          </cell>
          <cell r="AN695">
            <v>11694818</v>
          </cell>
          <cell r="AO695">
            <v>11934338</v>
          </cell>
          <cell r="AP695">
            <v>12181241</v>
          </cell>
          <cell r="AQ695">
            <v>12416560</v>
          </cell>
          <cell r="AR695">
            <v>12647342</v>
          </cell>
          <cell r="AS695">
            <v>12875261</v>
          </cell>
          <cell r="AT695">
            <v>13096545</v>
          </cell>
          <cell r="AU695">
            <v>13331088</v>
          </cell>
          <cell r="AV695">
            <v>13590069</v>
          </cell>
          <cell r="AW695">
            <v>13944080</v>
          </cell>
          <cell r="AX695">
            <v>14537240</v>
          </cell>
          <cell r="AY695">
            <v>15915095</v>
          </cell>
          <cell r="AZ695">
            <v>18174505</v>
          </cell>
          <cell r="BA695">
            <v>18489928</v>
          </cell>
          <cell r="BB695">
            <v>18489928</v>
          </cell>
        </row>
        <row r="696">
          <cell r="A696" t="str">
            <v>PRICE CHOPPER</v>
          </cell>
          <cell r="B696">
            <v>268797</v>
          </cell>
          <cell r="C696">
            <v>524086</v>
          </cell>
          <cell r="D696">
            <v>757161</v>
          </cell>
          <cell r="E696">
            <v>978438</v>
          </cell>
          <cell r="F696">
            <v>1239572</v>
          </cell>
          <cell r="G696">
            <v>1562302</v>
          </cell>
          <cell r="H696">
            <v>1821109</v>
          </cell>
          <cell r="I696">
            <v>2064975</v>
          </cell>
          <cell r="J696">
            <v>2311385</v>
          </cell>
          <cell r="K696">
            <v>2569087</v>
          </cell>
          <cell r="L696">
            <v>2848528</v>
          </cell>
          <cell r="M696">
            <v>3101094</v>
          </cell>
          <cell r="N696">
            <v>3318412</v>
          </cell>
          <cell r="O696">
            <v>3648317</v>
          </cell>
          <cell r="P696">
            <v>3861762</v>
          </cell>
          <cell r="Q696">
            <v>4069389</v>
          </cell>
          <cell r="R696">
            <v>4349151</v>
          </cell>
          <cell r="S696">
            <v>4757005</v>
          </cell>
          <cell r="T696">
            <v>5105028</v>
          </cell>
          <cell r="U696">
            <v>5392186</v>
          </cell>
          <cell r="V696">
            <v>5665024</v>
          </cell>
          <cell r="W696">
            <v>5964190</v>
          </cell>
          <cell r="X696">
            <v>6331937</v>
          </cell>
          <cell r="Y696">
            <v>6801935</v>
          </cell>
          <cell r="Z696">
            <v>7238532</v>
          </cell>
          <cell r="AA696">
            <v>7600687</v>
          </cell>
          <cell r="AB696">
            <v>7897556</v>
          </cell>
          <cell r="AC696">
            <v>8207189</v>
          </cell>
          <cell r="AD696">
            <v>8505791</v>
          </cell>
          <cell r="AE696">
            <v>8805601</v>
          </cell>
          <cell r="AF696">
            <v>9111808</v>
          </cell>
          <cell r="AG696">
            <v>9417015</v>
          </cell>
          <cell r="AH696">
            <v>9709666</v>
          </cell>
          <cell r="AI696">
            <v>10003337</v>
          </cell>
          <cell r="AJ696">
            <v>10293907</v>
          </cell>
          <cell r="AK696">
            <v>10580747</v>
          </cell>
          <cell r="AL696">
            <v>10861506</v>
          </cell>
          <cell r="AM696">
            <v>11154038</v>
          </cell>
          <cell r="AN696">
            <v>11432785</v>
          </cell>
          <cell r="AO696">
            <v>11723877</v>
          </cell>
          <cell r="AP696">
            <v>12000936</v>
          </cell>
          <cell r="AQ696">
            <v>12284582</v>
          </cell>
          <cell r="AR696">
            <v>12553021</v>
          </cell>
          <cell r="AS696">
            <v>12834367</v>
          </cell>
          <cell r="AT696">
            <v>13138380</v>
          </cell>
          <cell r="AU696">
            <v>13488782</v>
          </cell>
          <cell r="AV696">
            <v>13908472</v>
          </cell>
          <cell r="AW696">
            <v>14584408</v>
          </cell>
          <cell r="AX696">
            <v>15600476</v>
          </cell>
          <cell r="AY696">
            <v>17846171</v>
          </cell>
          <cell r="AZ696">
            <v>20864959</v>
          </cell>
          <cell r="BA696">
            <v>21399325</v>
          </cell>
          <cell r="BB696">
            <v>21399325</v>
          </cell>
        </row>
        <row r="697">
          <cell r="A697" t="str">
            <v>PUBLIX</v>
          </cell>
          <cell r="B697">
            <v>2432492</v>
          </cell>
          <cell r="C697">
            <v>4832988</v>
          </cell>
          <cell r="D697">
            <v>7065904</v>
          </cell>
          <cell r="E697">
            <v>9275659</v>
          </cell>
          <cell r="F697">
            <v>11695506</v>
          </cell>
          <cell r="G697">
            <v>15396245</v>
          </cell>
          <cell r="H697">
            <v>18005296</v>
          </cell>
          <cell r="I697">
            <v>20481388</v>
          </cell>
          <cell r="J697">
            <v>23037332</v>
          </cell>
          <cell r="K697">
            <v>25677570</v>
          </cell>
          <cell r="L697">
            <v>28392177</v>
          </cell>
          <cell r="M697">
            <v>31117311</v>
          </cell>
          <cell r="N697">
            <v>33831437</v>
          </cell>
          <cell r="O697">
            <v>37520890</v>
          </cell>
          <cell r="P697">
            <v>40023003</v>
          </cell>
          <cell r="Q697">
            <v>43023841</v>
          </cell>
          <cell r="R697">
            <v>46291833</v>
          </cell>
          <cell r="S697">
            <v>51773824</v>
          </cell>
          <cell r="T697">
            <v>55727734</v>
          </cell>
          <cell r="U697">
            <v>59138454</v>
          </cell>
          <cell r="V697">
            <v>62822837</v>
          </cell>
          <cell r="W697">
            <v>66759369</v>
          </cell>
          <cell r="X697">
            <v>71523225</v>
          </cell>
          <cell r="Y697">
            <v>76621968</v>
          </cell>
          <cell r="Z697">
            <v>80054982</v>
          </cell>
          <cell r="AA697">
            <v>82643672</v>
          </cell>
          <cell r="AB697">
            <v>85121987</v>
          </cell>
          <cell r="AC697">
            <v>87592364</v>
          </cell>
          <cell r="AD697">
            <v>90155553</v>
          </cell>
          <cell r="AE697">
            <v>92715834</v>
          </cell>
          <cell r="AF697">
            <v>95328295</v>
          </cell>
          <cell r="AG697">
            <v>98048962</v>
          </cell>
          <cell r="AH697">
            <v>100770280</v>
          </cell>
          <cell r="AI697">
            <v>103217644</v>
          </cell>
          <cell r="AJ697">
            <v>105743953</v>
          </cell>
          <cell r="AK697">
            <v>108246083</v>
          </cell>
          <cell r="AL697">
            <v>110833347</v>
          </cell>
          <cell r="AM697">
            <v>113474702</v>
          </cell>
          <cell r="AN697">
            <v>116246238</v>
          </cell>
          <cell r="AO697">
            <v>119202927</v>
          </cell>
          <cell r="AP697">
            <v>122372667</v>
          </cell>
          <cell r="AQ697">
            <v>125940535</v>
          </cell>
          <cell r="AR697">
            <v>128855084</v>
          </cell>
          <cell r="AS697">
            <v>132226694</v>
          </cell>
          <cell r="AT697">
            <v>135063982</v>
          </cell>
          <cell r="AU697">
            <v>137967933</v>
          </cell>
          <cell r="AV697">
            <v>141058526</v>
          </cell>
          <cell r="AW697">
            <v>146444631</v>
          </cell>
          <cell r="AX697">
            <v>156182924</v>
          </cell>
          <cell r="AY697">
            <v>178508886</v>
          </cell>
          <cell r="AZ697">
            <v>204319523</v>
          </cell>
          <cell r="BA697">
            <v>207686917</v>
          </cell>
          <cell r="BB697">
            <v>207686917</v>
          </cell>
        </row>
        <row r="698">
          <cell r="A698" t="str">
            <v>QUICK CHECK</v>
          </cell>
          <cell r="B698">
            <v>151215</v>
          </cell>
          <cell r="C698">
            <v>277125</v>
          </cell>
          <cell r="D698">
            <v>395414</v>
          </cell>
          <cell r="E698">
            <v>503256</v>
          </cell>
          <cell r="F698">
            <v>613087</v>
          </cell>
          <cell r="G698">
            <v>723044</v>
          </cell>
          <cell r="H698">
            <v>838353</v>
          </cell>
          <cell r="I698">
            <v>944917</v>
          </cell>
          <cell r="J698">
            <v>1045419</v>
          </cell>
          <cell r="K698">
            <v>1146848</v>
          </cell>
          <cell r="L698">
            <v>1256145</v>
          </cell>
          <cell r="M698">
            <v>1377995</v>
          </cell>
          <cell r="N698">
            <v>1506800</v>
          </cell>
          <cell r="O698">
            <v>1616487</v>
          </cell>
          <cell r="P698">
            <v>1723267</v>
          </cell>
          <cell r="Q698">
            <v>1838964</v>
          </cell>
          <cell r="R698">
            <v>1970356</v>
          </cell>
          <cell r="S698">
            <v>2093424</v>
          </cell>
          <cell r="T698">
            <v>2237050</v>
          </cell>
          <cell r="U698">
            <v>2372678</v>
          </cell>
          <cell r="V698">
            <v>2485414</v>
          </cell>
          <cell r="W698">
            <v>2597175</v>
          </cell>
          <cell r="X698">
            <v>2710402</v>
          </cell>
          <cell r="Y698">
            <v>2867680</v>
          </cell>
          <cell r="Z698">
            <v>3054759</v>
          </cell>
          <cell r="AA698">
            <v>3179079</v>
          </cell>
          <cell r="AB698">
            <v>3305524</v>
          </cell>
          <cell r="AC698">
            <v>3426040</v>
          </cell>
          <cell r="AD698">
            <v>3538621</v>
          </cell>
          <cell r="AE698">
            <v>3647496</v>
          </cell>
          <cell r="AF698">
            <v>3773088</v>
          </cell>
          <cell r="AG698">
            <v>3879988</v>
          </cell>
          <cell r="AH698">
            <v>3988405</v>
          </cell>
          <cell r="AI698">
            <v>4088524</v>
          </cell>
          <cell r="AJ698">
            <v>4188596</v>
          </cell>
          <cell r="AK698">
            <v>4286123</v>
          </cell>
          <cell r="AL698">
            <v>4385003</v>
          </cell>
          <cell r="AM698">
            <v>4485991</v>
          </cell>
          <cell r="AN698">
            <v>4602083</v>
          </cell>
          <cell r="AO698">
            <v>4715650</v>
          </cell>
          <cell r="AP698">
            <v>4816805</v>
          </cell>
          <cell r="AQ698">
            <v>4917628</v>
          </cell>
          <cell r="AR698">
            <v>5017209</v>
          </cell>
          <cell r="AS698">
            <v>5122684</v>
          </cell>
          <cell r="AT698">
            <v>5221975</v>
          </cell>
          <cell r="AU698">
            <v>5365175</v>
          </cell>
          <cell r="AV698">
            <v>5464052</v>
          </cell>
          <cell r="AW698">
            <v>5572176</v>
          </cell>
          <cell r="AX698">
            <v>5697496</v>
          </cell>
          <cell r="AY698">
            <v>5867864</v>
          </cell>
          <cell r="AZ698">
            <v>6267014</v>
          </cell>
          <cell r="BA698">
            <v>7229320</v>
          </cell>
          <cell r="BB698">
            <v>7229320</v>
          </cell>
        </row>
        <row r="699">
          <cell r="A699" t="str">
            <v>ROUNDYS</v>
          </cell>
          <cell r="B699">
            <v>314149</v>
          </cell>
          <cell r="C699">
            <v>627727</v>
          </cell>
          <cell r="D699">
            <v>890883</v>
          </cell>
          <cell r="E699">
            <v>1127360</v>
          </cell>
          <cell r="F699">
            <v>1387640</v>
          </cell>
          <cell r="G699">
            <v>1753625</v>
          </cell>
          <cell r="H699">
            <v>2017628</v>
          </cell>
          <cell r="I699">
            <v>2255113</v>
          </cell>
          <cell r="J699">
            <v>2509902</v>
          </cell>
          <cell r="K699">
            <v>2763688</v>
          </cell>
          <cell r="L699">
            <v>3024502</v>
          </cell>
          <cell r="M699">
            <v>3267303</v>
          </cell>
          <cell r="N699">
            <v>3515169</v>
          </cell>
          <cell r="O699">
            <v>3930335</v>
          </cell>
          <cell r="P699">
            <v>4167907</v>
          </cell>
          <cell r="Q699">
            <v>4423068</v>
          </cell>
          <cell r="R699">
            <v>4702789</v>
          </cell>
          <cell r="S699">
            <v>5150483</v>
          </cell>
          <cell r="T699">
            <v>5490592</v>
          </cell>
          <cell r="U699">
            <v>5758749</v>
          </cell>
          <cell r="V699">
            <v>6054765</v>
          </cell>
          <cell r="W699">
            <v>6345899</v>
          </cell>
          <cell r="X699">
            <v>6740753</v>
          </cell>
          <cell r="Y699">
            <v>7310049</v>
          </cell>
          <cell r="Z699">
            <v>7688135</v>
          </cell>
          <cell r="AA699">
            <v>7963646</v>
          </cell>
          <cell r="AB699">
            <v>8233778</v>
          </cell>
          <cell r="AC699">
            <v>8509197</v>
          </cell>
          <cell r="AD699">
            <v>8797175</v>
          </cell>
          <cell r="AE699">
            <v>9057922</v>
          </cell>
          <cell r="AF699">
            <v>9325723</v>
          </cell>
          <cell r="AG699">
            <v>9580436</v>
          </cell>
          <cell r="AH699">
            <v>9845324</v>
          </cell>
          <cell r="AI699">
            <v>10112010</v>
          </cell>
          <cell r="AJ699">
            <v>10363058</v>
          </cell>
          <cell r="AK699">
            <v>10608342</v>
          </cell>
          <cell r="AL699">
            <v>10846765</v>
          </cell>
          <cell r="AM699">
            <v>11107542</v>
          </cell>
          <cell r="AN699">
            <v>11353906</v>
          </cell>
          <cell r="AO699">
            <v>11598404</v>
          </cell>
          <cell r="AP699">
            <v>11841594</v>
          </cell>
          <cell r="AQ699">
            <v>12120747</v>
          </cell>
          <cell r="AR699">
            <v>12369034</v>
          </cell>
          <cell r="AS699">
            <v>12629411</v>
          </cell>
          <cell r="AT699">
            <v>12885750</v>
          </cell>
          <cell r="AU699">
            <v>13165720</v>
          </cell>
          <cell r="AV699">
            <v>13483609</v>
          </cell>
          <cell r="AW699">
            <v>14185344</v>
          </cell>
          <cell r="AX699">
            <v>15203129</v>
          </cell>
          <cell r="AY699">
            <v>17411706</v>
          </cell>
          <cell r="AZ699">
            <v>20311687</v>
          </cell>
          <cell r="BA699">
            <v>20820692</v>
          </cell>
          <cell r="BB699">
            <v>20820692</v>
          </cell>
        </row>
        <row r="700">
          <cell r="A700" t="str">
            <v>SAFEWAY</v>
          </cell>
          <cell r="B700">
            <v>11125163</v>
          </cell>
          <cell r="C700">
            <v>22133342</v>
          </cell>
          <cell r="D700">
            <v>32587894</v>
          </cell>
          <cell r="E700">
            <v>43001025</v>
          </cell>
          <cell r="F700">
            <v>53774597</v>
          </cell>
          <cell r="G700">
            <v>69433300</v>
          </cell>
          <cell r="H700">
            <v>80649534</v>
          </cell>
          <cell r="I700">
            <v>91314775</v>
          </cell>
          <cell r="J700">
            <v>102491230</v>
          </cell>
          <cell r="K700">
            <v>114177235</v>
          </cell>
          <cell r="L700">
            <v>125974301</v>
          </cell>
          <cell r="M700">
            <v>137587802</v>
          </cell>
          <cell r="N700">
            <v>149557118</v>
          </cell>
          <cell r="O700">
            <v>165260412</v>
          </cell>
          <cell r="P700">
            <v>177657009</v>
          </cell>
          <cell r="Q700">
            <v>190381440</v>
          </cell>
          <cell r="R700">
            <v>203915733</v>
          </cell>
          <cell r="S700">
            <v>224922926</v>
          </cell>
          <cell r="T700">
            <v>241855599</v>
          </cell>
          <cell r="U700">
            <v>256240843</v>
          </cell>
          <cell r="V700">
            <v>272427126</v>
          </cell>
          <cell r="W700">
            <v>289120568</v>
          </cell>
          <cell r="X700">
            <v>309078551</v>
          </cell>
          <cell r="Y700">
            <v>333017583</v>
          </cell>
          <cell r="Z700">
            <v>350922871</v>
          </cell>
          <cell r="AA700">
            <v>365010898</v>
          </cell>
          <cell r="AB700">
            <v>378214255</v>
          </cell>
          <cell r="AC700">
            <v>391475122</v>
          </cell>
          <cell r="AD700">
            <v>405455478</v>
          </cell>
          <cell r="AE700">
            <v>419263298</v>
          </cell>
          <cell r="AF700">
            <v>433343985</v>
          </cell>
          <cell r="AG700">
            <v>447381741</v>
          </cell>
          <cell r="AH700">
            <v>461658867</v>
          </cell>
          <cell r="AI700">
            <v>476129100</v>
          </cell>
          <cell r="AJ700">
            <v>489457897</v>
          </cell>
          <cell r="AK700">
            <v>502618601</v>
          </cell>
          <cell r="AL700">
            <v>515793415</v>
          </cell>
          <cell r="AM700">
            <v>529030659</v>
          </cell>
          <cell r="AN700">
            <v>541983639</v>
          </cell>
          <cell r="AO700">
            <v>555307698</v>
          </cell>
          <cell r="AP700">
            <v>568597675</v>
          </cell>
          <cell r="AQ700">
            <v>582157658</v>
          </cell>
          <cell r="AR700">
            <v>595729762</v>
          </cell>
          <cell r="AS700">
            <v>609248714</v>
          </cell>
          <cell r="AT700">
            <v>623933703</v>
          </cell>
          <cell r="AU700">
            <v>639584642</v>
          </cell>
          <cell r="AV700">
            <v>656563370</v>
          </cell>
          <cell r="AW700">
            <v>684055088</v>
          </cell>
          <cell r="AX700">
            <v>732055789</v>
          </cell>
          <cell r="AY700">
            <v>837237908</v>
          </cell>
          <cell r="AZ700">
            <v>960164711</v>
          </cell>
          <cell r="BA700">
            <v>980357020</v>
          </cell>
          <cell r="BB700">
            <v>980357020</v>
          </cell>
        </row>
        <row r="701">
          <cell r="A701" t="str">
            <v>SAVE MART</v>
          </cell>
          <cell r="B701">
            <v>343281</v>
          </cell>
          <cell r="C701">
            <v>684122</v>
          </cell>
          <cell r="D701">
            <v>1007783</v>
          </cell>
          <cell r="E701">
            <v>1320314</v>
          </cell>
          <cell r="F701">
            <v>1622259</v>
          </cell>
          <cell r="G701">
            <v>2087544</v>
          </cell>
          <cell r="H701">
            <v>2407471</v>
          </cell>
          <cell r="I701">
            <v>2701494</v>
          </cell>
          <cell r="J701">
            <v>3009673</v>
          </cell>
          <cell r="K701">
            <v>3333544</v>
          </cell>
          <cell r="L701">
            <v>3671633</v>
          </cell>
          <cell r="M701">
            <v>4024109</v>
          </cell>
          <cell r="N701">
            <v>4361297</v>
          </cell>
          <cell r="O701">
            <v>4882417</v>
          </cell>
          <cell r="P701">
            <v>5242113</v>
          </cell>
          <cell r="Q701">
            <v>5606201</v>
          </cell>
          <cell r="R701">
            <v>6009572</v>
          </cell>
          <cell r="S701">
            <v>6659680</v>
          </cell>
          <cell r="T701">
            <v>7183855</v>
          </cell>
          <cell r="U701">
            <v>7585936</v>
          </cell>
          <cell r="V701">
            <v>8130333</v>
          </cell>
          <cell r="W701">
            <v>8711186</v>
          </cell>
          <cell r="X701">
            <v>9406002</v>
          </cell>
          <cell r="Y701">
            <v>10223051</v>
          </cell>
          <cell r="Z701">
            <v>10819828</v>
          </cell>
          <cell r="AA701">
            <v>11240267</v>
          </cell>
          <cell r="AB701">
            <v>11631885</v>
          </cell>
          <cell r="AC701">
            <v>12024633</v>
          </cell>
          <cell r="AD701">
            <v>12441535</v>
          </cell>
          <cell r="AE701">
            <v>12836821</v>
          </cell>
          <cell r="AF701">
            <v>13245255</v>
          </cell>
          <cell r="AG701">
            <v>13639715</v>
          </cell>
          <cell r="AH701">
            <v>14050619</v>
          </cell>
          <cell r="AI701">
            <v>14463331</v>
          </cell>
          <cell r="AJ701">
            <v>14862622</v>
          </cell>
          <cell r="AK701">
            <v>15282950</v>
          </cell>
          <cell r="AL701">
            <v>15692771</v>
          </cell>
          <cell r="AM701">
            <v>16116055</v>
          </cell>
          <cell r="AN701">
            <v>16522306</v>
          </cell>
          <cell r="AO701">
            <v>16955811</v>
          </cell>
          <cell r="AP701">
            <v>17358840</v>
          </cell>
          <cell r="AQ701">
            <v>17768523</v>
          </cell>
          <cell r="AR701">
            <v>18171599</v>
          </cell>
          <cell r="AS701">
            <v>18564393</v>
          </cell>
          <cell r="AT701">
            <v>18965946</v>
          </cell>
          <cell r="AU701">
            <v>19373342</v>
          </cell>
          <cell r="AV701">
            <v>19808296</v>
          </cell>
          <cell r="AW701">
            <v>20414994</v>
          </cell>
          <cell r="AX701">
            <v>21361152</v>
          </cell>
          <cell r="AY701">
            <v>23540573</v>
          </cell>
          <cell r="AZ701">
            <v>27006247</v>
          </cell>
          <cell r="BA701">
            <v>27453302</v>
          </cell>
          <cell r="BB701">
            <v>27453302</v>
          </cell>
        </row>
        <row r="702">
          <cell r="A702" t="str">
            <v>SOBEYS</v>
          </cell>
          <cell r="B702">
            <v>486628</v>
          </cell>
          <cell r="C702">
            <v>968248</v>
          </cell>
          <cell r="D702">
            <v>1420938</v>
          </cell>
          <cell r="E702">
            <v>1845543</v>
          </cell>
          <cell r="F702">
            <v>2220740</v>
          </cell>
          <cell r="G702">
            <v>2737868</v>
          </cell>
          <cell r="H702">
            <v>3144913</v>
          </cell>
          <cell r="I702">
            <v>3526357</v>
          </cell>
          <cell r="J702">
            <v>3874780</v>
          </cell>
          <cell r="K702">
            <v>4244199</v>
          </cell>
          <cell r="L702">
            <v>4653840</v>
          </cell>
          <cell r="M702">
            <v>5046073</v>
          </cell>
          <cell r="N702">
            <v>5404136</v>
          </cell>
          <cell r="O702">
            <v>6007155</v>
          </cell>
          <cell r="P702">
            <v>6351933</v>
          </cell>
          <cell r="Q702">
            <v>6735928</v>
          </cell>
          <cell r="R702">
            <v>7120046</v>
          </cell>
          <cell r="S702">
            <v>7705898</v>
          </cell>
          <cell r="T702">
            <v>8190847</v>
          </cell>
          <cell r="U702">
            <v>8630973</v>
          </cell>
          <cell r="V702">
            <v>9192690</v>
          </cell>
          <cell r="W702">
            <v>9655613</v>
          </cell>
          <cell r="X702">
            <v>10389471</v>
          </cell>
          <cell r="Y702">
            <v>11283924</v>
          </cell>
          <cell r="Z702">
            <v>12124181</v>
          </cell>
          <cell r="AA702">
            <v>13003048</v>
          </cell>
          <cell r="AB702">
            <v>13632976</v>
          </cell>
          <cell r="AC702">
            <v>14273903</v>
          </cell>
          <cell r="AD702">
            <v>14921175</v>
          </cell>
          <cell r="AE702">
            <v>15574688</v>
          </cell>
          <cell r="AF702">
            <v>16243667</v>
          </cell>
          <cell r="AG702">
            <v>16875216</v>
          </cell>
          <cell r="AH702">
            <v>17534898</v>
          </cell>
          <cell r="AI702">
            <v>18192037</v>
          </cell>
          <cell r="AJ702">
            <v>18853951</v>
          </cell>
          <cell r="AK702">
            <v>19442900</v>
          </cell>
          <cell r="AL702">
            <v>20042589</v>
          </cell>
          <cell r="AM702">
            <v>20649987</v>
          </cell>
          <cell r="AN702">
            <v>21284332</v>
          </cell>
          <cell r="AO702">
            <v>21907993</v>
          </cell>
          <cell r="AP702">
            <v>22512332</v>
          </cell>
          <cell r="AQ702">
            <v>23108781</v>
          </cell>
          <cell r="AR702">
            <v>23673449</v>
          </cell>
          <cell r="AS702">
            <v>24244299</v>
          </cell>
          <cell r="AT702">
            <v>24781441</v>
          </cell>
          <cell r="AU702">
            <v>25393719</v>
          </cell>
          <cell r="AV702">
            <v>26196194</v>
          </cell>
          <cell r="AW702">
            <v>27676782</v>
          </cell>
          <cell r="AX702">
            <v>29999772</v>
          </cell>
          <cell r="AY702">
            <v>34294124</v>
          </cell>
          <cell r="AZ702">
            <v>39535885</v>
          </cell>
          <cell r="BA702">
            <v>40588634</v>
          </cell>
          <cell r="BB702">
            <v>40588634</v>
          </cell>
        </row>
        <row r="703">
          <cell r="A703" t="str">
            <v>STAPLES</v>
          </cell>
          <cell r="B703">
            <v>1221048</v>
          </cell>
          <cell r="C703">
            <v>2354295</v>
          </cell>
          <cell r="D703">
            <v>3425499</v>
          </cell>
          <cell r="E703">
            <v>4432831</v>
          </cell>
          <cell r="F703">
            <v>5473788</v>
          </cell>
          <cell r="G703">
            <v>6708658</v>
          </cell>
          <cell r="H703">
            <v>7675497</v>
          </cell>
          <cell r="I703">
            <v>8797918</v>
          </cell>
          <cell r="J703">
            <v>9938368</v>
          </cell>
          <cell r="K703">
            <v>11122633</v>
          </cell>
          <cell r="L703">
            <v>12359765</v>
          </cell>
          <cell r="M703">
            <v>13600817</v>
          </cell>
          <cell r="N703">
            <v>14663596</v>
          </cell>
          <cell r="O703">
            <v>16280756</v>
          </cell>
          <cell r="P703">
            <v>17572684</v>
          </cell>
          <cell r="Q703">
            <v>18839274</v>
          </cell>
          <cell r="R703">
            <v>20149870</v>
          </cell>
          <cell r="S703">
            <v>21819542</v>
          </cell>
          <cell r="T703">
            <v>23066741</v>
          </cell>
          <cell r="U703">
            <v>24279086</v>
          </cell>
          <cell r="V703">
            <v>25591369</v>
          </cell>
          <cell r="W703">
            <v>26840967</v>
          </cell>
          <cell r="X703">
            <v>28265935</v>
          </cell>
          <cell r="Y703">
            <v>30201058</v>
          </cell>
          <cell r="Z703">
            <v>31633177</v>
          </cell>
          <cell r="AA703">
            <v>32711560</v>
          </cell>
          <cell r="AB703">
            <v>33704046</v>
          </cell>
          <cell r="AC703">
            <v>34581080</v>
          </cell>
          <cell r="AD703">
            <v>35624139</v>
          </cell>
          <cell r="AE703">
            <v>36840536</v>
          </cell>
          <cell r="AF703">
            <v>37972145</v>
          </cell>
          <cell r="AG703">
            <v>39200980</v>
          </cell>
          <cell r="AH703">
            <v>40261130</v>
          </cell>
          <cell r="AI703">
            <v>41368556</v>
          </cell>
          <cell r="AJ703">
            <v>42431994</v>
          </cell>
          <cell r="AK703">
            <v>43345992</v>
          </cell>
          <cell r="AL703">
            <v>44216774</v>
          </cell>
          <cell r="AM703">
            <v>45038961</v>
          </cell>
          <cell r="AN703">
            <v>45846247</v>
          </cell>
          <cell r="AO703">
            <v>46630093</v>
          </cell>
          <cell r="AP703">
            <v>47586067</v>
          </cell>
          <cell r="AQ703">
            <v>48738676</v>
          </cell>
          <cell r="AR703">
            <v>49808222</v>
          </cell>
          <cell r="AS703">
            <v>50831384</v>
          </cell>
          <cell r="AT703">
            <v>51872294</v>
          </cell>
          <cell r="AU703">
            <v>53232351</v>
          </cell>
          <cell r="AV703">
            <v>55073171</v>
          </cell>
          <cell r="AW703">
            <v>57421092</v>
          </cell>
          <cell r="AX703">
            <v>61265068</v>
          </cell>
          <cell r="AY703">
            <v>66837828</v>
          </cell>
          <cell r="AZ703">
            <v>78356204</v>
          </cell>
          <cell r="BA703">
            <v>80510812</v>
          </cell>
          <cell r="BB703">
            <v>80510812</v>
          </cell>
        </row>
        <row r="704">
          <cell r="A704" t="str">
            <v>STATER BROS</v>
          </cell>
          <cell r="B704">
            <v>479394</v>
          </cell>
          <cell r="C704">
            <v>948048</v>
          </cell>
          <cell r="D704">
            <v>1357188</v>
          </cell>
          <cell r="E704">
            <v>1770584</v>
          </cell>
          <cell r="F704">
            <v>2185039</v>
          </cell>
          <cell r="G704">
            <v>2775931</v>
          </cell>
          <cell r="H704">
            <v>3196512</v>
          </cell>
          <cell r="I704">
            <v>3605887</v>
          </cell>
          <cell r="J704">
            <v>4020324</v>
          </cell>
          <cell r="K704">
            <v>4452609</v>
          </cell>
          <cell r="L704">
            <v>4898476</v>
          </cell>
          <cell r="M704">
            <v>5349557</v>
          </cell>
          <cell r="N704">
            <v>5774954</v>
          </cell>
          <cell r="O704">
            <v>6338228</v>
          </cell>
          <cell r="P704">
            <v>6784074</v>
          </cell>
          <cell r="Q704">
            <v>7235743</v>
          </cell>
          <cell r="R704">
            <v>7720612</v>
          </cell>
          <cell r="S704">
            <v>8539746</v>
          </cell>
          <cell r="T704">
            <v>9213287</v>
          </cell>
          <cell r="U704">
            <v>9692172</v>
          </cell>
          <cell r="V704">
            <v>10202615</v>
          </cell>
          <cell r="W704">
            <v>10712804</v>
          </cell>
          <cell r="X704">
            <v>11393881</v>
          </cell>
          <cell r="Y704">
            <v>12350915</v>
          </cell>
          <cell r="Z704">
            <v>13047402</v>
          </cell>
          <cell r="AA704">
            <v>13527073</v>
          </cell>
          <cell r="AB704">
            <v>14013066</v>
          </cell>
          <cell r="AC704">
            <v>14483165</v>
          </cell>
          <cell r="AD704">
            <v>14990451</v>
          </cell>
          <cell r="AE704">
            <v>15497063</v>
          </cell>
          <cell r="AF704">
            <v>16006655</v>
          </cell>
          <cell r="AG704">
            <v>16535234</v>
          </cell>
          <cell r="AH704">
            <v>17032601</v>
          </cell>
          <cell r="AI704">
            <v>17517269</v>
          </cell>
          <cell r="AJ704">
            <v>17976982</v>
          </cell>
          <cell r="AK704">
            <v>18394267</v>
          </cell>
          <cell r="AL704">
            <v>18797932</v>
          </cell>
          <cell r="AM704">
            <v>19213775</v>
          </cell>
          <cell r="AN704">
            <v>19629388</v>
          </cell>
          <cell r="AO704">
            <v>20056496</v>
          </cell>
          <cell r="AP704">
            <v>20482770</v>
          </cell>
          <cell r="AQ704">
            <v>20913879</v>
          </cell>
          <cell r="AR704">
            <v>21314617</v>
          </cell>
          <cell r="AS704">
            <v>21715870</v>
          </cell>
          <cell r="AT704">
            <v>22117364</v>
          </cell>
          <cell r="AU704">
            <v>22531961</v>
          </cell>
          <cell r="AV704">
            <v>22983949</v>
          </cell>
          <cell r="AW704">
            <v>23667267</v>
          </cell>
          <cell r="AX704">
            <v>24822061</v>
          </cell>
          <cell r="AY704">
            <v>27312657</v>
          </cell>
          <cell r="AZ704">
            <v>31425331</v>
          </cell>
          <cell r="BA704">
            <v>31919136</v>
          </cell>
          <cell r="BB704">
            <v>31919136</v>
          </cell>
        </row>
        <row r="705">
          <cell r="A705" t="str">
            <v>SVU CORPORATE 30</v>
          </cell>
          <cell r="B705">
            <v>282383</v>
          </cell>
          <cell r="C705">
            <v>559205</v>
          </cell>
          <cell r="D705">
            <v>814089</v>
          </cell>
          <cell r="E705">
            <v>1062858</v>
          </cell>
          <cell r="F705">
            <v>1339233</v>
          </cell>
          <cell r="G705">
            <v>1721066</v>
          </cell>
          <cell r="H705">
            <v>2023305</v>
          </cell>
          <cell r="I705">
            <v>2307971</v>
          </cell>
          <cell r="J705">
            <v>2591886</v>
          </cell>
          <cell r="K705">
            <v>2901919</v>
          </cell>
          <cell r="L705">
            <v>3196308</v>
          </cell>
          <cell r="M705">
            <v>3484004</v>
          </cell>
          <cell r="N705">
            <v>3777302</v>
          </cell>
          <cell r="O705">
            <v>4163668</v>
          </cell>
          <cell r="P705">
            <v>4464916</v>
          </cell>
          <cell r="Q705">
            <v>4766826</v>
          </cell>
          <cell r="R705">
            <v>5105211</v>
          </cell>
          <cell r="S705">
            <v>5634783</v>
          </cell>
          <cell r="T705">
            <v>6066945</v>
          </cell>
          <cell r="U705">
            <v>6424553</v>
          </cell>
          <cell r="V705">
            <v>6828644</v>
          </cell>
          <cell r="W705">
            <v>7242856</v>
          </cell>
          <cell r="X705">
            <v>7730630</v>
          </cell>
          <cell r="Y705">
            <v>8314109</v>
          </cell>
          <cell r="Z705">
            <v>8752612</v>
          </cell>
          <cell r="AA705">
            <v>9091570</v>
          </cell>
          <cell r="AB705">
            <v>9415966</v>
          </cell>
          <cell r="AC705">
            <v>9739872</v>
          </cell>
          <cell r="AD705">
            <v>10072217</v>
          </cell>
          <cell r="AE705">
            <v>10417020</v>
          </cell>
          <cell r="AF705">
            <v>10763689</v>
          </cell>
          <cell r="AG705">
            <v>11102151</v>
          </cell>
          <cell r="AH705">
            <v>11460140</v>
          </cell>
          <cell r="AI705">
            <v>11788975</v>
          </cell>
          <cell r="AJ705">
            <v>12101411</v>
          </cell>
          <cell r="AK705">
            <v>12420601</v>
          </cell>
          <cell r="AL705">
            <v>12753854</v>
          </cell>
          <cell r="AM705">
            <v>13077660</v>
          </cell>
          <cell r="AN705">
            <v>13400194</v>
          </cell>
          <cell r="AO705">
            <v>13715030</v>
          </cell>
          <cell r="AP705">
            <v>14168014</v>
          </cell>
          <cell r="AQ705">
            <v>14505991</v>
          </cell>
          <cell r="AR705">
            <v>14853878</v>
          </cell>
          <cell r="AS705">
            <v>15203426</v>
          </cell>
          <cell r="AT705">
            <v>15588312</v>
          </cell>
          <cell r="AU705">
            <v>16014938</v>
          </cell>
          <cell r="AV705">
            <v>16486921</v>
          </cell>
          <cell r="AW705">
            <v>17191832</v>
          </cell>
          <cell r="AX705">
            <v>18799375</v>
          </cell>
          <cell r="AY705">
            <v>21558964</v>
          </cell>
          <cell r="AZ705">
            <v>25294680</v>
          </cell>
          <cell r="BA705">
            <v>25795293</v>
          </cell>
          <cell r="BB705">
            <v>25795293</v>
          </cell>
        </row>
        <row r="706">
          <cell r="A706" t="str">
            <v>SVU INDEPENDENT 10/25</v>
          </cell>
          <cell r="B706">
            <v>81455</v>
          </cell>
          <cell r="C706">
            <v>149777</v>
          </cell>
          <cell r="D706">
            <v>213909</v>
          </cell>
          <cell r="E706">
            <v>277937</v>
          </cell>
          <cell r="F706">
            <v>342680</v>
          </cell>
          <cell r="G706">
            <v>431963</v>
          </cell>
          <cell r="H706">
            <v>499704</v>
          </cell>
          <cell r="I706">
            <v>555436</v>
          </cell>
          <cell r="J706">
            <v>653841</v>
          </cell>
          <cell r="K706">
            <v>759744</v>
          </cell>
          <cell r="L706">
            <v>824302</v>
          </cell>
          <cell r="M706">
            <v>895367</v>
          </cell>
          <cell r="N706">
            <v>962727</v>
          </cell>
          <cell r="O706">
            <v>1053380</v>
          </cell>
          <cell r="P706">
            <v>1125968</v>
          </cell>
          <cell r="Q706">
            <v>1198493</v>
          </cell>
          <cell r="R706">
            <v>1278322</v>
          </cell>
          <cell r="S706">
            <v>1403564</v>
          </cell>
          <cell r="T706">
            <v>1490535</v>
          </cell>
          <cell r="U706">
            <v>1588986</v>
          </cell>
          <cell r="V706">
            <v>1688626</v>
          </cell>
          <cell r="W706">
            <v>1788618</v>
          </cell>
          <cell r="X706">
            <v>1899813</v>
          </cell>
          <cell r="Y706">
            <v>2069000</v>
          </cell>
          <cell r="Z706">
            <v>2189487</v>
          </cell>
          <cell r="AA706">
            <v>2277783</v>
          </cell>
          <cell r="AB706">
            <v>2363406</v>
          </cell>
          <cell r="AC706">
            <v>2445476</v>
          </cell>
          <cell r="AD706">
            <v>2528744</v>
          </cell>
          <cell r="AE706">
            <v>2614521</v>
          </cell>
          <cell r="AF706">
            <v>2703079</v>
          </cell>
          <cell r="AG706">
            <v>2791943</v>
          </cell>
          <cell r="AH706">
            <v>2881459</v>
          </cell>
          <cell r="AI706">
            <v>2968673</v>
          </cell>
          <cell r="AJ706">
            <v>3049493</v>
          </cell>
          <cell r="AK706">
            <v>3129212</v>
          </cell>
          <cell r="AL706">
            <v>3219540</v>
          </cell>
          <cell r="AM706">
            <v>3305215</v>
          </cell>
          <cell r="AN706">
            <v>3393270</v>
          </cell>
          <cell r="AO706">
            <v>3483160</v>
          </cell>
          <cell r="AP706">
            <v>3574389</v>
          </cell>
          <cell r="AQ706">
            <v>3688742</v>
          </cell>
          <cell r="AR706">
            <v>3791576</v>
          </cell>
          <cell r="AS706">
            <v>3892294</v>
          </cell>
          <cell r="AT706">
            <v>3996023</v>
          </cell>
          <cell r="AU706">
            <v>4123221</v>
          </cell>
          <cell r="AV706">
            <v>4259348</v>
          </cell>
          <cell r="AW706">
            <v>4441100</v>
          </cell>
          <cell r="AX706">
            <v>4739448</v>
          </cell>
          <cell r="AY706">
            <v>5235383</v>
          </cell>
          <cell r="AZ706">
            <v>6237114</v>
          </cell>
          <cell r="BA706">
            <v>6710215</v>
          </cell>
          <cell r="BB706">
            <v>6710215</v>
          </cell>
        </row>
        <row r="707">
          <cell r="A707" t="str">
            <v>SVU INDEPENDENT 5/25</v>
          </cell>
          <cell r="B707">
            <v>152258</v>
          </cell>
          <cell r="C707">
            <v>278936</v>
          </cell>
          <cell r="D707">
            <v>395932</v>
          </cell>
          <cell r="E707">
            <v>513569</v>
          </cell>
          <cell r="F707">
            <v>631041</v>
          </cell>
          <cell r="G707">
            <v>801545</v>
          </cell>
          <cell r="H707">
            <v>925713</v>
          </cell>
          <cell r="I707">
            <v>1032627</v>
          </cell>
          <cell r="J707">
            <v>1231424</v>
          </cell>
          <cell r="K707">
            <v>1429735</v>
          </cell>
          <cell r="L707">
            <v>1547944</v>
          </cell>
          <cell r="M707">
            <v>1676247</v>
          </cell>
          <cell r="N707">
            <v>1801831</v>
          </cell>
          <cell r="O707">
            <v>1974578</v>
          </cell>
          <cell r="P707">
            <v>2108561</v>
          </cell>
          <cell r="Q707">
            <v>2244426</v>
          </cell>
          <cell r="R707">
            <v>2396117</v>
          </cell>
          <cell r="S707">
            <v>2639442</v>
          </cell>
          <cell r="T707">
            <v>2805466</v>
          </cell>
          <cell r="U707">
            <v>2995373</v>
          </cell>
          <cell r="V707">
            <v>3183147</v>
          </cell>
          <cell r="W707">
            <v>3372592</v>
          </cell>
          <cell r="X707">
            <v>3584503</v>
          </cell>
          <cell r="Y707">
            <v>3917496</v>
          </cell>
          <cell r="Z707">
            <v>4152268</v>
          </cell>
          <cell r="AA707">
            <v>4326041</v>
          </cell>
          <cell r="AB707">
            <v>4492913</v>
          </cell>
          <cell r="AC707">
            <v>4654315</v>
          </cell>
          <cell r="AD707">
            <v>4818291</v>
          </cell>
          <cell r="AE707">
            <v>4986411</v>
          </cell>
          <cell r="AF707">
            <v>5158582</v>
          </cell>
          <cell r="AG707">
            <v>5332499</v>
          </cell>
          <cell r="AH707">
            <v>5501484</v>
          </cell>
          <cell r="AI707">
            <v>5672763</v>
          </cell>
          <cell r="AJ707">
            <v>5831245</v>
          </cell>
          <cell r="AK707">
            <v>5988708</v>
          </cell>
          <cell r="AL707">
            <v>6179892</v>
          </cell>
          <cell r="AM707">
            <v>6358461</v>
          </cell>
          <cell r="AN707">
            <v>6544929</v>
          </cell>
          <cell r="AO707">
            <v>6736460</v>
          </cell>
          <cell r="AP707">
            <v>6951907</v>
          </cell>
          <cell r="AQ707">
            <v>7256770</v>
          </cell>
          <cell r="AR707">
            <v>7511659</v>
          </cell>
          <cell r="AS707">
            <v>7764760</v>
          </cell>
          <cell r="AT707">
            <v>8007738</v>
          </cell>
          <cell r="AU707">
            <v>8305356</v>
          </cell>
          <cell r="AV707">
            <v>8620240</v>
          </cell>
          <cell r="AW707">
            <v>9036351</v>
          </cell>
          <cell r="AX707">
            <v>9667295</v>
          </cell>
          <cell r="AY707">
            <v>10663269</v>
          </cell>
          <cell r="AZ707">
            <v>12650267</v>
          </cell>
          <cell r="BA707">
            <v>13469335</v>
          </cell>
          <cell r="BB707">
            <v>13469335</v>
          </cell>
        </row>
        <row r="708">
          <cell r="A708" t="str">
            <v>TOYS R US</v>
          </cell>
          <cell r="B708">
            <v>122447</v>
          </cell>
          <cell r="C708">
            <v>221461</v>
          </cell>
          <cell r="D708">
            <v>307349</v>
          </cell>
          <cell r="E708">
            <v>397251</v>
          </cell>
          <cell r="F708">
            <v>491111</v>
          </cell>
          <cell r="G708">
            <v>668216</v>
          </cell>
          <cell r="H708">
            <v>773248</v>
          </cell>
          <cell r="I708">
            <v>866003</v>
          </cell>
          <cell r="J708">
            <v>951342</v>
          </cell>
          <cell r="K708">
            <v>1044016</v>
          </cell>
          <cell r="L708">
            <v>1148756</v>
          </cell>
          <cell r="M708">
            <v>1241552</v>
          </cell>
          <cell r="N708">
            <v>1336283</v>
          </cell>
          <cell r="O708">
            <v>1533869</v>
          </cell>
          <cell r="P708">
            <v>1622566</v>
          </cell>
          <cell r="Q708">
            <v>1717592</v>
          </cell>
          <cell r="R708">
            <v>1814086</v>
          </cell>
          <cell r="S708">
            <v>2038465</v>
          </cell>
          <cell r="T708">
            <v>2148909</v>
          </cell>
          <cell r="U708">
            <v>2295387</v>
          </cell>
          <cell r="V708">
            <v>2419829</v>
          </cell>
          <cell r="W708">
            <v>2542934</v>
          </cell>
          <cell r="X708">
            <v>2695131</v>
          </cell>
          <cell r="Y708">
            <v>2998020</v>
          </cell>
          <cell r="Z708">
            <v>3179521</v>
          </cell>
          <cell r="AA708">
            <v>3292432</v>
          </cell>
          <cell r="AB708">
            <v>3398489</v>
          </cell>
          <cell r="AC708">
            <v>3501660</v>
          </cell>
          <cell r="AD708">
            <v>3609056</v>
          </cell>
          <cell r="AE708">
            <v>3713919</v>
          </cell>
          <cell r="AF708">
            <v>3817870</v>
          </cell>
          <cell r="AG708">
            <v>3928185</v>
          </cell>
          <cell r="AH708">
            <v>4032041</v>
          </cell>
          <cell r="AI708">
            <v>4132285</v>
          </cell>
          <cell r="AJ708">
            <v>4231375</v>
          </cell>
          <cell r="AK708">
            <v>4328345</v>
          </cell>
          <cell r="AL708">
            <v>4425058</v>
          </cell>
          <cell r="AM708">
            <v>4521840</v>
          </cell>
          <cell r="AN708">
            <v>4614531</v>
          </cell>
          <cell r="AO708">
            <v>4714892</v>
          </cell>
          <cell r="AP708">
            <v>4809474</v>
          </cell>
          <cell r="AQ708">
            <v>4915706</v>
          </cell>
          <cell r="AR708">
            <v>5019328</v>
          </cell>
          <cell r="AS708">
            <v>5134398</v>
          </cell>
          <cell r="AT708">
            <v>5255156</v>
          </cell>
          <cell r="AU708">
            <v>5437332</v>
          </cell>
          <cell r="AV708">
            <v>5760093</v>
          </cell>
          <cell r="AW708">
            <v>6167430</v>
          </cell>
          <cell r="AX708">
            <v>6868892</v>
          </cell>
          <cell r="AY708">
            <v>7884296</v>
          </cell>
          <cell r="AZ708">
            <v>9941211</v>
          </cell>
          <cell r="BA708">
            <v>10258474</v>
          </cell>
          <cell r="BB708">
            <v>10258474</v>
          </cell>
        </row>
        <row r="709">
          <cell r="A709" t="str">
            <v>UG MERCHANTS</v>
          </cell>
          <cell r="B709">
            <v>188595</v>
          </cell>
          <cell r="C709">
            <v>347867</v>
          </cell>
          <cell r="D709">
            <v>497283</v>
          </cell>
          <cell r="E709">
            <v>644734</v>
          </cell>
          <cell r="F709">
            <v>793923</v>
          </cell>
          <cell r="G709">
            <v>993239</v>
          </cell>
          <cell r="H709">
            <v>1146523</v>
          </cell>
          <cell r="I709">
            <v>1267119</v>
          </cell>
          <cell r="J709">
            <v>1471535</v>
          </cell>
          <cell r="K709">
            <v>1715055</v>
          </cell>
          <cell r="L709">
            <v>1863206</v>
          </cell>
          <cell r="M709">
            <v>2027975</v>
          </cell>
          <cell r="N709">
            <v>2182596</v>
          </cell>
          <cell r="O709">
            <v>2387665</v>
          </cell>
          <cell r="P709">
            <v>2555909</v>
          </cell>
          <cell r="Q709">
            <v>2720255</v>
          </cell>
          <cell r="R709">
            <v>2901435</v>
          </cell>
          <cell r="S709">
            <v>3180497</v>
          </cell>
          <cell r="T709">
            <v>3376260</v>
          </cell>
          <cell r="U709">
            <v>3597688</v>
          </cell>
          <cell r="V709">
            <v>3825525</v>
          </cell>
          <cell r="W709">
            <v>4054478</v>
          </cell>
          <cell r="X709">
            <v>4310718</v>
          </cell>
          <cell r="Y709">
            <v>4693591</v>
          </cell>
          <cell r="Z709">
            <v>4964657</v>
          </cell>
          <cell r="AA709">
            <v>5165138</v>
          </cell>
          <cell r="AB709">
            <v>5360433</v>
          </cell>
          <cell r="AC709">
            <v>5547858</v>
          </cell>
          <cell r="AD709">
            <v>5734796</v>
          </cell>
          <cell r="AE709">
            <v>5929968</v>
          </cell>
          <cell r="AF709">
            <v>6133528</v>
          </cell>
          <cell r="AG709">
            <v>6336977</v>
          </cell>
          <cell r="AH709">
            <v>6550456</v>
          </cell>
          <cell r="AI709">
            <v>6747534</v>
          </cell>
          <cell r="AJ709">
            <v>6929539</v>
          </cell>
          <cell r="AK709">
            <v>7108614</v>
          </cell>
          <cell r="AL709">
            <v>7303148</v>
          </cell>
          <cell r="AM709">
            <v>7490043</v>
          </cell>
          <cell r="AN709">
            <v>7682794</v>
          </cell>
          <cell r="AO709">
            <v>7881609</v>
          </cell>
          <cell r="AP709">
            <v>8080563</v>
          </cell>
          <cell r="AQ709">
            <v>8314028</v>
          </cell>
          <cell r="AR709">
            <v>8528869</v>
          </cell>
          <cell r="AS709">
            <v>8735343</v>
          </cell>
          <cell r="AT709">
            <v>8940624</v>
          </cell>
          <cell r="AU709">
            <v>9179609</v>
          </cell>
          <cell r="AV709">
            <v>9431141</v>
          </cell>
          <cell r="AW709">
            <v>9782033</v>
          </cell>
          <cell r="AX709">
            <v>10372457</v>
          </cell>
          <cell r="AY709">
            <v>11317546</v>
          </cell>
          <cell r="AZ709">
            <v>13190218</v>
          </cell>
          <cell r="BA709">
            <v>13744904</v>
          </cell>
          <cell r="BB709">
            <v>13744904</v>
          </cell>
        </row>
        <row r="710">
          <cell r="A710" t="str">
            <v>WAKEFERN</v>
          </cell>
          <cell r="B710">
            <v>590791</v>
          </cell>
          <cell r="C710">
            <v>1164828</v>
          </cell>
          <cell r="D710">
            <v>1687767</v>
          </cell>
          <cell r="E710">
            <v>2187032</v>
          </cell>
          <cell r="F710">
            <v>2654855</v>
          </cell>
          <cell r="G710">
            <v>3239215</v>
          </cell>
          <cell r="H710">
            <v>3704761</v>
          </cell>
          <cell r="I710">
            <v>4157282</v>
          </cell>
          <cell r="J710">
            <v>4597998</v>
          </cell>
          <cell r="K710">
            <v>5093006</v>
          </cell>
          <cell r="L710">
            <v>5596103</v>
          </cell>
          <cell r="M710">
            <v>6058502</v>
          </cell>
          <cell r="N710">
            <v>6527403</v>
          </cell>
          <cell r="O710">
            <v>7275846</v>
          </cell>
          <cell r="P710">
            <v>7709679</v>
          </cell>
          <cell r="Q710">
            <v>8208576</v>
          </cell>
          <cell r="R710">
            <v>8687758</v>
          </cell>
          <cell r="S710">
            <v>9548464</v>
          </cell>
          <cell r="T710">
            <v>10225713</v>
          </cell>
          <cell r="U710">
            <v>10738764</v>
          </cell>
          <cell r="V710">
            <v>11254290</v>
          </cell>
          <cell r="W710">
            <v>11802497</v>
          </cell>
          <cell r="X710">
            <v>12572979</v>
          </cell>
          <cell r="Y710">
            <v>13731639</v>
          </cell>
          <cell r="Z710">
            <v>14670921</v>
          </cell>
          <cell r="AA710">
            <v>15725122</v>
          </cell>
          <cell r="AB710">
            <v>16240677</v>
          </cell>
          <cell r="AC710">
            <v>16994291</v>
          </cell>
          <cell r="AD710">
            <v>17521655</v>
          </cell>
          <cell r="AE710">
            <v>18023405</v>
          </cell>
          <cell r="AF710">
            <v>18519971</v>
          </cell>
          <cell r="AG710">
            <v>19022012</v>
          </cell>
          <cell r="AH710">
            <v>19543460</v>
          </cell>
          <cell r="AI710">
            <v>20055890</v>
          </cell>
          <cell r="AJ710">
            <v>20520694</v>
          </cell>
          <cell r="AK710">
            <v>20979621</v>
          </cell>
          <cell r="AL710">
            <v>21468062</v>
          </cell>
          <cell r="AM710">
            <v>21987060</v>
          </cell>
          <cell r="AN710">
            <v>22497235</v>
          </cell>
          <cell r="AO710">
            <v>23162530</v>
          </cell>
          <cell r="AP710">
            <v>23780119</v>
          </cell>
          <cell r="AQ710">
            <v>24333581</v>
          </cell>
          <cell r="AR710">
            <v>24879623</v>
          </cell>
          <cell r="AS710">
            <v>25443249</v>
          </cell>
          <cell r="AT710">
            <v>26305903</v>
          </cell>
          <cell r="AU710">
            <v>27058552</v>
          </cell>
          <cell r="AV710">
            <v>27799552</v>
          </cell>
          <cell r="AW710">
            <v>28991833</v>
          </cell>
          <cell r="AX710">
            <v>30856754</v>
          </cell>
          <cell r="AY710">
            <v>34951976</v>
          </cell>
          <cell r="AZ710">
            <v>41134371</v>
          </cell>
          <cell r="BA710">
            <v>41953870</v>
          </cell>
          <cell r="BB710">
            <v>41953870</v>
          </cell>
        </row>
        <row r="711">
          <cell r="A711" t="str">
            <v>WAWA</v>
          </cell>
          <cell r="B711">
            <v>1012538</v>
          </cell>
          <cell r="C711">
            <v>1945276</v>
          </cell>
          <cell r="D711">
            <v>2785676</v>
          </cell>
          <cell r="E711">
            <v>3589597</v>
          </cell>
          <cell r="F711">
            <v>4438426</v>
          </cell>
          <cell r="G711">
            <v>5394182</v>
          </cell>
          <cell r="H711">
            <v>6200520</v>
          </cell>
          <cell r="I711">
            <v>6994140</v>
          </cell>
          <cell r="J711">
            <v>7804131</v>
          </cell>
          <cell r="K711">
            <v>8622804</v>
          </cell>
          <cell r="L711">
            <v>9432078</v>
          </cell>
          <cell r="M711">
            <v>10283150</v>
          </cell>
          <cell r="N711">
            <v>11095605</v>
          </cell>
          <cell r="O711">
            <v>12019089</v>
          </cell>
          <cell r="P711">
            <v>12830353</v>
          </cell>
          <cell r="Q711">
            <v>13695379</v>
          </cell>
          <cell r="R711">
            <v>14567089</v>
          </cell>
          <cell r="S711">
            <v>15679949</v>
          </cell>
          <cell r="T711">
            <v>16716470</v>
          </cell>
          <cell r="U711">
            <v>17606347</v>
          </cell>
          <cell r="V711">
            <v>18497329</v>
          </cell>
          <cell r="W711">
            <v>19427334</v>
          </cell>
          <cell r="X711">
            <v>20590507</v>
          </cell>
          <cell r="Y711">
            <v>21935544</v>
          </cell>
          <cell r="Z711">
            <v>23115354</v>
          </cell>
          <cell r="AA711">
            <v>23990903</v>
          </cell>
          <cell r="AB711">
            <v>24851031</v>
          </cell>
          <cell r="AC711">
            <v>25708166</v>
          </cell>
          <cell r="AD711">
            <v>26534259</v>
          </cell>
          <cell r="AE711">
            <v>27350211</v>
          </cell>
          <cell r="AF711">
            <v>28184723</v>
          </cell>
          <cell r="AG711">
            <v>29017053</v>
          </cell>
          <cell r="AH711">
            <v>29834532</v>
          </cell>
          <cell r="AI711">
            <v>30672145</v>
          </cell>
          <cell r="AJ711">
            <v>31482534</v>
          </cell>
          <cell r="AK711">
            <v>32262745</v>
          </cell>
          <cell r="AL711">
            <v>33038488</v>
          </cell>
          <cell r="AM711">
            <v>33809674</v>
          </cell>
          <cell r="AN711">
            <v>34585980</v>
          </cell>
          <cell r="AO711">
            <v>35399732</v>
          </cell>
          <cell r="AP711">
            <v>36195584</v>
          </cell>
          <cell r="AQ711">
            <v>37021921</v>
          </cell>
          <cell r="AR711">
            <v>37821908</v>
          </cell>
          <cell r="AS711">
            <v>38573663</v>
          </cell>
          <cell r="AT711">
            <v>39358417</v>
          </cell>
          <cell r="AU711">
            <v>40128705</v>
          </cell>
          <cell r="AV711">
            <v>40933381</v>
          </cell>
          <cell r="AW711">
            <v>41977905</v>
          </cell>
          <cell r="AX711">
            <v>43490804</v>
          </cell>
          <cell r="AY711">
            <v>47273705</v>
          </cell>
          <cell r="AZ711">
            <v>56486144</v>
          </cell>
          <cell r="BA711">
            <v>57535032</v>
          </cell>
          <cell r="BB711">
            <v>57535032</v>
          </cell>
        </row>
        <row r="712">
          <cell r="A712" t="str">
            <v>WEGMANS</v>
          </cell>
          <cell r="B712">
            <v>448402</v>
          </cell>
          <cell r="C712">
            <v>874845</v>
          </cell>
          <cell r="D712">
            <v>1274672</v>
          </cell>
          <cell r="E712">
            <v>1678885</v>
          </cell>
          <cell r="F712">
            <v>2130384</v>
          </cell>
          <cell r="G712">
            <v>2700510</v>
          </cell>
          <cell r="H712">
            <v>3154318</v>
          </cell>
          <cell r="I712">
            <v>3575055</v>
          </cell>
          <cell r="J712">
            <v>3979438</v>
          </cell>
          <cell r="K712">
            <v>4408067</v>
          </cell>
          <cell r="L712">
            <v>4821909</v>
          </cell>
          <cell r="M712">
            <v>5227804</v>
          </cell>
          <cell r="N712">
            <v>5604325</v>
          </cell>
          <cell r="O712">
            <v>6256277</v>
          </cell>
          <cell r="P712">
            <v>6626838</v>
          </cell>
          <cell r="Q712">
            <v>7041975</v>
          </cell>
          <cell r="R712">
            <v>7486517</v>
          </cell>
          <cell r="S712">
            <v>8187004</v>
          </cell>
          <cell r="T712">
            <v>8718508</v>
          </cell>
          <cell r="U712">
            <v>9147053</v>
          </cell>
          <cell r="V712">
            <v>9599192</v>
          </cell>
          <cell r="W712">
            <v>10063754</v>
          </cell>
          <cell r="X712">
            <v>10659029</v>
          </cell>
          <cell r="Y712">
            <v>11563398</v>
          </cell>
          <cell r="Z712">
            <v>12258729</v>
          </cell>
          <cell r="AA712">
            <v>12828277</v>
          </cell>
          <cell r="AB712">
            <v>13244953</v>
          </cell>
          <cell r="AC712">
            <v>13690741</v>
          </cell>
          <cell r="AD712">
            <v>14134774</v>
          </cell>
          <cell r="AE712">
            <v>14568988</v>
          </cell>
          <cell r="AF712">
            <v>15015806</v>
          </cell>
          <cell r="AG712">
            <v>15497924</v>
          </cell>
          <cell r="AH712">
            <v>15957282</v>
          </cell>
          <cell r="AI712">
            <v>16399522</v>
          </cell>
          <cell r="AJ712">
            <v>16818745</v>
          </cell>
          <cell r="AK712">
            <v>17235410</v>
          </cell>
          <cell r="AL712">
            <v>17643869</v>
          </cell>
          <cell r="AM712">
            <v>18051119</v>
          </cell>
          <cell r="AN712">
            <v>18463272</v>
          </cell>
          <cell r="AO712">
            <v>18882681</v>
          </cell>
          <cell r="AP712">
            <v>19295258</v>
          </cell>
          <cell r="AQ712">
            <v>19710507</v>
          </cell>
          <cell r="AR712">
            <v>20126023</v>
          </cell>
          <cell r="AS712">
            <v>20544890</v>
          </cell>
          <cell r="AT712">
            <v>21043251</v>
          </cell>
          <cell r="AU712">
            <v>21640566</v>
          </cell>
          <cell r="AV712">
            <v>22301641</v>
          </cell>
          <cell r="AW712">
            <v>23459895</v>
          </cell>
          <cell r="AX712">
            <v>25531913</v>
          </cell>
          <cell r="AY712">
            <v>30206903</v>
          </cell>
          <cell r="AZ712">
            <v>36177666</v>
          </cell>
          <cell r="BA712">
            <v>36987749</v>
          </cell>
          <cell r="BB712">
            <v>36987749</v>
          </cell>
        </row>
        <row r="713">
          <cell r="A713" t="str">
            <v>WEIS MARKET</v>
          </cell>
          <cell r="B713">
            <v>182683</v>
          </cell>
          <cell r="C713">
            <v>340387</v>
          </cell>
          <cell r="D713">
            <v>489127</v>
          </cell>
          <cell r="E713">
            <v>632730</v>
          </cell>
          <cell r="F713">
            <v>786062</v>
          </cell>
          <cell r="G713">
            <v>958296</v>
          </cell>
          <cell r="H713">
            <v>1153827</v>
          </cell>
          <cell r="I713">
            <v>1301697</v>
          </cell>
          <cell r="J713">
            <v>1455419</v>
          </cell>
          <cell r="K713">
            <v>1618489</v>
          </cell>
          <cell r="L713">
            <v>1783936</v>
          </cell>
          <cell r="M713">
            <v>2009048</v>
          </cell>
          <cell r="N713">
            <v>2167729</v>
          </cell>
          <cell r="O713">
            <v>2335978</v>
          </cell>
          <cell r="P713">
            <v>2492774</v>
          </cell>
          <cell r="Q713">
            <v>2652679</v>
          </cell>
          <cell r="R713">
            <v>2830306</v>
          </cell>
          <cell r="S713">
            <v>3040336</v>
          </cell>
          <cell r="T713">
            <v>3283441</v>
          </cell>
          <cell r="U713">
            <v>3509265</v>
          </cell>
          <cell r="V713">
            <v>3713772</v>
          </cell>
          <cell r="W713">
            <v>3927658</v>
          </cell>
          <cell r="X713">
            <v>4193435</v>
          </cell>
          <cell r="Y713">
            <v>4568632</v>
          </cell>
          <cell r="Z713">
            <v>4837132</v>
          </cell>
          <cell r="AA713">
            <v>5030133</v>
          </cell>
          <cell r="AB713">
            <v>5218032</v>
          </cell>
          <cell r="AC713">
            <v>5401738</v>
          </cell>
          <cell r="AD713">
            <v>5585818</v>
          </cell>
          <cell r="AE713">
            <v>5766470</v>
          </cell>
          <cell r="AF713">
            <v>5955777</v>
          </cell>
          <cell r="AG713">
            <v>6137594</v>
          </cell>
          <cell r="AH713">
            <v>6323794</v>
          </cell>
          <cell r="AI713">
            <v>6515428</v>
          </cell>
          <cell r="AJ713">
            <v>6697730</v>
          </cell>
          <cell r="AK713">
            <v>6878198</v>
          </cell>
          <cell r="AL713">
            <v>7060644</v>
          </cell>
          <cell r="AM713">
            <v>7245019</v>
          </cell>
          <cell r="AN713">
            <v>7417974</v>
          </cell>
          <cell r="AO713">
            <v>7597763</v>
          </cell>
          <cell r="AP713">
            <v>7771898</v>
          </cell>
          <cell r="AQ713">
            <v>7941281</v>
          </cell>
          <cell r="AR713">
            <v>8113875</v>
          </cell>
          <cell r="AS713">
            <v>8284729</v>
          </cell>
          <cell r="AT713">
            <v>8480134</v>
          </cell>
          <cell r="AU713">
            <v>8680433</v>
          </cell>
          <cell r="AV713">
            <v>8911884</v>
          </cell>
          <cell r="AW713">
            <v>9225553</v>
          </cell>
          <cell r="AX713">
            <v>9714251</v>
          </cell>
          <cell r="AY713">
            <v>10641002</v>
          </cell>
          <cell r="AZ713">
            <v>12179751</v>
          </cell>
          <cell r="BA713">
            <v>13363728</v>
          </cell>
          <cell r="BB713">
            <v>13363728</v>
          </cell>
        </row>
        <row r="714">
          <cell r="A714" t="str">
            <v>UNITED</v>
          </cell>
          <cell r="B714">
            <v>96143</v>
          </cell>
          <cell r="C714">
            <v>183527</v>
          </cell>
          <cell r="D714">
            <v>264565</v>
          </cell>
          <cell r="E714">
            <v>345888</v>
          </cell>
          <cell r="F714">
            <v>433409</v>
          </cell>
          <cell r="G714">
            <v>524967</v>
          </cell>
          <cell r="H714">
            <v>635932</v>
          </cell>
          <cell r="I714">
            <v>716626</v>
          </cell>
          <cell r="J714">
            <v>798520</v>
          </cell>
          <cell r="K714">
            <v>881887</v>
          </cell>
          <cell r="L714">
            <v>970405</v>
          </cell>
          <cell r="M714">
            <v>1067144</v>
          </cell>
          <cell r="N714">
            <v>1139626</v>
          </cell>
          <cell r="O714">
            <v>1233799</v>
          </cell>
          <cell r="P714">
            <v>1310894</v>
          </cell>
          <cell r="Q714">
            <v>1392190</v>
          </cell>
          <cell r="R714">
            <v>1482694</v>
          </cell>
          <cell r="S714">
            <v>1571241</v>
          </cell>
          <cell r="T714">
            <v>1714177</v>
          </cell>
          <cell r="U714">
            <v>1819603</v>
          </cell>
          <cell r="V714">
            <v>1931781</v>
          </cell>
          <cell r="W714">
            <v>2081696</v>
          </cell>
          <cell r="X714">
            <v>2202415</v>
          </cell>
          <cell r="Y714">
            <v>2334341</v>
          </cell>
          <cell r="Z714">
            <v>2439933</v>
          </cell>
          <cell r="AA714">
            <v>2519182</v>
          </cell>
          <cell r="AB714">
            <v>2598784</v>
          </cell>
          <cell r="AC714">
            <v>2679218</v>
          </cell>
          <cell r="AD714">
            <v>2764400</v>
          </cell>
          <cell r="AE714">
            <v>2856338</v>
          </cell>
          <cell r="AF714">
            <v>2936290</v>
          </cell>
          <cell r="AG714">
            <v>3016213</v>
          </cell>
          <cell r="AH714">
            <v>3099829</v>
          </cell>
          <cell r="AI714">
            <v>3184763</v>
          </cell>
          <cell r="AJ714">
            <v>3260738</v>
          </cell>
          <cell r="AK714">
            <v>3342168</v>
          </cell>
          <cell r="AL714">
            <v>3420052</v>
          </cell>
          <cell r="AM714">
            <v>3499932</v>
          </cell>
          <cell r="AN714">
            <v>3579488</v>
          </cell>
          <cell r="AO714">
            <v>3663510</v>
          </cell>
          <cell r="AP714">
            <v>3746942</v>
          </cell>
          <cell r="AQ714">
            <v>3838005</v>
          </cell>
          <cell r="AR714">
            <v>3916058</v>
          </cell>
          <cell r="AS714">
            <v>3996792</v>
          </cell>
          <cell r="AT714">
            <v>4081028</v>
          </cell>
          <cell r="AU714">
            <v>4161102</v>
          </cell>
          <cell r="AV714">
            <v>4243700</v>
          </cell>
          <cell r="AW714">
            <v>4323921</v>
          </cell>
          <cell r="AX714">
            <v>4466319</v>
          </cell>
          <cell r="AY714">
            <v>4724325</v>
          </cell>
          <cell r="AZ714">
            <v>5301463</v>
          </cell>
          <cell r="BA714">
            <v>5878185</v>
          </cell>
          <cell r="BB714">
            <v>5878185</v>
          </cell>
        </row>
      </sheetData>
      <sheetData sheetId="9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131612.35</v>
          </cell>
          <cell r="C3">
            <v>119488.03</v>
          </cell>
          <cell r="D3">
            <v>120807.64</v>
          </cell>
          <cell r="E3">
            <v>130483.52</v>
          </cell>
          <cell r="F3">
            <v>146739.96</v>
          </cell>
          <cell r="G3">
            <v>284131.77</v>
          </cell>
          <cell r="H3">
            <v>141441.84</v>
          </cell>
          <cell r="I3">
            <v>156285.98000000001</v>
          </cell>
          <cell r="J3">
            <v>153352.67000000001</v>
          </cell>
          <cell r="K3">
            <v>150730.95000000001</v>
          </cell>
          <cell r="L3">
            <v>147716.10999999999</v>
          </cell>
          <cell r="M3">
            <v>145594.39000000001</v>
          </cell>
          <cell r="N3">
            <v>168170.41</v>
          </cell>
          <cell r="O3">
            <v>307459.23</v>
          </cell>
          <cell r="P3">
            <v>171617.85</v>
          </cell>
          <cell r="Q3">
            <v>196082.17</v>
          </cell>
          <cell r="R3">
            <v>180826.01</v>
          </cell>
          <cell r="S3">
            <v>380673.48</v>
          </cell>
          <cell r="T3">
            <v>298489.15000000002</v>
          </cell>
          <cell r="U3">
            <v>261948.05</v>
          </cell>
          <cell r="V3">
            <v>270727.51</v>
          </cell>
          <cell r="W3">
            <v>309275.77</v>
          </cell>
          <cell r="X3">
            <v>310644.40000000002</v>
          </cell>
          <cell r="Y3">
            <v>556178.51</v>
          </cell>
        </row>
        <row r="4">
          <cell r="A4" t="str">
            <v>ptd</v>
          </cell>
          <cell r="B4">
            <v>131612.35</v>
          </cell>
          <cell r="C4">
            <v>251100.38</v>
          </cell>
          <cell r="D4">
            <v>371908.02</v>
          </cell>
          <cell r="E4">
            <v>502391.54000000004</v>
          </cell>
          <cell r="F4">
            <v>146739.96</v>
          </cell>
          <cell r="G4">
            <v>430871.73</v>
          </cell>
          <cell r="H4">
            <v>572313.56999999995</v>
          </cell>
          <cell r="I4">
            <v>728599.54999999993</v>
          </cell>
          <cell r="J4">
            <v>153352.67000000001</v>
          </cell>
          <cell r="K4">
            <v>304083.62</v>
          </cell>
          <cell r="L4">
            <v>451799.73</v>
          </cell>
          <cell r="M4">
            <v>597394.12</v>
          </cell>
          <cell r="N4">
            <v>168170.41</v>
          </cell>
          <cell r="O4">
            <v>475629.64</v>
          </cell>
          <cell r="P4">
            <v>647247.49</v>
          </cell>
          <cell r="Q4">
            <v>843329.66</v>
          </cell>
          <cell r="R4">
            <v>180826.01</v>
          </cell>
          <cell r="S4">
            <v>561499.49</v>
          </cell>
          <cell r="T4">
            <v>859988.64</v>
          </cell>
          <cell r="U4">
            <v>1121936.69</v>
          </cell>
          <cell r="V4">
            <v>270727.51</v>
          </cell>
          <cell r="W4">
            <v>580003.28</v>
          </cell>
          <cell r="X4">
            <v>890647.68</v>
          </cell>
          <cell r="Y4">
            <v>1446826.19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</row>
        <row r="5">
          <cell r="A5" t="str">
            <v>qtd</v>
          </cell>
          <cell r="B5">
            <v>131612.35</v>
          </cell>
          <cell r="C5">
            <v>251100.38</v>
          </cell>
          <cell r="D5">
            <v>371908.02</v>
          </cell>
          <cell r="E5">
            <v>502391.54000000004</v>
          </cell>
          <cell r="F5">
            <v>649131.5</v>
          </cell>
          <cell r="G5">
            <v>933263.27</v>
          </cell>
          <cell r="H5">
            <v>1074705.1100000001</v>
          </cell>
          <cell r="I5">
            <v>1230991.0900000001</v>
          </cell>
          <cell r="J5">
            <v>1384343.76</v>
          </cell>
          <cell r="K5">
            <v>1535074.71</v>
          </cell>
          <cell r="L5">
            <v>1682790.8199999998</v>
          </cell>
          <cell r="M5">
            <v>1828385.21</v>
          </cell>
          <cell r="N5">
            <v>168170.41</v>
          </cell>
          <cell r="O5">
            <v>475629.64</v>
          </cell>
          <cell r="P5">
            <v>647247.49</v>
          </cell>
          <cell r="Q5">
            <v>843329.66</v>
          </cell>
          <cell r="R5">
            <v>1024155.67</v>
          </cell>
          <cell r="S5">
            <v>1404829.15</v>
          </cell>
          <cell r="T5">
            <v>1703318.2999999998</v>
          </cell>
          <cell r="U5">
            <v>1965266.3499999999</v>
          </cell>
          <cell r="V5">
            <v>2235993.86</v>
          </cell>
          <cell r="W5">
            <v>2545269.63</v>
          </cell>
          <cell r="X5">
            <v>2855914.03</v>
          </cell>
          <cell r="Y5">
            <v>3412092.54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</row>
        <row r="6">
          <cell r="A6" t="str">
            <v>ytd</v>
          </cell>
          <cell r="B6">
            <v>131612.35</v>
          </cell>
          <cell r="C6">
            <v>251100.38</v>
          </cell>
          <cell r="D6">
            <v>371908.02</v>
          </cell>
          <cell r="E6">
            <v>502391.54000000004</v>
          </cell>
          <cell r="F6">
            <v>649131.5</v>
          </cell>
          <cell r="G6">
            <v>933263.27</v>
          </cell>
          <cell r="H6">
            <v>1074705.1100000001</v>
          </cell>
          <cell r="I6">
            <v>1230991.0900000001</v>
          </cell>
          <cell r="J6">
            <v>1384343.76</v>
          </cell>
          <cell r="K6">
            <v>1535074.71</v>
          </cell>
          <cell r="L6">
            <v>1682790.8199999998</v>
          </cell>
          <cell r="M6">
            <v>1828385.21</v>
          </cell>
          <cell r="N6">
            <v>1996555.6199999999</v>
          </cell>
          <cell r="O6">
            <v>2304014.8499999996</v>
          </cell>
          <cell r="P6">
            <v>2475632.6999999997</v>
          </cell>
          <cell r="Q6">
            <v>2671714.8699999996</v>
          </cell>
          <cell r="R6">
            <v>2852540.88</v>
          </cell>
          <cell r="S6">
            <v>3233214.36</v>
          </cell>
          <cell r="T6">
            <v>3531703.51</v>
          </cell>
          <cell r="U6">
            <v>3793651.5599999996</v>
          </cell>
          <cell r="V6">
            <v>4064379.0699999994</v>
          </cell>
          <cell r="W6">
            <v>4373654.84</v>
          </cell>
          <cell r="X6">
            <v>4684299.24</v>
          </cell>
          <cell r="Y6">
            <v>5240477.75</v>
          </cell>
          <cell r="Z6">
            <v>5240477.75</v>
          </cell>
          <cell r="AA6">
            <v>5240477.75</v>
          </cell>
          <cell r="AB6">
            <v>5240477.75</v>
          </cell>
          <cell r="AC6">
            <v>5240477.75</v>
          </cell>
          <cell r="AD6">
            <v>5240477.75</v>
          </cell>
          <cell r="AE6">
            <v>5240477.75</v>
          </cell>
          <cell r="AF6">
            <v>5240477.75</v>
          </cell>
          <cell r="AG6">
            <v>5240477.75</v>
          </cell>
          <cell r="AH6">
            <v>5240477.75</v>
          </cell>
          <cell r="AI6">
            <v>5240477.75</v>
          </cell>
          <cell r="AJ6">
            <v>5240477.75</v>
          </cell>
          <cell r="AK6">
            <v>5240477.75</v>
          </cell>
          <cell r="AL6">
            <v>5240477.75</v>
          </cell>
          <cell r="AM6">
            <v>5240477.75</v>
          </cell>
          <cell r="AN6">
            <v>5240477.75</v>
          </cell>
          <cell r="AO6">
            <v>5240477.75</v>
          </cell>
          <cell r="AP6">
            <v>5240477.75</v>
          </cell>
          <cell r="AQ6">
            <v>5240477.75</v>
          </cell>
          <cell r="AR6">
            <v>5240477.75</v>
          </cell>
          <cell r="AS6">
            <v>5240477.75</v>
          </cell>
          <cell r="AT6">
            <v>5240477.75</v>
          </cell>
          <cell r="AU6">
            <v>5240477.75</v>
          </cell>
          <cell r="AV6">
            <v>5240477.75</v>
          </cell>
          <cell r="AW6">
            <v>5240477.75</v>
          </cell>
          <cell r="AX6">
            <v>5240477.75</v>
          </cell>
          <cell r="AY6">
            <v>5240477.75</v>
          </cell>
          <cell r="AZ6">
            <v>5240477.75</v>
          </cell>
          <cell r="BA6">
            <v>5240477.75</v>
          </cell>
          <cell r="BB6">
            <v>5240477.75</v>
          </cell>
        </row>
        <row r="7">
          <cell r="A7" t="str">
            <v>PART</v>
          </cell>
          <cell r="B7">
            <v>3633990</v>
          </cell>
          <cell r="C7">
            <v>3356154.65</v>
          </cell>
          <cell r="D7">
            <v>3285840.9</v>
          </cell>
          <cell r="E7">
            <v>3354911.89</v>
          </cell>
          <cell r="F7">
            <v>3803283.85</v>
          </cell>
          <cell r="G7">
            <v>6395227.6500000004</v>
          </cell>
          <cell r="H7">
            <v>3527469.64</v>
          </cell>
          <cell r="I7">
            <v>3705564.73</v>
          </cell>
          <cell r="J7">
            <v>3743333.77</v>
          </cell>
          <cell r="K7">
            <v>3729258.85</v>
          </cell>
          <cell r="L7">
            <v>3692558.9</v>
          </cell>
          <cell r="M7">
            <v>3709101.73</v>
          </cell>
          <cell r="N7">
            <v>4132363.68</v>
          </cell>
          <cell r="O7">
            <v>6602956.9299999997</v>
          </cell>
          <cell r="P7">
            <v>4010300.85</v>
          </cell>
          <cell r="Q7">
            <v>4569236.84</v>
          </cell>
          <cell r="R7">
            <v>4507944.5</v>
          </cell>
          <cell r="S7">
            <v>9124497.6400000006</v>
          </cell>
          <cell r="T7">
            <v>6546959.7000000002</v>
          </cell>
          <cell r="U7">
            <v>5632846.6900000004</v>
          </cell>
          <cell r="V7">
            <v>5501011.8499999996</v>
          </cell>
          <cell r="W7">
            <v>6088834.79</v>
          </cell>
          <cell r="X7">
            <v>5888581.5499999998</v>
          </cell>
          <cell r="Y7">
            <v>9425244.5500000007</v>
          </cell>
        </row>
        <row r="8">
          <cell r="A8" t="str">
            <v>ptd</v>
          </cell>
          <cell r="B8">
            <v>3633990</v>
          </cell>
          <cell r="C8">
            <v>6990144.6500000004</v>
          </cell>
          <cell r="D8">
            <v>10275985.550000001</v>
          </cell>
          <cell r="E8">
            <v>13630897.440000001</v>
          </cell>
          <cell r="F8">
            <v>3803283.85</v>
          </cell>
          <cell r="G8">
            <v>10198511.5</v>
          </cell>
          <cell r="H8">
            <v>13725981.140000001</v>
          </cell>
          <cell r="I8">
            <v>17431545.870000001</v>
          </cell>
          <cell r="J8">
            <v>3743333.77</v>
          </cell>
          <cell r="K8">
            <v>7472592.6200000001</v>
          </cell>
          <cell r="L8">
            <v>11165151.52</v>
          </cell>
          <cell r="M8">
            <v>14874253.25</v>
          </cell>
          <cell r="N8">
            <v>4132363.68</v>
          </cell>
          <cell r="O8">
            <v>10735320.609999999</v>
          </cell>
          <cell r="P8">
            <v>14745621.459999999</v>
          </cell>
          <cell r="Q8">
            <v>19314858.299999997</v>
          </cell>
          <cell r="R8">
            <v>4507944.5</v>
          </cell>
          <cell r="S8">
            <v>13632442.140000001</v>
          </cell>
          <cell r="T8">
            <v>20179401.84</v>
          </cell>
          <cell r="U8">
            <v>25812248.530000001</v>
          </cell>
          <cell r="V8">
            <v>5501011.8499999996</v>
          </cell>
          <cell r="W8">
            <v>11589846.640000001</v>
          </cell>
          <cell r="X8">
            <v>17478428.190000001</v>
          </cell>
          <cell r="Y8">
            <v>26903672.740000002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</row>
        <row r="9">
          <cell r="A9" t="str">
            <v>qtd</v>
          </cell>
          <cell r="B9">
            <v>3633990</v>
          </cell>
          <cell r="C9">
            <v>6990144.6500000004</v>
          </cell>
          <cell r="D9">
            <v>10275985.550000001</v>
          </cell>
          <cell r="E9">
            <v>13630897.440000001</v>
          </cell>
          <cell r="F9">
            <v>17434181.290000003</v>
          </cell>
          <cell r="G9">
            <v>23829408.940000005</v>
          </cell>
          <cell r="H9">
            <v>27356878.580000006</v>
          </cell>
          <cell r="I9">
            <v>31062443.310000006</v>
          </cell>
          <cell r="J9">
            <v>34805777.080000006</v>
          </cell>
          <cell r="K9">
            <v>38535035.930000007</v>
          </cell>
          <cell r="L9">
            <v>42227594.830000006</v>
          </cell>
          <cell r="M9">
            <v>45936696.560000002</v>
          </cell>
          <cell r="N9">
            <v>4132363.68</v>
          </cell>
          <cell r="O9">
            <v>10735320.609999999</v>
          </cell>
          <cell r="P9">
            <v>14745621.459999999</v>
          </cell>
          <cell r="Q9">
            <v>19314858.299999997</v>
          </cell>
          <cell r="R9">
            <v>23822802.799999997</v>
          </cell>
          <cell r="S9">
            <v>32947300.439999998</v>
          </cell>
          <cell r="T9">
            <v>39494260.140000001</v>
          </cell>
          <cell r="U9">
            <v>45127106.829999998</v>
          </cell>
          <cell r="V9">
            <v>50628118.68</v>
          </cell>
          <cell r="W9">
            <v>56716953.469999999</v>
          </cell>
          <cell r="X9">
            <v>62605535.019999996</v>
          </cell>
          <cell r="Y9">
            <v>72030779.569999993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</row>
        <row r="10">
          <cell r="A10" t="str">
            <v>ytd</v>
          </cell>
          <cell r="B10">
            <v>3633990</v>
          </cell>
          <cell r="C10">
            <v>6990144.6500000004</v>
          </cell>
          <cell r="D10">
            <v>10275985.550000001</v>
          </cell>
          <cell r="E10">
            <v>13630897.440000001</v>
          </cell>
          <cell r="F10">
            <v>17434181.290000003</v>
          </cell>
          <cell r="G10">
            <v>23829408.940000005</v>
          </cell>
          <cell r="H10">
            <v>27356878.580000006</v>
          </cell>
          <cell r="I10">
            <v>31062443.310000006</v>
          </cell>
          <cell r="J10">
            <v>34805777.080000006</v>
          </cell>
          <cell r="K10">
            <v>38535035.930000007</v>
          </cell>
          <cell r="L10">
            <v>42227594.830000006</v>
          </cell>
          <cell r="M10">
            <v>45936696.560000002</v>
          </cell>
          <cell r="N10">
            <v>50069060.240000002</v>
          </cell>
          <cell r="O10">
            <v>56672017.170000002</v>
          </cell>
          <cell r="P10">
            <v>60682318.020000003</v>
          </cell>
          <cell r="Q10">
            <v>65251554.859999999</v>
          </cell>
          <cell r="R10">
            <v>69759499.359999999</v>
          </cell>
          <cell r="S10">
            <v>78883997</v>
          </cell>
          <cell r="T10">
            <v>85430956.700000003</v>
          </cell>
          <cell r="U10">
            <v>91063803.390000001</v>
          </cell>
          <cell r="V10">
            <v>96564815.239999995</v>
          </cell>
          <cell r="W10">
            <v>102653650.03</v>
          </cell>
          <cell r="X10">
            <v>108542231.58</v>
          </cell>
          <cell r="Y10">
            <v>117967476.13</v>
          </cell>
          <cell r="Z10">
            <v>117967476.13</v>
          </cell>
          <cell r="AA10">
            <v>117967476.13</v>
          </cell>
          <cell r="AB10">
            <v>117967476.13</v>
          </cell>
          <cell r="AC10">
            <v>117967476.13</v>
          </cell>
          <cell r="AD10">
            <v>117967476.13</v>
          </cell>
          <cell r="AE10">
            <v>117967476.13</v>
          </cell>
          <cell r="AF10">
            <v>117967476.13</v>
          </cell>
          <cell r="AG10">
            <v>117967476.13</v>
          </cell>
          <cell r="AH10">
            <v>117967476.13</v>
          </cell>
          <cell r="AI10">
            <v>117967476.13</v>
          </cell>
          <cell r="AJ10">
            <v>117967476.13</v>
          </cell>
          <cell r="AK10">
            <v>117967476.13</v>
          </cell>
          <cell r="AL10">
            <v>117967476.13</v>
          </cell>
          <cell r="AM10">
            <v>117967476.13</v>
          </cell>
          <cell r="AN10">
            <v>117967476.13</v>
          </cell>
          <cell r="AO10">
            <v>117967476.13</v>
          </cell>
          <cell r="AP10">
            <v>117967476.13</v>
          </cell>
          <cell r="AQ10">
            <v>117967476.13</v>
          </cell>
          <cell r="AR10">
            <v>117967476.13</v>
          </cell>
          <cell r="AS10">
            <v>117967476.13</v>
          </cell>
          <cell r="AT10">
            <v>117967476.13</v>
          </cell>
          <cell r="AU10">
            <v>117967476.13</v>
          </cell>
          <cell r="AV10">
            <v>117967476.13</v>
          </cell>
          <cell r="AW10">
            <v>117967476.13</v>
          </cell>
          <cell r="AX10">
            <v>117967476.13</v>
          </cell>
          <cell r="AY10">
            <v>117967476.13</v>
          </cell>
          <cell r="AZ10">
            <v>117967476.13</v>
          </cell>
          <cell r="BA10">
            <v>117967476.13</v>
          </cell>
          <cell r="BB10">
            <v>117967476.13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1692175</v>
          </cell>
          <cell r="C15">
            <v>1564700</v>
          </cell>
          <cell r="D15">
            <v>1481525</v>
          </cell>
          <cell r="E15">
            <v>1465525</v>
          </cell>
          <cell r="F15">
            <v>1566400</v>
          </cell>
          <cell r="G15">
            <v>1879750</v>
          </cell>
          <cell r="H15">
            <v>1480775</v>
          </cell>
          <cell r="I15">
            <v>1500525</v>
          </cell>
          <cell r="J15">
            <v>1608200</v>
          </cell>
          <cell r="K15">
            <v>1433975</v>
          </cell>
          <cell r="L15">
            <v>1131450</v>
          </cell>
          <cell r="M15">
            <v>907025</v>
          </cell>
          <cell r="N15">
            <v>839100</v>
          </cell>
          <cell r="O15">
            <v>855100</v>
          </cell>
          <cell r="P15">
            <v>669650</v>
          </cell>
          <cell r="Q15">
            <v>708650</v>
          </cell>
          <cell r="R15">
            <v>614375</v>
          </cell>
          <cell r="S15">
            <v>893275</v>
          </cell>
          <cell r="T15">
            <v>775650</v>
          </cell>
          <cell r="U15">
            <v>751200</v>
          </cell>
          <cell r="V15">
            <v>646075</v>
          </cell>
          <cell r="W15">
            <v>650150</v>
          </cell>
          <cell r="X15">
            <v>602425</v>
          </cell>
          <cell r="Y15">
            <v>651325</v>
          </cell>
        </row>
        <row r="16">
          <cell r="A16" t="str">
            <v>ptd</v>
          </cell>
          <cell r="B16">
            <v>1692175</v>
          </cell>
          <cell r="C16">
            <v>3256875</v>
          </cell>
          <cell r="D16">
            <v>4738400</v>
          </cell>
          <cell r="E16">
            <v>6203925</v>
          </cell>
          <cell r="F16">
            <v>1566400</v>
          </cell>
          <cell r="G16">
            <v>3446150</v>
          </cell>
          <cell r="H16">
            <v>4926925</v>
          </cell>
          <cell r="I16">
            <v>6427450</v>
          </cell>
          <cell r="J16">
            <v>1608200</v>
          </cell>
          <cell r="K16">
            <v>3042175</v>
          </cell>
          <cell r="L16">
            <v>4173625</v>
          </cell>
          <cell r="M16">
            <v>5080650</v>
          </cell>
          <cell r="N16">
            <v>839100</v>
          </cell>
          <cell r="O16">
            <v>1694200</v>
          </cell>
          <cell r="P16">
            <v>2363850</v>
          </cell>
          <cell r="Q16">
            <v>3072500</v>
          </cell>
          <cell r="R16">
            <v>614375</v>
          </cell>
          <cell r="S16">
            <v>1507650</v>
          </cell>
          <cell r="T16">
            <v>2283300</v>
          </cell>
          <cell r="U16">
            <v>3034500</v>
          </cell>
          <cell r="V16">
            <v>646075</v>
          </cell>
          <cell r="W16">
            <v>1296225</v>
          </cell>
          <cell r="X16">
            <v>1898650</v>
          </cell>
          <cell r="Y16">
            <v>2549975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1692175</v>
          </cell>
          <cell r="C17">
            <v>3256875</v>
          </cell>
          <cell r="D17">
            <v>4738400</v>
          </cell>
          <cell r="E17">
            <v>6203925</v>
          </cell>
          <cell r="F17">
            <v>7770325</v>
          </cell>
          <cell r="G17">
            <v>9650075</v>
          </cell>
          <cell r="H17">
            <v>11130850</v>
          </cell>
          <cell r="I17">
            <v>12631375</v>
          </cell>
          <cell r="J17">
            <v>14239575</v>
          </cell>
          <cell r="K17">
            <v>15673550</v>
          </cell>
          <cell r="L17">
            <v>16805000</v>
          </cell>
          <cell r="M17">
            <v>17712025</v>
          </cell>
          <cell r="N17">
            <v>839100</v>
          </cell>
          <cell r="O17">
            <v>1694200</v>
          </cell>
          <cell r="P17">
            <v>2363850</v>
          </cell>
          <cell r="Q17">
            <v>3072500</v>
          </cell>
          <cell r="R17">
            <v>3686875</v>
          </cell>
          <cell r="S17">
            <v>4580150</v>
          </cell>
          <cell r="T17">
            <v>5355800</v>
          </cell>
          <cell r="U17">
            <v>6107000</v>
          </cell>
          <cell r="V17">
            <v>6753075</v>
          </cell>
          <cell r="W17">
            <v>7403225</v>
          </cell>
          <cell r="X17">
            <v>8005650</v>
          </cell>
          <cell r="Y17">
            <v>8656975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1692175</v>
          </cell>
          <cell r="C18">
            <v>3256875</v>
          </cell>
          <cell r="D18">
            <v>4738400</v>
          </cell>
          <cell r="E18">
            <v>6203925</v>
          </cell>
          <cell r="F18">
            <v>7770325</v>
          </cell>
          <cell r="G18">
            <v>9650075</v>
          </cell>
          <cell r="H18">
            <v>11130850</v>
          </cell>
          <cell r="I18">
            <v>12631375</v>
          </cell>
          <cell r="J18">
            <v>14239575</v>
          </cell>
          <cell r="K18">
            <v>15673550</v>
          </cell>
          <cell r="L18">
            <v>16805000</v>
          </cell>
          <cell r="M18">
            <v>17712025</v>
          </cell>
          <cell r="N18">
            <v>18551125</v>
          </cell>
          <cell r="O18">
            <v>19406225</v>
          </cell>
          <cell r="P18">
            <v>20075875</v>
          </cell>
          <cell r="Q18">
            <v>20784525</v>
          </cell>
          <cell r="R18">
            <v>21398900</v>
          </cell>
          <cell r="S18">
            <v>22292175</v>
          </cell>
          <cell r="T18">
            <v>23067825</v>
          </cell>
          <cell r="U18">
            <v>23819025</v>
          </cell>
          <cell r="V18">
            <v>24465100</v>
          </cell>
          <cell r="W18">
            <v>25115250</v>
          </cell>
          <cell r="X18">
            <v>25717675</v>
          </cell>
          <cell r="Y18">
            <v>26369000</v>
          </cell>
          <cell r="Z18">
            <v>26369000</v>
          </cell>
          <cell r="AA18">
            <v>26369000</v>
          </cell>
          <cell r="AB18">
            <v>26369000</v>
          </cell>
          <cell r="AC18">
            <v>26369000</v>
          </cell>
          <cell r="AD18">
            <v>26369000</v>
          </cell>
          <cell r="AE18">
            <v>26369000</v>
          </cell>
          <cell r="AF18">
            <v>26369000</v>
          </cell>
          <cell r="AG18">
            <v>26369000</v>
          </cell>
          <cell r="AH18">
            <v>26369000</v>
          </cell>
          <cell r="AI18">
            <v>26369000</v>
          </cell>
          <cell r="AJ18">
            <v>26369000</v>
          </cell>
          <cell r="AK18">
            <v>26369000</v>
          </cell>
          <cell r="AL18">
            <v>26369000</v>
          </cell>
          <cell r="AM18">
            <v>26369000</v>
          </cell>
          <cell r="AN18">
            <v>26369000</v>
          </cell>
          <cell r="AO18">
            <v>26369000</v>
          </cell>
          <cell r="AP18">
            <v>26369000</v>
          </cell>
          <cell r="AQ18">
            <v>26369000</v>
          </cell>
          <cell r="AR18">
            <v>26369000</v>
          </cell>
          <cell r="AS18">
            <v>26369000</v>
          </cell>
          <cell r="AT18">
            <v>26369000</v>
          </cell>
          <cell r="AU18">
            <v>26369000</v>
          </cell>
          <cell r="AV18">
            <v>26369000</v>
          </cell>
          <cell r="AW18">
            <v>26369000</v>
          </cell>
          <cell r="AX18">
            <v>26369000</v>
          </cell>
          <cell r="AY18">
            <v>26369000</v>
          </cell>
          <cell r="AZ18">
            <v>26369000</v>
          </cell>
          <cell r="BA18">
            <v>26369000</v>
          </cell>
          <cell r="BB18">
            <v>26369000</v>
          </cell>
        </row>
        <row r="19">
          <cell r="A19" t="str">
            <v>SPRT</v>
          </cell>
          <cell r="B19">
            <v>16475</v>
          </cell>
          <cell r="C19">
            <v>12850</v>
          </cell>
          <cell r="D19">
            <v>14550</v>
          </cell>
          <cell r="E19">
            <v>13900</v>
          </cell>
          <cell r="F19">
            <v>16350</v>
          </cell>
          <cell r="G19">
            <v>31100</v>
          </cell>
          <cell r="H19">
            <v>16225</v>
          </cell>
          <cell r="I19">
            <v>18875</v>
          </cell>
          <cell r="J19">
            <v>18575</v>
          </cell>
          <cell r="K19">
            <v>18775</v>
          </cell>
          <cell r="L19">
            <v>19175</v>
          </cell>
          <cell r="M19">
            <v>17425</v>
          </cell>
          <cell r="N19">
            <v>18125</v>
          </cell>
          <cell r="O19">
            <v>35125</v>
          </cell>
          <cell r="P19">
            <v>21525</v>
          </cell>
          <cell r="Q19">
            <v>19350</v>
          </cell>
          <cell r="R19">
            <v>20400</v>
          </cell>
          <cell r="S19">
            <v>29125</v>
          </cell>
          <cell r="T19">
            <v>27075</v>
          </cell>
          <cell r="U19">
            <v>26550</v>
          </cell>
          <cell r="V19">
            <v>26000</v>
          </cell>
          <cell r="W19">
            <v>27275</v>
          </cell>
          <cell r="X19">
            <v>29375</v>
          </cell>
          <cell r="Y19">
            <v>62300</v>
          </cell>
        </row>
        <row r="20">
          <cell r="A20" t="str">
            <v>ptd</v>
          </cell>
          <cell r="B20">
            <v>16475</v>
          </cell>
          <cell r="C20">
            <v>29325</v>
          </cell>
          <cell r="D20">
            <v>43875</v>
          </cell>
          <cell r="E20">
            <v>57775</v>
          </cell>
          <cell r="F20">
            <v>16350</v>
          </cell>
          <cell r="G20">
            <v>47450</v>
          </cell>
          <cell r="H20">
            <v>63675</v>
          </cell>
          <cell r="I20">
            <v>82550</v>
          </cell>
          <cell r="J20">
            <v>18575</v>
          </cell>
          <cell r="K20">
            <v>37350</v>
          </cell>
          <cell r="L20">
            <v>56525</v>
          </cell>
          <cell r="M20">
            <v>73950</v>
          </cell>
          <cell r="N20">
            <v>18125</v>
          </cell>
          <cell r="O20">
            <v>53250</v>
          </cell>
          <cell r="P20">
            <v>74775</v>
          </cell>
          <cell r="Q20">
            <v>94125</v>
          </cell>
          <cell r="R20">
            <v>20400</v>
          </cell>
          <cell r="S20">
            <v>49525</v>
          </cell>
          <cell r="T20">
            <v>76600</v>
          </cell>
          <cell r="U20">
            <v>103150</v>
          </cell>
          <cell r="V20">
            <v>26000</v>
          </cell>
          <cell r="W20">
            <v>53275</v>
          </cell>
          <cell r="X20">
            <v>82650</v>
          </cell>
          <cell r="Y20">
            <v>144950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</row>
        <row r="21">
          <cell r="A21" t="str">
            <v>qtd</v>
          </cell>
          <cell r="B21">
            <v>16475</v>
          </cell>
          <cell r="C21">
            <v>29325</v>
          </cell>
          <cell r="D21">
            <v>43875</v>
          </cell>
          <cell r="E21">
            <v>57775</v>
          </cell>
          <cell r="F21">
            <v>74125</v>
          </cell>
          <cell r="G21">
            <v>105225</v>
          </cell>
          <cell r="H21">
            <v>121450</v>
          </cell>
          <cell r="I21">
            <v>140325</v>
          </cell>
          <cell r="J21">
            <v>158900</v>
          </cell>
          <cell r="K21">
            <v>177675</v>
          </cell>
          <cell r="L21">
            <v>196850</v>
          </cell>
          <cell r="M21">
            <v>214275</v>
          </cell>
          <cell r="N21">
            <v>18125</v>
          </cell>
          <cell r="O21">
            <v>53250</v>
          </cell>
          <cell r="P21">
            <v>74775</v>
          </cell>
          <cell r="Q21">
            <v>94125</v>
          </cell>
          <cell r="R21">
            <v>114525</v>
          </cell>
          <cell r="S21">
            <v>143650</v>
          </cell>
          <cell r="T21">
            <v>170725</v>
          </cell>
          <cell r="U21">
            <v>197275</v>
          </cell>
          <cell r="V21">
            <v>223275</v>
          </cell>
          <cell r="W21">
            <v>250550</v>
          </cell>
          <cell r="X21">
            <v>279925</v>
          </cell>
          <cell r="Y21">
            <v>342225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</row>
        <row r="22">
          <cell r="A22" t="str">
            <v>ytd</v>
          </cell>
          <cell r="B22">
            <v>16475</v>
          </cell>
          <cell r="C22">
            <v>29325</v>
          </cell>
          <cell r="D22">
            <v>43875</v>
          </cell>
          <cell r="E22">
            <v>57775</v>
          </cell>
          <cell r="F22">
            <v>74125</v>
          </cell>
          <cell r="G22">
            <v>105225</v>
          </cell>
          <cell r="H22">
            <v>121450</v>
          </cell>
          <cell r="I22">
            <v>140325</v>
          </cell>
          <cell r="J22">
            <v>158900</v>
          </cell>
          <cell r="K22">
            <v>177675</v>
          </cell>
          <cell r="L22">
            <v>196850</v>
          </cell>
          <cell r="M22">
            <v>214275</v>
          </cell>
          <cell r="N22">
            <v>232400</v>
          </cell>
          <cell r="O22">
            <v>267525</v>
          </cell>
          <cell r="P22">
            <v>289050</v>
          </cell>
          <cell r="Q22">
            <v>308400</v>
          </cell>
          <cell r="R22">
            <v>328800</v>
          </cell>
          <cell r="S22">
            <v>357925</v>
          </cell>
          <cell r="T22">
            <v>385000</v>
          </cell>
          <cell r="U22">
            <v>411550</v>
          </cell>
          <cell r="V22">
            <v>437550</v>
          </cell>
          <cell r="W22">
            <v>464825</v>
          </cell>
          <cell r="X22">
            <v>494200</v>
          </cell>
          <cell r="Y22">
            <v>556500</v>
          </cell>
          <cell r="Z22">
            <v>556500</v>
          </cell>
          <cell r="AA22">
            <v>556500</v>
          </cell>
          <cell r="AB22">
            <v>556500</v>
          </cell>
          <cell r="AC22">
            <v>556500</v>
          </cell>
          <cell r="AD22">
            <v>556500</v>
          </cell>
          <cell r="AE22">
            <v>556500</v>
          </cell>
          <cell r="AF22">
            <v>556500</v>
          </cell>
          <cell r="AG22">
            <v>556500</v>
          </cell>
          <cell r="AH22">
            <v>556500</v>
          </cell>
          <cell r="AI22">
            <v>556500</v>
          </cell>
          <cell r="AJ22">
            <v>556500</v>
          </cell>
          <cell r="AK22">
            <v>556500</v>
          </cell>
          <cell r="AL22">
            <v>556500</v>
          </cell>
          <cell r="AM22">
            <v>556500</v>
          </cell>
          <cell r="AN22">
            <v>556500</v>
          </cell>
          <cell r="AO22">
            <v>556500</v>
          </cell>
          <cell r="AP22">
            <v>556500</v>
          </cell>
          <cell r="AQ22">
            <v>556500</v>
          </cell>
          <cell r="AR22">
            <v>556500</v>
          </cell>
          <cell r="AS22">
            <v>556500</v>
          </cell>
          <cell r="AT22">
            <v>556500</v>
          </cell>
          <cell r="AU22">
            <v>556500</v>
          </cell>
          <cell r="AV22">
            <v>556500</v>
          </cell>
          <cell r="AW22">
            <v>556500</v>
          </cell>
          <cell r="AX22">
            <v>556500</v>
          </cell>
          <cell r="AY22">
            <v>556500</v>
          </cell>
          <cell r="AZ22">
            <v>556500</v>
          </cell>
          <cell r="BA22">
            <v>556500</v>
          </cell>
          <cell r="BB22">
            <v>556500</v>
          </cell>
        </row>
        <row r="23">
          <cell r="A23" t="str">
            <v>TELE</v>
          </cell>
          <cell r="B23">
            <v>1060574.7</v>
          </cell>
          <cell r="C23">
            <v>1030667.77</v>
          </cell>
          <cell r="D23">
            <v>1057498.05</v>
          </cell>
          <cell r="E23">
            <v>1154170.05</v>
          </cell>
          <cell r="F23">
            <v>1236893.21</v>
          </cell>
          <cell r="G23">
            <v>1154943.1100000001</v>
          </cell>
          <cell r="H23">
            <v>1094425.6399999999</v>
          </cell>
          <cell r="I23">
            <v>1125331.44</v>
          </cell>
          <cell r="J23">
            <v>1174665.6000000001</v>
          </cell>
          <cell r="K23">
            <v>1048932.27</v>
          </cell>
          <cell r="L23">
            <v>1037771.53</v>
          </cell>
          <cell r="M23">
            <v>1003821.03</v>
          </cell>
          <cell r="N23">
            <v>1164819.67</v>
          </cell>
          <cell r="O23">
            <v>1097366.23</v>
          </cell>
          <cell r="P23">
            <v>1050309.3400000001</v>
          </cell>
          <cell r="Q23">
            <v>1023111.64</v>
          </cell>
          <cell r="R23">
            <v>1141871.3500000001</v>
          </cell>
          <cell r="S23">
            <v>1173459.32</v>
          </cell>
          <cell r="T23">
            <v>1129341.73</v>
          </cell>
          <cell r="U23">
            <v>1133856.3999999999</v>
          </cell>
          <cell r="V23">
            <v>1101982.5900000001</v>
          </cell>
          <cell r="W23">
            <v>1271527</v>
          </cell>
          <cell r="X23">
            <v>1158095.42</v>
          </cell>
          <cell r="Y23">
            <v>1161147.22</v>
          </cell>
        </row>
        <row r="24">
          <cell r="A24" t="str">
            <v>ptd</v>
          </cell>
          <cell r="B24">
            <v>1060574.7</v>
          </cell>
          <cell r="C24">
            <v>2091242.47</v>
          </cell>
          <cell r="D24">
            <v>3148740.52</v>
          </cell>
          <cell r="E24">
            <v>4302910.57</v>
          </cell>
          <cell r="F24">
            <v>1236893.21</v>
          </cell>
          <cell r="G24">
            <v>2391836.3200000003</v>
          </cell>
          <cell r="H24">
            <v>3486261.96</v>
          </cell>
          <cell r="I24">
            <v>4611593.4000000004</v>
          </cell>
          <cell r="J24">
            <v>1174665.6000000001</v>
          </cell>
          <cell r="K24">
            <v>2223597.87</v>
          </cell>
          <cell r="L24">
            <v>3261369.4000000004</v>
          </cell>
          <cell r="M24">
            <v>4265190.4300000006</v>
          </cell>
          <cell r="N24">
            <v>1164819.67</v>
          </cell>
          <cell r="O24">
            <v>2262185.9</v>
          </cell>
          <cell r="P24">
            <v>3312495.24</v>
          </cell>
          <cell r="Q24">
            <v>4335606.88</v>
          </cell>
          <cell r="R24">
            <v>1141871.3500000001</v>
          </cell>
          <cell r="S24">
            <v>2315330.67</v>
          </cell>
          <cell r="T24">
            <v>3444672.4</v>
          </cell>
          <cell r="U24">
            <v>4578528.8</v>
          </cell>
          <cell r="V24">
            <v>1101982.5900000001</v>
          </cell>
          <cell r="W24">
            <v>2373509.59</v>
          </cell>
          <cell r="X24">
            <v>3531605.01</v>
          </cell>
          <cell r="Y24">
            <v>4692752.2299999995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</row>
        <row r="25">
          <cell r="A25" t="str">
            <v>qtd</v>
          </cell>
          <cell r="B25">
            <v>1060574.7</v>
          </cell>
          <cell r="C25">
            <v>2091242.47</v>
          </cell>
          <cell r="D25">
            <v>3148740.52</v>
          </cell>
          <cell r="E25">
            <v>4302910.57</v>
          </cell>
          <cell r="F25">
            <v>5539803.7800000003</v>
          </cell>
          <cell r="G25">
            <v>6694746.8900000006</v>
          </cell>
          <cell r="H25">
            <v>7789172.5300000003</v>
          </cell>
          <cell r="I25">
            <v>8914503.9700000007</v>
          </cell>
          <cell r="J25">
            <v>10089169.57</v>
          </cell>
          <cell r="K25">
            <v>11138101.84</v>
          </cell>
          <cell r="L25">
            <v>12175873.369999999</v>
          </cell>
          <cell r="M25">
            <v>13179694.399999999</v>
          </cell>
          <cell r="N25">
            <v>1164819.67</v>
          </cell>
          <cell r="O25">
            <v>2262185.9</v>
          </cell>
          <cell r="P25">
            <v>3312495.24</v>
          </cell>
          <cell r="Q25">
            <v>4335606.88</v>
          </cell>
          <cell r="R25">
            <v>5477478.2300000004</v>
          </cell>
          <cell r="S25">
            <v>6650937.5500000007</v>
          </cell>
          <cell r="T25">
            <v>7780279.2800000012</v>
          </cell>
          <cell r="U25">
            <v>8914135.6800000016</v>
          </cell>
          <cell r="V25">
            <v>10016118.270000001</v>
          </cell>
          <cell r="W25">
            <v>11287645.270000001</v>
          </cell>
          <cell r="X25">
            <v>12445740.690000001</v>
          </cell>
          <cell r="Y25">
            <v>13606887.910000002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</row>
        <row r="26">
          <cell r="A26" t="str">
            <v>ytd</v>
          </cell>
          <cell r="B26">
            <v>1060574.7</v>
          </cell>
          <cell r="C26">
            <v>2091242.47</v>
          </cell>
          <cell r="D26">
            <v>3148740.52</v>
          </cell>
          <cell r="E26">
            <v>4302910.57</v>
          </cell>
          <cell r="F26">
            <v>5539803.7800000003</v>
          </cell>
          <cell r="G26">
            <v>6694746.8900000006</v>
          </cell>
          <cell r="H26">
            <v>7789172.5300000003</v>
          </cell>
          <cell r="I26">
            <v>8914503.9700000007</v>
          </cell>
          <cell r="J26">
            <v>10089169.57</v>
          </cell>
          <cell r="K26">
            <v>11138101.84</v>
          </cell>
          <cell r="L26">
            <v>12175873.369999999</v>
          </cell>
          <cell r="M26">
            <v>13179694.399999999</v>
          </cell>
          <cell r="N26">
            <v>14344514.069999998</v>
          </cell>
          <cell r="O26">
            <v>15441880.299999999</v>
          </cell>
          <cell r="P26">
            <v>16492189.639999999</v>
          </cell>
          <cell r="Q26">
            <v>17515301.279999997</v>
          </cell>
          <cell r="R26">
            <v>18657172.629999999</v>
          </cell>
          <cell r="S26">
            <v>19830631.949999999</v>
          </cell>
          <cell r="T26">
            <v>20959973.68</v>
          </cell>
          <cell r="U26">
            <v>22093830.079999998</v>
          </cell>
          <cell r="V26">
            <v>23195812.669999998</v>
          </cell>
          <cell r="W26">
            <v>24467339.669999998</v>
          </cell>
          <cell r="X26">
            <v>25625435.089999996</v>
          </cell>
          <cell r="Y26">
            <v>26786582.309999995</v>
          </cell>
          <cell r="Z26">
            <v>26786582.309999995</v>
          </cell>
          <cell r="AA26">
            <v>26786582.309999995</v>
          </cell>
          <cell r="AB26">
            <v>26786582.309999995</v>
          </cell>
          <cell r="AC26">
            <v>26786582.309999995</v>
          </cell>
          <cell r="AD26">
            <v>26786582.309999995</v>
          </cell>
          <cell r="AE26">
            <v>26786582.309999995</v>
          </cell>
          <cell r="AF26">
            <v>26786582.309999995</v>
          </cell>
          <cell r="AG26">
            <v>26786582.309999995</v>
          </cell>
          <cell r="AH26">
            <v>26786582.309999995</v>
          </cell>
          <cell r="AI26">
            <v>26786582.309999995</v>
          </cell>
          <cell r="AJ26">
            <v>26786582.309999995</v>
          </cell>
          <cell r="AK26">
            <v>26786582.309999995</v>
          </cell>
          <cell r="AL26">
            <v>26786582.309999995</v>
          </cell>
          <cell r="AM26">
            <v>26786582.309999995</v>
          </cell>
          <cell r="AN26">
            <v>26786582.309999995</v>
          </cell>
          <cell r="AO26">
            <v>26786582.309999995</v>
          </cell>
          <cell r="AP26">
            <v>26786582.309999995</v>
          </cell>
          <cell r="AQ26">
            <v>26786582.309999995</v>
          </cell>
          <cell r="AR26">
            <v>26786582.309999995</v>
          </cell>
          <cell r="AS26">
            <v>26786582.309999995</v>
          </cell>
          <cell r="AT26">
            <v>26786582.309999995</v>
          </cell>
          <cell r="AU26">
            <v>26786582.309999995</v>
          </cell>
          <cell r="AV26">
            <v>26786582.309999995</v>
          </cell>
          <cell r="AW26">
            <v>26786582.309999995</v>
          </cell>
          <cell r="AX26">
            <v>26786582.309999995</v>
          </cell>
          <cell r="AY26">
            <v>26786582.309999995</v>
          </cell>
          <cell r="AZ26">
            <v>26786582.309999995</v>
          </cell>
          <cell r="BA26">
            <v>26786582.309999995</v>
          </cell>
          <cell r="BB26">
            <v>26786582.309999995</v>
          </cell>
        </row>
        <row r="27">
          <cell r="A27" t="str">
            <v>TICK</v>
          </cell>
          <cell r="B27">
            <v>26239.96</v>
          </cell>
          <cell r="C27">
            <v>34009.96</v>
          </cell>
          <cell r="D27">
            <v>37315.910000000003</v>
          </cell>
          <cell r="E27">
            <v>45432.79</v>
          </cell>
          <cell r="F27">
            <v>36705.910000000003</v>
          </cell>
          <cell r="G27">
            <v>60944.66</v>
          </cell>
          <cell r="H27">
            <v>61387.93</v>
          </cell>
          <cell r="I27">
            <v>57823.78</v>
          </cell>
          <cell r="J27">
            <v>65490.7</v>
          </cell>
          <cell r="K27">
            <v>75724.479999999996</v>
          </cell>
          <cell r="L27">
            <v>111234.79</v>
          </cell>
          <cell r="M27">
            <v>103239.66</v>
          </cell>
          <cell r="N27">
            <v>104248.21</v>
          </cell>
          <cell r="O27">
            <v>154893.25</v>
          </cell>
          <cell r="P27">
            <v>154199.4</v>
          </cell>
          <cell r="Q27">
            <v>181748.36</v>
          </cell>
          <cell r="R27">
            <v>138888.10999999999</v>
          </cell>
          <cell r="S27">
            <v>166017.37</v>
          </cell>
          <cell r="T27">
            <v>173071.47</v>
          </cell>
          <cell r="U27">
            <v>270506.52</v>
          </cell>
          <cell r="V27">
            <v>370177.73</v>
          </cell>
          <cell r="W27">
            <v>494520.7</v>
          </cell>
          <cell r="X27">
            <v>651405.59</v>
          </cell>
          <cell r="Y27">
            <v>799119.44</v>
          </cell>
        </row>
        <row r="28">
          <cell r="A28" t="str">
            <v>ptd</v>
          </cell>
          <cell r="B28">
            <v>26239.96</v>
          </cell>
          <cell r="C28">
            <v>60249.919999999998</v>
          </cell>
          <cell r="D28">
            <v>97565.83</v>
          </cell>
          <cell r="E28">
            <v>142998.62</v>
          </cell>
          <cell r="F28">
            <v>36705.910000000003</v>
          </cell>
          <cell r="G28">
            <v>97650.57</v>
          </cell>
          <cell r="H28">
            <v>159038.5</v>
          </cell>
          <cell r="I28">
            <v>216862.28</v>
          </cell>
          <cell r="J28">
            <v>65490.7</v>
          </cell>
          <cell r="K28">
            <v>141215.18</v>
          </cell>
          <cell r="L28">
            <v>252449.96999999997</v>
          </cell>
          <cell r="M28">
            <v>355689.63</v>
          </cell>
          <cell r="N28">
            <v>104248.21</v>
          </cell>
          <cell r="O28">
            <v>259141.46000000002</v>
          </cell>
          <cell r="P28">
            <v>413340.86</v>
          </cell>
          <cell r="Q28">
            <v>595089.22</v>
          </cell>
          <cell r="R28">
            <v>138888.10999999999</v>
          </cell>
          <cell r="S28">
            <v>304905.48</v>
          </cell>
          <cell r="T28">
            <v>477976.94999999995</v>
          </cell>
          <cell r="U28">
            <v>748483.47</v>
          </cell>
          <cell r="V28">
            <v>370177.73</v>
          </cell>
          <cell r="W28">
            <v>864698.42999999993</v>
          </cell>
          <cell r="X28">
            <v>1516104.02</v>
          </cell>
          <cell r="Y28">
            <v>2315223.46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</row>
        <row r="29">
          <cell r="A29" t="str">
            <v>qtd</v>
          </cell>
          <cell r="B29">
            <v>26239.96</v>
          </cell>
          <cell r="C29">
            <v>60249.919999999998</v>
          </cell>
          <cell r="D29">
            <v>97565.83</v>
          </cell>
          <cell r="E29">
            <v>142998.62</v>
          </cell>
          <cell r="F29">
            <v>179704.53</v>
          </cell>
          <cell r="G29">
            <v>240649.19</v>
          </cell>
          <cell r="H29">
            <v>302037.12</v>
          </cell>
          <cell r="I29">
            <v>359860.9</v>
          </cell>
          <cell r="J29">
            <v>425351.60000000003</v>
          </cell>
          <cell r="K29">
            <v>501076.08</v>
          </cell>
          <cell r="L29">
            <v>612310.87</v>
          </cell>
          <cell r="M29">
            <v>715550.53</v>
          </cell>
          <cell r="N29">
            <v>104248.21</v>
          </cell>
          <cell r="O29">
            <v>259141.46000000002</v>
          </cell>
          <cell r="P29">
            <v>413340.86</v>
          </cell>
          <cell r="Q29">
            <v>595089.22</v>
          </cell>
          <cell r="R29">
            <v>733977.33</v>
          </cell>
          <cell r="S29">
            <v>899994.7</v>
          </cell>
          <cell r="T29">
            <v>1073066.17</v>
          </cell>
          <cell r="U29">
            <v>1343572.69</v>
          </cell>
          <cell r="V29">
            <v>1713750.42</v>
          </cell>
          <cell r="W29">
            <v>2208271.12</v>
          </cell>
          <cell r="X29">
            <v>2859676.71</v>
          </cell>
          <cell r="Y29">
            <v>3658796.15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</row>
        <row r="30">
          <cell r="A30" t="str">
            <v>ytd</v>
          </cell>
          <cell r="B30">
            <v>26239.96</v>
          </cell>
          <cell r="C30">
            <v>60249.919999999998</v>
          </cell>
          <cell r="D30">
            <v>97565.83</v>
          </cell>
          <cell r="E30">
            <v>142998.62</v>
          </cell>
          <cell r="F30">
            <v>179704.53</v>
          </cell>
          <cell r="G30">
            <v>240649.19</v>
          </cell>
          <cell r="H30">
            <v>302037.12</v>
          </cell>
          <cell r="I30">
            <v>359860.9</v>
          </cell>
          <cell r="J30">
            <v>425351.60000000003</v>
          </cell>
          <cell r="K30">
            <v>501076.08</v>
          </cell>
          <cell r="L30">
            <v>612310.87</v>
          </cell>
          <cell r="M30">
            <v>715550.53</v>
          </cell>
          <cell r="N30">
            <v>819798.74</v>
          </cell>
          <cell r="O30">
            <v>974691.99</v>
          </cell>
          <cell r="P30">
            <v>1128891.3899999999</v>
          </cell>
          <cell r="Q30">
            <v>1310639.75</v>
          </cell>
          <cell r="R30">
            <v>1449527.8599999999</v>
          </cell>
          <cell r="S30">
            <v>1615545.23</v>
          </cell>
          <cell r="T30">
            <v>1788616.7</v>
          </cell>
          <cell r="U30">
            <v>2059123.22</v>
          </cell>
          <cell r="V30">
            <v>2429300.9500000002</v>
          </cell>
          <cell r="W30">
            <v>2923821.6500000004</v>
          </cell>
          <cell r="X30">
            <v>3575227.24</v>
          </cell>
          <cell r="Y30">
            <v>4374346.68</v>
          </cell>
          <cell r="Z30">
            <v>4374346.68</v>
          </cell>
          <cell r="AA30">
            <v>4374346.68</v>
          </cell>
          <cell r="AB30">
            <v>4374346.68</v>
          </cell>
          <cell r="AC30">
            <v>4374346.68</v>
          </cell>
          <cell r="AD30">
            <v>4374346.68</v>
          </cell>
          <cell r="AE30">
            <v>4374346.68</v>
          </cell>
          <cell r="AF30">
            <v>4374346.68</v>
          </cell>
          <cell r="AG30">
            <v>4374346.68</v>
          </cell>
          <cell r="AH30">
            <v>4374346.68</v>
          </cell>
          <cell r="AI30">
            <v>4374346.68</v>
          </cell>
          <cell r="AJ30">
            <v>4374346.68</v>
          </cell>
          <cell r="AK30">
            <v>4374346.68</v>
          </cell>
          <cell r="AL30">
            <v>4374346.68</v>
          </cell>
          <cell r="AM30">
            <v>4374346.68</v>
          </cell>
          <cell r="AN30">
            <v>4374346.68</v>
          </cell>
          <cell r="AO30">
            <v>4374346.68</v>
          </cell>
          <cell r="AP30">
            <v>4374346.68</v>
          </cell>
          <cell r="AQ30">
            <v>4374346.68</v>
          </cell>
          <cell r="AR30">
            <v>4374346.68</v>
          </cell>
          <cell r="AS30">
            <v>4374346.68</v>
          </cell>
          <cell r="AT30">
            <v>4374346.68</v>
          </cell>
          <cell r="AU30">
            <v>4374346.68</v>
          </cell>
          <cell r="AV30">
            <v>4374346.68</v>
          </cell>
          <cell r="AW30">
            <v>4374346.68</v>
          </cell>
          <cell r="AX30">
            <v>4374346.68</v>
          </cell>
          <cell r="AY30">
            <v>4374346.68</v>
          </cell>
          <cell r="AZ30">
            <v>4374346.68</v>
          </cell>
          <cell r="BA30">
            <v>4374346.68</v>
          </cell>
          <cell r="BB30">
            <v>4374346.68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6561067.0100000007</v>
          </cell>
          <cell r="C35">
            <v>6117870.4100000001</v>
          </cell>
          <cell r="D35">
            <v>5997537.5</v>
          </cell>
          <cell r="E35">
            <v>6164423.25</v>
          </cell>
          <cell r="F35">
            <v>6806372.9300000006</v>
          </cell>
          <cell r="G35">
            <v>9806097.1899999995</v>
          </cell>
          <cell r="H35">
            <v>6321725.0499999998</v>
          </cell>
          <cell r="I35">
            <v>6564405.9299999997</v>
          </cell>
          <cell r="J35">
            <v>6763617.7400000002</v>
          </cell>
          <cell r="K35">
            <v>6457396.5500000007</v>
          </cell>
          <cell r="L35">
            <v>6139906.3300000001</v>
          </cell>
          <cell r="M35">
            <v>5886206.8100000005</v>
          </cell>
          <cell r="N35">
            <v>6426826.9699999997</v>
          </cell>
          <cell r="O35">
            <v>9052900.6400000006</v>
          </cell>
          <cell r="P35">
            <v>6077602.4400000004</v>
          </cell>
          <cell r="Q35">
            <v>6698179.0099999998</v>
          </cell>
          <cell r="R35">
            <v>6604304.9700000007</v>
          </cell>
          <cell r="S35">
            <v>11767047.810000001</v>
          </cell>
          <cell r="T35">
            <v>8950587.0500000007</v>
          </cell>
          <cell r="U35">
            <v>8076907.6600000001</v>
          </cell>
          <cell r="V35">
            <v>7915974.6799999997</v>
          </cell>
          <cell r="W35">
            <v>8841583.2600000016</v>
          </cell>
          <cell r="X35">
            <v>8640526.9600000009</v>
          </cell>
          <cell r="Y35">
            <v>12655314.720000001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</row>
        <row r="36">
          <cell r="A36" t="str">
            <v>ptd</v>
          </cell>
          <cell r="B36">
            <v>6561067.0100000007</v>
          </cell>
          <cell r="C36">
            <v>12678937.420000002</v>
          </cell>
          <cell r="D36">
            <v>18676474.920000002</v>
          </cell>
          <cell r="E36">
            <v>24840898.170000002</v>
          </cell>
          <cell r="F36">
            <v>6806372.9300000006</v>
          </cell>
          <cell r="G36">
            <v>16612470.120000001</v>
          </cell>
          <cell r="H36">
            <v>22934195.170000002</v>
          </cell>
          <cell r="I36">
            <v>29498601.100000001</v>
          </cell>
          <cell r="J36">
            <v>6763617.7400000002</v>
          </cell>
          <cell r="K36">
            <v>13221014.290000001</v>
          </cell>
          <cell r="L36">
            <v>19360920.620000001</v>
          </cell>
          <cell r="M36">
            <v>25247127.43</v>
          </cell>
          <cell r="N36">
            <v>6426826.9699999997</v>
          </cell>
          <cell r="O36">
            <v>15479727.609999999</v>
          </cell>
          <cell r="P36">
            <v>21557330.050000001</v>
          </cell>
          <cell r="Q36">
            <v>28255509.060000002</v>
          </cell>
          <cell r="R36">
            <v>6604304.9700000007</v>
          </cell>
          <cell r="S36">
            <v>18371352.780000001</v>
          </cell>
          <cell r="T36">
            <v>27321939.830000002</v>
          </cell>
          <cell r="U36">
            <v>35398847.490000002</v>
          </cell>
          <cell r="V36">
            <v>7915974.6799999997</v>
          </cell>
          <cell r="W36">
            <v>16757557.940000001</v>
          </cell>
          <cell r="X36">
            <v>25398084.900000002</v>
          </cell>
          <cell r="Y36">
            <v>38053399.620000005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</row>
        <row r="37">
          <cell r="A37" t="str">
            <v>qtd</v>
          </cell>
          <cell r="B37">
            <v>6561067.0100000007</v>
          </cell>
          <cell r="C37">
            <v>12678937.420000002</v>
          </cell>
          <cell r="D37">
            <v>18676474.920000002</v>
          </cell>
          <cell r="E37">
            <v>24840898.170000002</v>
          </cell>
          <cell r="F37">
            <v>31647271.100000001</v>
          </cell>
          <cell r="G37">
            <v>41453368.289999999</v>
          </cell>
          <cell r="H37">
            <v>47775093.339999996</v>
          </cell>
          <cell r="I37">
            <v>54339499.269999996</v>
          </cell>
          <cell r="J37">
            <v>61103117.009999998</v>
          </cell>
          <cell r="K37">
            <v>67560513.560000002</v>
          </cell>
          <cell r="L37">
            <v>73700419.890000001</v>
          </cell>
          <cell r="M37">
            <v>79586626.700000003</v>
          </cell>
          <cell r="N37">
            <v>6426826.9699999997</v>
          </cell>
          <cell r="O37">
            <v>15479727.609999999</v>
          </cell>
          <cell r="P37">
            <v>21557330.050000001</v>
          </cell>
          <cell r="Q37">
            <v>28255509.060000002</v>
          </cell>
          <cell r="R37">
            <v>34859814.030000001</v>
          </cell>
          <cell r="S37">
            <v>46626861.840000004</v>
          </cell>
          <cell r="T37">
            <v>55577448.890000001</v>
          </cell>
          <cell r="U37">
            <v>63654356.549999997</v>
          </cell>
          <cell r="V37">
            <v>71570331.229999989</v>
          </cell>
          <cell r="W37">
            <v>80411914.489999995</v>
          </cell>
          <cell r="X37">
            <v>89052441.449999988</v>
          </cell>
          <cell r="Y37">
            <v>101707756.16999999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</row>
        <row r="38">
          <cell r="A38" t="str">
            <v>ytd</v>
          </cell>
          <cell r="B38">
            <v>6561067.0100000007</v>
          </cell>
          <cell r="C38">
            <v>12678937.420000002</v>
          </cell>
          <cell r="D38">
            <v>18676474.920000002</v>
          </cell>
          <cell r="E38">
            <v>24840898.170000002</v>
          </cell>
          <cell r="F38">
            <v>31647271.100000001</v>
          </cell>
          <cell r="G38">
            <v>41453368.289999999</v>
          </cell>
          <cell r="H38">
            <v>47775093.339999996</v>
          </cell>
          <cell r="I38">
            <v>54339499.269999996</v>
          </cell>
          <cell r="J38">
            <v>61103117.009999998</v>
          </cell>
          <cell r="K38">
            <v>67560513.560000002</v>
          </cell>
          <cell r="L38">
            <v>73700419.890000001</v>
          </cell>
          <cell r="M38">
            <v>79586626.700000003</v>
          </cell>
          <cell r="N38">
            <v>86013453.670000002</v>
          </cell>
          <cell r="O38">
            <v>95066354.310000002</v>
          </cell>
          <cell r="P38">
            <v>101143956.75</v>
          </cell>
          <cell r="Q38">
            <v>107842135.76000001</v>
          </cell>
          <cell r="R38">
            <v>114446440.73</v>
          </cell>
          <cell r="S38">
            <v>126213488.54000001</v>
          </cell>
          <cell r="T38">
            <v>135164075.59</v>
          </cell>
          <cell r="U38">
            <v>143240983.25</v>
          </cell>
          <cell r="V38">
            <v>151156957.93000001</v>
          </cell>
          <cell r="W38">
            <v>159998541.19</v>
          </cell>
          <cell r="X38">
            <v>168639068.15000001</v>
          </cell>
          <cell r="Y38">
            <v>181294382.87</v>
          </cell>
          <cell r="Z38">
            <v>181294382.87</v>
          </cell>
          <cell r="AA38">
            <v>181294382.87</v>
          </cell>
          <cell r="AB38">
            <v>181294382.87</v>
          </cell>
          <cell r="AC38">
            <v>181294382.87</v>
          </cell>
          <cell r="AD38">
            <v>181294382.87</v>
          </cell>
          <cell r="AE38">
            <v>181294382.87</v>
          </cell>
          <cell r="AF38">
            <v>181294382.87</v>
          </cell>
          <cell r="AG38">
            <v>181294382.87</v>
          </cell>
          <cell r="AH38">
            <v>181294382.87</v>
          </cell>
          <cell r="AI38">
            <v>181294382.87</v>
          </cell>
          <cell r="AJ38">
            <v>181294382.87</v>
          </cell>
          <cell r="AK38">
            <v>181294382.87</v>
          </cell>
          <cell r="AL38">
            <v>181294382.87</v>
          </cell>
          <cell r="AM38">
            <v>181294382.87</v>
          </cell>
          <cell r="AN38">
            <v>181294382.87</v>
          </cell>
          <cell r="AO38">
            <v>181294382.87</v>
          </cell>
          <cell r="AP38">
            <v>181294382.87</v>
          </cell>
          <cell r="AQ38">
            <v>181294382.87</v>
          </cell>
          <cell r="AR38">
            <v>181294382.87</v>
          </cell>
          <cell r="AS38">
            <v>181294382.87</v>
          </cell>
          <cell r="AT38">
            <v>181294382.87</v>
          </cell>
          <cell r="AU38">
            <v>181294382.87</v>
          </cell>
          <cell r="AV38">
            <v>181294382.87</v>
          </cell>
          <cell r="AW38">
            <v>181294382.87</v>
          </cell>
          <cell r="AX38">
            <v>181294382.87</v>
          </cell>
          <cell r="AY38">
            <v>181294382.87</v>
          </cell>
          <cell r="AZ38">
            <v>181294382.87</v>
          </cell>
          <cell r="BA38">
            <v>181294382.87</v>
          </cell>
          <cell r="BB38">
            <v>181294382.87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140925</v>
          </cell>
          <cell r="C41">
            <v>144950</v>
          </cell>
          <cell r="D41">
            <v>163125</v>
          </cell>
          <cell r="E41">
            <v>148400</v>
          </cell>
          <cell r="F41">
            <v>168450</v>
          </cell>
          <cell r="G41">
            <v>242775</v>
          </cell>
          <cell r="H41">
            <v>201825</v>
          </cell>
          <cell r="I41">
            <v>246700</v>
          </cell>
          <cell r="J41">
            <v>243675</v>
          </cell>
          <cell r="K41">
            <v>185400</v>
          </cell>
          <cell r="L41">
            <v>190525</v>
          </cell>
          <cell r="M41">
            <v>189925</v>
          </cell>
          <cell r="N41">
            <v>205250</v>
          </cell>
          <cell r="O41">
            <v>279800</v>
          </cell>
          <cell r="P41">
            <v>189775</v>
          </cell>
          <cell r="Q41">
            <v>233875</v>
          </cell>
          <cell r="R41">
            <v>212650</v>
          </cell>
          <cell r="S41">
            <v>354400</v>
          </cell>
          <cell r="T41">
            <v>262750</v>
          </cell>
          <cell r="U41">
            <v>225650</v>
          </cell>
          <cell r="V41">
            <v>228100</v>
          </cell>
          <cell r="W41">
            <v>259550</v>
          </cell>
          <cell r="X41">
            <v>252875</v>
          </cell>
          <cell r="Y41">
            <v>342100</v>
          </cell>
        </row>
        <row r="42">
          <cell r="A42" t="str">
            <v>ptd</v>
          </cell>
          <cell r="B42">
            <v>140925</v>
          </cell>
          <cell r="C42">
            <v>285875</v>
          </cell>
          <cell r="D42">
            <v>449000</v>
          </cell>
          <cell r="E42">
            <v>597400</v>
          </cell>
          <cell r="F42">
            <v>168450</v>
          </cell>
          <cell r="G42">
            <v>411225</v>
          </cell>
          <cell r="H42">
            <v>613050</v>
          </cell>
          <cell r="I42">
            <v>859750</v>
          </cell>
          <cell r="J42">
            <v>243675</v>
          </cell>
          <cell r="K42">
            <v>429075</v>
          </cell>
          <cell r="L42">
            <v>619600</v>
          </cell>
          <cell r="M42">
            <v>809525</v>
          </cell>
          <cell r="N42">
            <v>205250</v>
          </cell>
          <cell r="O42">
            <v>485050</v>
          </cell>
          <cell r="P42">
            <v>674825</v>
          </cell>
          <cell r="Q42">
            <v>908700</v>
          </cell>
          <cell r="R42">
            <v>212650</v>
          </cell>
          <cell r="S42">
            <v>567050</v>
          </cell>
          <cell r="T42">
            <v>829800</v>
          </cell>
          <cell r="U42">
            <v>1055450</v>
          </cell>
          <cell r="V42">
            <v>228100</v>
          </cell>
          <cell r="W42">
            <v>487650</v>
          </cell>
          <cell r="X42">
            <v>740525</v>
          </cell>
          <cell r="Y42">
            <v>1082625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</row>
        <row r="43">
          <cell r="A43" t="str">
            <v>qtd</v>
          </cell>
          <cell r="B43">
            <v>140925</v>
          </cell>
          <cell r="C43">
            <v>285875</v>
          </cell>
          <cell r="D43">
            <v>449000</v>
          </cell>
          <cell r="E43">
            <v>597400</v>
          </cell>
          <cell r="F43">
            <v>765850</v>
          </cell>
          <cell r="G43">
            <v>1008625</v>
          </cell>
          <cell r="H43">
            <v>1210450</v>
          </cell>
          <cell r="I43">
            <v>1457150</v>
          </cell>
          <cell r="J43">
            <v>1700825</v>
          </cell>
          <cell r="K43">
            <v>1886225</v>
          </cell>
          <cell r="L43">
            <v>2076750</v>
          </cell>
          <cell r="M43">
            <v>2266675</v>
          </cell>
          <cell r="N43">
            <v>205250</v>
          </cell>
          <cell r="O43">
            <v>485050</v>
          </cell>
          <cell r="P43">
            <v>674825</v>
          </cell>
          <cell r="Q43">
            <v>908700</v>
          </cell>
          <cell r="R43">
            <v>1121350</v>
          </cell>
          <cell r="S43">
            <v>1475750</v>
          </cell>
          <cell r="T43">
            <v>1738500</v>
          </cell>
          <cell r="U43">
            <v>1964150</v>
          </cell>
          <cell r="V43">
            <v>2192250</v>
          </cell>
          <cell r="W43">
            <v>2451800</v>
          </cell>
          <cell r="X43">
            <v>2704675</v>
          </cell>
          <cell r="Y43">
            <v>3046775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</row>
        <row r="44">
          <cell r="A44" t="str">
            <v>ytd</v>
          </cell>
          <cell r="B44">
            <v>140925</v>
          </cell>
          <cell r="C44">
            <v>285875</v>
          </cell>
          <cell r="D44">
            <v>449000</v>
          </cell>
          <cell r="E44">
            <v>597400</v>
          </cell>
          <cell r="F44">
            <v>765850</v>
          </cell>
          <cell r="G44">
            <v>1008625</v>
          </cell>
          <cell r="H44">
            <v>1210450</v>
          </cell>
          <cell r="I44">
            <v>1457150</v>
          </cell>
          <cell r="J44">
            <v>1700825</v>
          </cell>
          <cell r="K44">
            <v>1886225</v>
          </cell>
          <cell r="L44">
            <v>2076750</v>
          </cell>
          <cell r="M44">
            <v>2266675</v>
          </cell>
          <cell r="N44">
            <v>2471925</v>
          </cell>
          <cell r="O44">
            <v>2751725</v>
          </cell>
          <cell r="P44">
            <v>2941500</v>
          </cell>
          <cell r="Q44">
            <v>3175375</v>
          </cell>
          <cell r="R44">
            <v>3388025</v>
          </cell>
          <cell r="S44">
            <v>3742425</v>
          </cell>
          <cell r="T44">
            <v>4005175</v>
          </cell>
          <cell r="U44">
            <v>4230825</v>
          </cell>
          <cell r="V44">
            <v>4458925</v>
          </cell>
          <cell r="W44">
            <v>4718475</v>
          </cell>
          <cell r="X44">
            <v>4971350</v>
          </cell>
          <cell r="Y44">
            <v>5313450</v>
          </cell>
          <cell r="Z44">
            <v>5313450</v>
          </cell>
          <cell r="AA44">
            <v>5313450</v>
          </cell>
          <cell r="AB44">
            <v>5313450</v>
          </cell>
          <cell r="AC44">
            <v>5313450</v>
          </cell>
          <cell r="AD44">
            <v>5313450</v>
          </cell>
          <cell r="AE44">
            <v>5313450</v>
          </cell>
          <cell r="AF44">
            <v>5313450</v>
          </cell>
          <cell r="AG44">
            <v>5313450</v>
          </cell>
          <cell r="AH44">
            <v>5313450</v>
          </cell>
          <cell r="AI44">
            <v>5313450</v>
          </cell>
          <cell r="AJ44">
            <v>5313450</v>
          </cell>
          <cell r="AK44">
            <v>5313450</v>
          </cell>
          <cell r="AL44">
            <v>5313450</v>
          </cell>
          <cell r="AM44">
            <v>5313450</v>
          </cell>
          <cell r="AN44">
            <v>5313450</v>
          </cell>
          <cell r="AO44">
            <v>5313450</v>
          </cell>
          <cell r="AP44">
            <v>5313450</v>
          </cell>
          <cell r="AQ44">
            <v>5313450</v>
          </cell>
          <cell r="AR44">
            <v>5313450</v>
          </cell>
          <cell r="AS44">
            <v>5313450</v>
          </cell>
          <cell r="AT44">
            <v>5313450</v>
          </cell>
          <cell r="AU44">
            <v>5313450</v>
          </cell>
          <cell r="AV44">
            <v>5313450</v>
          </cell>
          <cell r="AW44">
            <v>5313450</v>
          </cell>
          <cell r="AX44">
            <v>5313450</v>
          </cell>
          <cell r="AY44">
            <v>5313450</v>
          </cell>
          <cell r="AZ44">
            <v>5313450</v>
          </cell>
          <cell r="BA44">
            <v>5313450</v>
          </cell>
          <cell r="BB44">
            <v>5313450</v>
          </cell>
        </row>
        <row r="45">
          <cell r="A45" t="str">
            <v>PART</v>
          </cell>
          <cell r="B45">
            <v>6254809.9800000004</v>
          </cell>
          <cell r="C45">
            <v>6342774.9900000002</v>
          </cell>
          <cell r="D45">
            <v>6438025</v>
          </cell>
          <cell r="E45">
            <v>6229945</v>
          </cell>
          <cell r="F45">
            <v>6475235</v>
          </cell>
          <cell r="G45">
            <v>8100485</v>
          </cell>
          <cell r="H45">
            <v>8466575</v>
          </cell>
          <cell r="I45">
            <v>9734955</v>
          </cell>
          <cell r="J45">
            <v>10427740</v>
          </cell>
          <cell r="K45">
            <v>7912820</v>
          </cell>
          <cell r="L45">
            <v>8042775</v>
          </cell>
          <cell r="M45">
            <v>8226495</v>
          </cell>
          <cell r="N45">
            <v>9362905</v>
          </cell>
          <cell r="O45">
            <v>10510180</v>
          </cell>
          <cell r="P45">
            <v>7852230</v>
          </cell>
          <cell r="Q45">
            <v>9650005</v>
          </cell>
          <cell r="R45">
            <v>10063055</v>
          </cell>
          <cell r="S45">
            <v>12159095</v>
          </cell>
          <cell r="T45">
            <v>9894340</v>
          </cell>
          <cell r="U45">
            <v>10264965</v>
          </cell>
          <cell r="V45">
            <v>9956735</v>
          </cell>
          <cell r="W45">
            <v>10520860</v>
          </cell>
          <cell r="X45">
            <v>10438900</v>
          </cell>
          <cell r="Y45">
            <v>12674900</v>
          </cell>
        </row>
        <row r="46">
          <cell r="A46" t="str">
            <v>ptd</v>
          </cell>
          <cell r="B46">
            <v>6254809.9800000004</v>
          </cell>
          <cell r="C46">
            <v>12597584.970000001</v>
          </cell>
          <cell r="D46">
            <v>19035609.969999999</v>
          </cell>
          <cell r="E46">
            <v>25265554.969999999</v>
          </cell>
          <cell r="F46">
            <v>6475235</v>
          </cell>
          <cell r="G46">
            <v>14575720</v>
          </cell>
          <cell r="H46">
            <v>23042295</v>
          </cell>
          <cell r="I46">
            <v>32777250</v>
          </cell>
          <cell r="J46">
            <v>10427740</v>
          </cell>
          <cell r="K46">
            <v>18340560</v>
          </cell>
          <cell r="L46">
            <v>26383335</v>
          </cell>
          <cell r="M46">
            <v>34609830</v>
          </cell>
          <cell r="N46">
            <v>9362905</v>
          </cell>
          <cell r="O46">
            <v>19873085</v>
          </cell>
          <cell r="P46">
            <v>27725315</v>
          </cell>
          <cell r="Q46">
            <v>37375320</v>
          </cell>
          <cell r="R46">
            <v>10063055</v>
          </cell>
          <cell r="S46">
            <v>22222150</v>
          </cell>
          <cell r="T46">
            <v>32116490</v>
          </cell>
          <cell r="U46">
            <v>42381455</v>
          </cell>
          <cell r="V46">
            <v>9956735</v>
          </cell>
          <cell r="W46">
            <v>20477595</v>
          </cell>
          <cell r="X46">
            <v>30916495</v>
          </cell>
          <cell r="Y46">
            <v>43591395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</row>
        <row r="47">
          <cell r="A47" t="str">
            <v>qtd</v>
          </cell>
          <cell r="B47">
            <v>6254809.9800000004</v>
          </cell>
          <cell r="C47">
            <v>12597584.970000001</v>
          </cell>
          <cell r="D47">
            <v>19035609.969999999</v>
          </cell>
          <cell r="E47">
            <v>25265554.969999999</v>
          </cell>
          <cell r="F47">
            <v>31740789.969999999</v>
          </cell>
          <cell r="G47">
            <v>39841274.969999999</v>
          </cell>
          <cell r="H47">
            <v>48307849.969999999</v>
          </cell>
          <cell r="I47">
            <v>58042804.969999999</v>
          </cell>
          <cell r="J47">
            <v>68470544.969999999</v>
          </cell>
          <cell r="K47">
            <v>76383364.969999999</v>
          </cell>
          <cell r="L47">
            <v>84426139.969999999</v>
          </cell>
          <cell r="M47">
            <v>92652634.969999999</v>
          </cell>
          <cell r="N47">
            <v>9362905</v>
          </cell>
          <cell r="O47">
            <v>19873085</v>
          </cell>
          <cell r="P47">
            <v>27725315</v>
          </cell>
          <cell r="Q47">
            <v>37375320</v>
          </cell>
          <cell r="R47">
            <v>47438375</v>
          </cell>
          <cell r="S47">
            <v>59597470</v>
          </cell>
          <cell r="T47">
            <v>69491810</v>
          </cell>
          <cell r="U47">
            <v>79756775</v>
          </cell>
          <cell r="V47">
            <v>89713510</v>
          </cell>
          <cell r="W47">
            <v>100234370</v>
          </cell>
          <cell r="X47">
            <v>110673270</v>
          </cell>
          <cell r="Y47">
            <v>123348170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</row>
        <row r="48">
          <cell r="A48" t="str">
            <v>ytd</v>
          </cell>
          <cell r="B48">
            <v>6254809.9800000004</v>
          </cell>
          <cell r="C48">
            <v>12597584.970000001</v>
          </cell>
          <cell r="D48">
            <v>19035609.969999999</v>
          </cell>
          <cell r="E48">
            <v>25265554.969999999</v>
          </cell>
          <cell r="F48">
            <v>31740789.969999999</v>
          </cell>
          <cell r="G48">
            <v>39841274.969999999</v>
          </cell>
          <cell r="H48">
            <v>48307849.969999999</v>
          </cell>
          <cell r="I48">
            <v>58042804.969999999</v>
          </cell>
          <cell r="J48">
            <v>68470544.969999999</v>
          </cell>
          <cell r="K48">
            <v>76383364.969999999</v>
          </cell>
          <cell r="L48">
            <v>84426139.969999999</v>
          </cell>
          <cell r="M48">
            <v>92652634.969999999</v>
          </cell>
          <cell r="N48">
            <v>102015539.97</v>
          </cell>
          <cell r="O48">
            <v>112525719.97</v>
          </cell>
          <cell r="P48">
            <v>120377949.97</v>
          </cell>
          <cell r="Q48">
            <v>130027954.97</v>
          </cell>
          <cell r="R48">
            <v>140091009.97</v>
          </cell>
          <cell r="S48">
            <v>152250104.97</v>
          </cell>
          <cell r="T48">
            <v>162144444.97</v>
          </cell>
          <cell r="U48">
            <v>172409409.97</v>
          </cell>
          <cell r="V48">
            <v>182366144.97</v>
          </cell>
          <cell r="W48">
            <v>192887004.97</v>
          </cell>
          <cell r="X48">
            <v>203325904.97</v>
          </cell>
          <cell r="Y48">
            <v>216000804.97</v>
          </cell>
          <cell r="Z48">
            <v>216000804.97</v>
          </cell>
          <cell r="AA48">
            <v>216000804.97</v>
          </cell>
          <cell r="AB48">
            <v>216000804.97</v>
          </cell>
          <cell r="AC48">
            <v>216000804.97</v>
          </cell>
          <cell r="AD48">
            <v>216000804.97</v>
          </cell>
          <cell r="AE48">
            <v>216000804.97</v>
          </cell>
          <cell r="AF48">
            <v>216000804.97</v>
          </cell>
          <cell r="AG48">
            <v>216000804.97</v>
          </cell>
          <cell r="AH48">
            <v>216000804.97</v>
          </cell>
          <cell r="AI48">
            <v>216000804.97</v>
          </cell>
          <cell r="AJ48">
            <v>216000804.97</v>
          </cell>
          <cell r="AK48">
            <v>216000804.97</v>
          </cell>
          <cell r="AL48">
            <v>216000804.97</v>
          </cell>
          <cell r="AM48">
            <v>216000804.97</v>
          </cell>
          <cell r="AN48">
            <v>216000804.97</v>
          </cell>
          <cell r="AO48">
            <v>216000804.97</v>
          </cell>
          <cell r="AP48">
            <v>216000804.97</v>
          </cell>
          <cell r="AQ48">
            <v>216000804.97</v>
          </cell>
          <cell r="AR48">
            <v>216000804.97</v>
          </cell>
          <cell r="AS48">
            <v>216000804.97</v>
          </cell>
          <cell r="AT48">
            <v>216000804.97</v>
          </cell>
          <cell r="AU48">
            <v>216000804.97</v>
          </cell>
          <cell r="AV48">
            <v>216000804.97</v>
          </cell>
          <cell r="AW48">
            <v>216000804.97</v>
          </cell>
          <cell r="AX48">
            <v>216000804.97</v>
          </cell>
          <cell r="AY48">
            <v>216000804.97</v>
          </cell>
          <cell r="AZ48">
            <v>216000804.97</v>
          </cell>
          <cell r="BA48">
            <v>216000804.97</v>
          </cell>
          <cell r="BB48">
            <v>216000804.97</v>
          </cell>
        </row>
        <row r="49">
          <cell r="A49" t="str">
            <v>PRED</v>
          </cell>
          <cell r="B49">
            <v>235501.85</v>
          </cell>
          <cell r="C49">
            <v>236383.65</v>
          </cell>
          <cell r="D49">
            <v>238185.55</v>
          </cell>
          <cell r="E49">
            <v>243470.64</v>
          </cell>
          <cell r="F49">
            <v>199254.82</v>
          </cell>
          <cell r="G49">
            <v>128694.74</v>
          </cell>
          <cell r="H49">
            <v>141925.4</v>
          </cell>
          <cell r="I49">
            <v>266448.53000000003</v>
          </cell>
          <cell r="J49">
            <v>167480.22</v>
          </cell>
          <cell r="K49">
            <v>148715.84</v>
          </cell>
          <cell r="L49">
            <v>234576.15</v>
          </cell>
          <cell r="M49">
            <v>155862.07999999999</v>
          </cell>
          <cell r="N49">
            <v>186499.27</v>
          </cell>
          <cell r="O49">
            <v>192577.35</v>
          </cell>
          <cell r="P49">
            <v>177332.22</v>
          </cell>
          <cell r="Q49">
            <v>236540.15</v>
          </cell>
          <cell r="R49">
            <v>193815.11</v>
          </cell>
          <cell r="S49">
            <v>198122.08</v>
          </cell>
          <cell r="T49">
            <v>153933.99</v>
          </cell>
          <cell r="U49">
            <v>176007.91</v>
          </cell>
          <cell r="V49">
            <v>181903.09</v>
          </cell>
          <cell r="W49">
            <v>153220.76999999999</v>
          </cell>
          <cell r="X49">
            <v>199653.61</v>
          </cell>
          <cell r="Y49">
            <v>199682.02</v>
          </cell>
        </row>
        <row r="50">
          <cell r="A50" t="str">
            <v>ptd</v>
          </cell>
          <cell r="B50">
            <v>235501.85</v>
          </cell>
          <cell r="C50">
            <v>471885.5</v>
          </cell>
          <cell r="D50">
            <v>710071.05</v>
          </cell>
          <cell r="E50">
            <v>953541.69000000006</v>
          </cell>
          <cell r="F50">
            <v>199254.82</v>
          </cell>
          <cell r="G50">
            <v>327949.56</v>
          </cell>
          <cell r="H50">
            <v>469874.95999999996</v>
          </cell>
          <cell r="I50">
            <v>736323.49</v>
          </cell>
          <cell r="J50">
            <v>167480.22</v>
          </cell>
          <cell r="K50">
            <v>316196.06</v>
          </cell>
          <cell r="L50">
            <v>550772.21</v>
          </cell>
          <cell r="M50">
            <v>706634.28999999992</v>
          </cell>
          <cell r="N50">
            <v>186499.27</v>
          </cell>
          <cell r="O50">
            <v>379076.62</v>
          </cell>
          <cell r="P50">
            <v>556408.84</v>
          </cell>
          <cell r="Q50">
            <v>792948.99</v>
          </cell>
          <cell r="R50">
            <v>193815.11</v>
          </cell>
          <cell r="S50">
            <v>391937.18999999994</v>
          </cell>
          <cell r="T50">
            <v>545871.17999999993</v>
          </cell>
          <cell r="U50">
            <v>721879.09</v>
          </cell>
          <cell r="V50">
            <v>181903.09</v>
          </cell>
          <cell r="W50">
            <v>335123.86</v>
          </cell>
          <cell r="X50">
            <v>534777.47</v>
          </cell>
          <cell r="Y50">
            <v>734459.49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</row>
        <row r="51">
          <cell r="A51" t="str">
            <v>qtd</v>
          </cell>
          <cell r="B51">
            <v>235501.85</v>
          </cell>
          <cell r="C51">
            <v>471885.5</v>
          </cell>
          <cell r="D51">
            <v>710071.05</v>
          </cell>
          <cell r="E51">
            <v>953541.69000000006</v>
          </cell>
          <cell r="F51">
            <v>1152796.51</v>
          </cell>
          <cell r="G51">
            <v>1281491.25</v>
          </cell>
          <cell r="H51">
            <v>1423416.65</v>
          </cell>
          <cell r="I51">
            <v>1689865.18</v>
          </cell>
          <cell r="J51">
            <v>1857345.4</v>
          </cell>
          <cell r="K51">
            <v>2006061.24</v>
          </cell>
          <cell r="L51">
            <v>2240637.39</v>
          </cell>
          <cell r="M51">
            <v>2396499.4700000002</v>
          </cell>
          <cell r="N51">
            <v>186499.27</v>
          </cell>
          <cell r="O51">
            <v>379076.62</v>
          </cell>
          <cell r="P51">
            <v>556408.84</v>
          </cell>
          <cell r="Q51">
            <v>792948.99</v>
          </cell>
          <cell r="R51">
            <v>986764.1</v>
          </cell>
          <cell r="S51">
            <v>1184886.18</v>
          </cell>
          <cell r="T51">
            <v>1338820.17</v>
          </cell>
          <cell r="U51">
            <v>1514828.0799999998</v>
          </cell>
          <cell r="V51">
            <v>1696731.17</v>
          </cell>
          <cell r="W51">
            <v>1849951.94</v>
          </cell>
          <cell r="X51">
            <v>2049605.5499999998</v>
          </cell>
          <cell r="Y51">
            <v>2249287.5699999998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</row>
        <row r="52">
          <cell r="A52" t="str">
            <v>ytd</v>
          </cell>
          <cell r="B52">
            <v>235501.85</v>
          </cell>
          <cell r="C52">
            <v>471885.5</v>
          </cell>
          <cell r="D52">
            <v>710071.05</v>
          </cell>
          <cell r="E52">
            <v>953541.69000000006</v>
          </cell>
          <cell r="F52">
            <v>1152796.51</v>
          </cell>
          <cell r="G52">
            <v>1281491.25</v>
          </cell>
          <cell r="H52">
            <v>1423416.65</v>
          </cell>
          <cell r="I52">
            <v>1689865.18</v>
          </cell>
          <cell r="J52">
            <v>1857345.4</v>
          </cell>
          <cell r="K52">
            <v>2006061.24</v>
          </cell>
          <cell r="L52">
            <v>2240637.39</v>
          </cell>
          <cell r="M52">
            <v>2396499.4700000002</v>
          </cell>
          <cell r="N52">
            <v>2582998.7400000002</v>
          </cell>
          <cell r="O52">
            <v>2775576.0900000003</v>
          </cell>
          <cell r="P52">
            <v>2952908.3100000005</v>
          </cell>
          <cell r="Q52">
            <v>3189448.4600000004</v>
          </cell>
          <cell r="R52">
            <v>3383263.5700000003</v>
          </cell>
          <cell r="S52">
            <v>3581385.6500000004</v>
          </cell>
          <cell r="T52">
            <v>3735319.6400000006</v>
          </cell>
          <cell r="U52">
            <v>3911327.5500000007</v>
          </cell>
          <cell r="V52">
            <v>4093230.6400000006</v>
          </cell>
          <cell r="W52">
            <v>4246451.41</v>
          </cell>
          <cell r="X52">
            <v>4446105.0200000005</v>
          </cell>
          <cell r="Y52">
            <v>4645787.04</v>
          </cell>
          <cell r="Z52">
            <v>4645787.04</v>
          </cell>
          <cell r="AA52">
            <v>4645787.04</v>
          </cell>
          <cell r="AB52">
            <v>4645787.04</v>
          </cell>
          <cell r="AC52">
            <v>4645787.04</v>
          </cell>
          <cell r="AD52">
            <v>4645787.04</v>
          </cell>
          <cell r="AE52">
            <v>4645787.04</v>
          </cell>
          <cell r="AF52">
            <v>4645787.04</v>
          </cell>
          <cell r="AG52">
            <v>4645787.04</v>
          </cell>
          <cell r="AH52">
            <v>4645787.04</v>
          </cell>
          <cell r="AI52">
            <v>4645787.04</v>
          </cell>
          <cell r="AJ52">
            <v>4645787.04</v>
          </cell>
          <cell r="AK52">
            <v>4645787.04</v>
          </cell>
          <cell r="AL52">
            <v>4645787.04</v>
          </cell>
          <cell r="AM52">
            <v>4645787.04</v>
          </cell>
          <cell r="AN52">
            <v>4645787.04</v>
          </cell>
          <cell r="AO52">
            <v>4645787.04</v>
          </cell>
          <cell r="AP52">
            <v>4645787.04</v>
          </cell>
          <cell r="AQ52">
            <v>4645787.04</v>
          </cell>
          <cell r="AR52">
            <v>4645787.04</v>
          </cell>
          <cell r="AS52">
            <v>4645787.04</v>
          </cell>
          <cell r="AT52">
            <v>4645787.04</v>
          </cell>
          <cell r="AU52">
            <v>4645787.04</v>
          </cell>
          <cell r="AV52">
            <v>4645787.04</v>
          </cell>
          <cell r="AW52">
            <v>4645787.04</v>
          </cell>
          <cell r="AX52">
            <v>4645787.04</v>
          </cell>
          <cell r="AY52">
            <v>4645787.04</v>
          </cell>
          <cell r="AZ52">
            <v>4645787.04</v>
          </cell>
          <cell r="BA52">
            <v>4645787.04</v>
          </cell>
          <cell r="BB52">
            <v>4645787.04</v>
          </cell>
        </row>
        <row r="53">
          <cell r="A53" t="str">
            <v>PREG</v>
          </cell>
          <cell r="B53">
            <v>259275</v>
          </cell>
          <cell r="C53">
            <v>261675</v>
          </cell>
          <cell r="D53">
            <v>301075</v>
          </cell>
          <cell r="E53">
            <v>271450</v>
          </cell>
          <cell r="F53">
            <v>255575</v>
          </cell>
          <cell r="G53">
            <v>251550</v>
          </cell>
          <cell r="H53">
            <v>245150</v>
          </cell>
          <cell r="I53">
            <v>283675</v>
          </cell>
          <cell r="J53">
            <v>271550</v>
          </cell>
          <cell r="K53">
            <v>260050</v>
          </cell>
          <cell r="L53">
            <v>265825</v>
          </cell>
          <cell r="M53">
            <v>246850</v>
          </cell>
          <cell r="N53">
            <v>292000</v>
          </cell>
          <cell r="O53">
            <v>379600</v>
          </cell>
          <cell r="P53">
            <v>262400</v>
          </cell>
          <cell r="Q53">
            <v>297425</v>
          </cell>
          <cell r="R53">
            <v>279775</v>
          </cell>
          <cell r="S53">
            <v>398275</v>
          </cell>
          <cell r="T53">
            <v>363275</v>
          </cell>
          <cell r="U53">
            <v>322900</v>
          </cell>
          <cell r="V53">
            <v>328050</v>
          </cell>
          <cell r="W53">
            <v>403175</v>
          </cell>
          <cell r="X53">
            <v>389525</v>
          </cell>
          <cell r="Y53">
            <v>446525</v>
          </cell>
        </row>
        <row r="54">
          <cell r="A54" t="str">
            <v>ptd</v>
          </cell>
          <cell r="B54">
            <v>259275</v>
          </cell>
          <cell r="C54">
            <v>520950</v>
          </cell>
          <cell r="D54">
            <v>822025</v>
          </cell>
          <cell r="E54">
            <v>1093475</v>
          </cell>
          <cell r="F54">
            <v>255575</v>
          </cell>
          <cell r="G54">
            <v>507125</v>
          </cell>
          <cell r="H54">
            <v>752275</v>
          </cell>
          <cell r="I54">
            <v>1035950</v>
          </cell>
          <cell r="J54">
            <v>271550</v>
          </cell>
          <cell r="K54">
            <v>531600</v>
          </cell>
          <cell r="L54">
            <v>797425</v>
          </cell>
          <cell r="M54">
            <v>1044275</v>
          </cell>
          <cell r="N54">
            <v>292000</v>
          </cell>
          <cell r="O54">
            <v>671600</v>
          </cell>
          <cell r="P54">
            <v>934000</v>
          </cell>
          <cell r="Q54">
            <v>1231425</v>
          </cell>
          <cell r="R54">
            <v>279775</v>
          </cell>
          <cell r="S54">
            <v>678050</v>
          </cell>
          <cell r="T54">
            <v>1041325</v>
          </cell>
          <cell r="U54">
            <v>1364225</v>
          </cell>
          <cell r="V54">
            <v>328050</v>
          </cell>
          <cell r="W54">
            <v>731225</v>
          </cell>
          <cell r="X54">
            <v>1120750</v>
          </cell>
          <cell r="Y54">
            <v>1567275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</row>
        <row r="55">
          <cell r="A55" t="str">
            <v>qtd</v>
          </cell>
          <cell r="B55">
            <v>259275</v>
          </cell>
          <cell r="C55">
            <v>520950</v>
          </cell>
          <cell r="D55">
            <v>822025</v>
          </cell>
          <cell r="E55">
            <v>1093475</v>
          </cell>
          <cell r="F55">
            <v>1349050</v>
          </cell>
          <cell r="G55">
            <v>1600600</v>
          </cell>
          <cell r="H55">
            <v>1845750</v>
          </cell>
          <cell r="I55">
            <v>2129425</v>
          </cell>
          <cell r="J55">
            <v>2400975</v>
          </cell>
          <cell r="K55">
            <v>2661025</v>
          </cell>
          <cell r="L55">
            <v>2926850</v>
          </cell>
          <cell r="M55">
            <v>3173700</v>
          </cell>
          <cell r="N55">
            <v>292000</v>
          </cell>
          <cell r="O55">
            <v>671600</v>
          </cell>
          <cell r="P55">
            <v>934000</v>
          </cell>
          <cell r="Q55">
            <v>1231425</v>
          </cell>
          <cell r="R55">
            <v>1511200</v>
          </cell>
          <cell r="S55">
            <v>1909475</v>
          </cell>
          <cell r="T55">
            <v>2272750</v>
          </cell>
          <cell r="U55">
            <v>2595650</v>
          </cell>
          <cell r="V55">
            <v>2923700</v>
          </cell>
          <cell r="W55">
            <v>3326875</v>
          </cell>
          <cell r="X55">
            <v>3716400</v>
          </cell>
          <cell r="Y55">
            <v>4162925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</row>
        <row r="56">
          <cell r="A56" t="str">
            <v>ytd</v>
          </cell>
          <cell r="B56">
            <v>259275</v>
          </cell>
          <cell r="C56">
            <v>520950</v>
          </cell>
          <cell r="D56">
            <v>822025</v>
          </cell>
          <cell r="E56">
            <v>1093475</v>
          </cell>
          <cell r="F56">
            <v>1349050</v>
          </cell>
          <cell r="G56">
            <v>1600600</v>
          </cell>
          <cell r="H56">
            <v>1845750</v>
          </cell>
          <cell r="I56">
            <v>2129425</v>
          </cell>
          <cell r="J56">
            <v>2400975</v>
          </cell>
          <cell r="K56">
            <v>2661025</v>
          </cell>
          <cell r="L56">
            <v>2926850</v>
          </cell>
          <cell r="M56">
            <v>3173700</v>
          </cell>
          <cell r="N56">
            <v>3465700</v>
          </cell>
          <cell r="O56">
            <v>3845300</v>
          </cell>
          <cell r="P56">
            <v>4107700</v>
          </cell>
          <cell r="Q56">
            <v>4405125</v>
          </cell>
          <cell r="R56">
            <v>4684900</v>
          </cell>
          <cell r="S56">
            <v>5083175</v>
          </cell>
          <cell r="T56">
            <v>5446450</v>
          </cell>
          <cell r="U56">
            <v>5769350</v>
          </cell>
          <cell r="V56">
            <v>6097400</v>
          </cell>
          <cell r="W56">
            <v>6500575</v>
          </cell>
          <cell r="X56">
            <v>6890100</v>
          </cell>
          <cell r="Y56">
            <v>7336625</v>
          </cell>
          <cell r="Z56">
            <v>7336625</v>
          </cell>
          <cell r="AA56">
            <v>7336625</v>
          </cell>
          <cell r="AB56">
            <v>7336625</v>
          </cell>
          <cell r="AC56">
            <v>7336625</v>
          </cell>
          <cell r="AD56">
            <v>7336625</v>
          </cell>
          <cell r="AE56">
            <v>7336625</v>
          </cell>
          <cell r="AF56">
            <v>7336625</v>
          </cell>
          <cell r="AG56">
            <v>7336625</v>
          </cell>
          <cell r="AH56">
            <v>7336625</v>
          </cell>
          <cell r="AI56">
            <v>7336625</v>
          </cell>
          <cell r="AJ56">
            <v>7336625</v>
          </cell>
          <cell r="AK56">
            <v>7336625</v>
          </cell>
          <cell r="AL56">
            <v>7336625</v>
          </cell>
          <cell r="AM56">
            <v>7336625</v>
          </cell>
          <cell r="AN56">
            <v>7336625</v>
          </cell>
          <cell r="AO56">
            <v>7336625</v>
          </cell>
          <cell r="AP56">
            <v>7336625</v>
          </cell>
          <cell r="AQ56">
            <v>7336625</v>
          </cell>
          <cell r="AR56">
            <v>7336625</v>
          </cell>
          <cell r="AS56">
            <v>7336625</v>
          </cell>
          <cell r="AT56">
            <v>7336625</v>
          </cell>
          <cell r="AU56">
            <v>7336625</v>
          </cell>
          <cell r="AV56">
            <v>7336625</v>
          </cell>
          <cell r="AW56">
            <v>7336625</v>
          </cell>
          <cell r="AX56">
            <v>7336625</v>
          </cell>
          <cell r="AY56">
            <v>7336625</v>
          </cell>
          <cell r="AZ56">
            <v>7336625</v>
          </cell>
          <cell r="BA56">
            <v>7336625</v>
          </cell>
          <cell r="BB56">
            <v>7336625</v>
          </cell>
        </row>
        <row r="57">
          <cell r="A57" t="str">
            <v>SPRT</v>
          </cell>
          <cell r="B57">
            <v>31175</v>
          </cell>
          <cell r="C57">
            <v>36600</v>
          </cell>
          <cell r="D57">
            <v>35900</v>
          </cell>
          <cell r="E57">
            <v>35850</v>
          </cell>
          <cell r="F57">
            <v>51200</v>
          </cell>
          <cell r="G57">
            <v>63875</v>
          </cell>
          <cell r="H57">
            <v>49800</v>
          </cell>
          <cell r="I57">
            <v>69350</v>
          </cell>
          <cell r="J57">
            <v>67175</v>
          </cell>
          <cell r="K57">
            <v>44525</v>
          </cell>
          <cell r="L57">
            <v>53550</v>
          </cell>
          <cell r="M57">
            <v>46525</v>
          </cell>
          <cell r="N57">
            <v>58275</v>
          </cell>
          <cell r="O57">
            <v>77450</v>
          </cell>
          <cell r="P57">
            <v>44800</v>
          </cell>
          <cell r="Q57">
            <v>47375</v>
          </cell>
          <cell r="R57">
            <v>47300</v>
          </cell>
          <cell r="S57">
            <v>60100</v>
          </cell>
          <cell r="T57">
            <v>46775</v>
          </cell>
          <cell r="U57">
            <v>40000</v>
          </cell>
          <cell r="V57">
            <v>43475</v>
          </cell>
          <cell r="W57">
            <v>45325</v>
          </cell>
          <cell r="X57">
            <v>47650</v>
          </cell>
          <cell r="Y57">
            <v>84200</v>
          </cell>
        </row>
        <row r="58">
          <cell r="A58" t="str">
            <v>ptd</v>
          </cell>
          <cell r="B58">
            <v>31175</v>
          </cell>
          <cell r="C58">
            <v>67775</v>
          </cell>
          <cell r="D58">
            <v>103675</v>
          </cell>
          <cell r="E58">
            <v>139525</v>
          </cell>
          <cell r="F58">
            <v>51200</v>
          </cell>
          <cell r="G58">
            <v>115075</v>
          </cell>
          <cell r="H58">
            <v>164875</v>
          </cell>
          <cell r="I58">
            <v>234225</v>
          </cell>
          <cell r="J58">
            <v>67175</v>
          </cell>
          <cell r="K58">
            <v>111700</v>
          </cell>
          <cell r="L58">
            <v>165250</v>
          </cell>
          <cell r="M58">
            <v>211775</v>
          </cell>
          <cell r="N58">
            <v>58275</v>
          </cell>
          <cell r="O58">
            <v>135725</v>
          </cell>
          <cell r="P58">
            <v>180525</v>
          </cell>
          <cell r="Q58">
            <v>227900</v>
          </cell>
          <cell r="R58">
            <v>47300</v>
          </cell>
          <cell r="S58">
            <v>107400</v>
          </cell>
          <cell r="T58">
            <v>154175</v>
          </cell>
          <cell r="U58">
            <v>194175</v>
          </cell>
          <cell r="V58">
            <v>43475</v>
          </cell>
          <cell r="W58">
            <v>88800</v>
          </cell>
          <cell r="X58">
            <v>136450</v>
          </cell>
          <cell r="Y58">
            <v>220650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</row>
        <row r="59">
          <cell r="A59" t="str">
            <v>qtd</v>
          </cell>
          <cell r="B59">
            <v>31175</v>
          </cell>
          <cell r="C59">
            <v>67775</v>
          </cell>
          <cell r="D59">
            <v>103675</v>
          </cell>
          <cell r="E59">
            <v>139525</v>
          </cell>
          <cell r="F59">
            <v>190725</v>
          </cell>
          <cell r="G59">
            <v>254600</v>
          </cell>
          <cell r="H59">
            <v>304400</v>
          </cell>
          <cell r="I59">
            <v>373750</v>
          </cell>
          <cell r="J59">
            <v>440925</v>
          </cell>
          <cell r="K59">
            <v>485450</v>
          </cell>
          <cell r="L59">
            <v>539000</v>
          </cell>
          <cell r="M59">
            <v>585525</v>
          </cell>
          <cell r="N59">
            <v>58275</v>
          </cell>
          <cell r="O59">
            <v>135725</v>
          </cell>
          <cell r="P59">
            <v>180525</v>
          </cell>
          <cell r="Q59">
            <v>227900</v>
          </cell>
          <cell r="R59">
            <v>275200</v>
          </cell>
          <cell r="S59">
            <v>335300</v>
          </cell>
          <cell r="T59">
            <v>382075</v>
          </cell>
          <cell r="U59">
            <v>422075</v>
          </cell>
          <cell r="V59">
            <v>465550</v>
          </cell>
          <cell r="W59">
            <v>510875</v>
          </cell>
          <cell r="X59">
            <v>558525</v>
          </cell>
          <cell r="Y59">
            <v>642725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</row>
        <row r="60">
          <cell r="A60" t="str">
            <v>ytd</v>
          </cell>
          <cell r="B60">
            <v>31175</v>
          </cell>
          <cell r="C60">
            <v>67775</v>
          </cell>
          <cell r="D60">
            <v>103675</v>
          </cell>
          <cell r="E60">
            <v>139525</v>
          </cell>
          <cell r="F60">
            <v>190725</v>
          </cell>
          <cell r="G60">
            <v>254600</v>
          </cell>
          <cell r="H60">
            <v>304400</v>
          </cell>
          <cell r="I60">
            <v>373750</v>
          </cell>
          <cell r="J60">
            <v>440925</v>
          </cell>
          <cell r="K60">
            <v>485450</v>
          </cell>
          <cell r="L60">
            <v>539000</v>
          </cell>
          <cell r="M60">
            <v>585525</v>
          </cell>
          <cell r="N60">
            <v>643800</v>
          </cell>
          <cell r="O60">
            <v>721250</v>
          </cell>
          <cell r="P60">
            <v>766050</v>
          </cell>
          <cell r="Q60">
            <v>813425</v>
          </cell>
          <cell r="R60">
            <v>860725</v>
          </cell>
          <cell r="S60">
            <v>920825</v>
          </cell>
          <cell r="T60">
            <v>967600</v>
          </cell>
          <cell r="U60">
            <v>1007600</v>
          </cell>
          <cell r="V60">
            <v>1051075</v>
          </cell>
          <cell r="W60">
            <v>1096400</v>
          </cell>
          <cell r="X60">
            <v>1144050</v>
          </cell>
          <cell r="Y60">
            <v>1228250</v>
          </cell>
          <cell r="Z60">
            <v>1228250</v>
          </cell>
          <cell r="AA60">
            <v>1228250</v>
          </cell>
          <cell r="AB60">
            <v>1228250</v>
          </cell>
          <cell r="AC60">
            <v>1228250</v>
          </cell>
          <cell r="AD60">
            <v>1228250</v>
          </cell>
          <cell r="AE60">
            <v>1228250</v>
          </cell>
          <cell r="AF60">
            <v>1228250</v>
          </cell>
          <cell r="AG60">
            <v>1228250</v>
          </cell>
          <cell r="AH60">
            <v>1228250</v>
          </cell>
          <cell r="AI60">
            <v>1228250</v>
          </cell>
          <cell r="AJ60">
            <v>1228250</v>
          </cell>
          <cell r="AK60">
            <v>1228250</v>
          </cell>
          <cell r="AL60">
            <v>1228250</v>
          </cell>
          <cell r="AM60">
            <v>1228250</v>
          </cell>
          <cell r="AN60">
            <v>1228250</v>
          </cell>
          <cell r="AO60">
            <v>1228250</v>
          </cell>
          <cell r="AP60">
            <v>1228250</v>
          </cell>
          <cell r="AQ60">
            <v>1228250</v>
          </cell>
          <cell r="AR60">
            <v>1228250</v>
          </cell>
          <cell r="AS60">
            <v>1228250</v>
          </cell>
          <cell r="AT60">
            <v>1228250</v>
          </cell>
          <cell r="AU60">
            <v>1228250</v>
          </cell>
          <cell r="AV60">
            <v>1228250</v>
          </cell>
          <cell r="AW60">
            <v>1228250</v>
          </cell>
          <cell r="AX60">
            <v>1228250</v>
          </cell>
          <cell r="AY60">
            <v>1228250</v>
          </cell>
          <cell r="AZ60">
            <v>1228250</v>
          </cell>
          <cell r="BA60">
            <v>1228250</v>
          </cell>
          <cell r="BB60">
            <v>1228250</v>
          </cell>
        </row>
        <row r="61">
          <cell r="A61" t="str">
            <v>TELE</v>
          </cell>
          <cell r="B61">
            <v>180460.79999999999</v>
          </cell>
          <cell r="C61">
            <v>184724.49</v>
          </cell>
          <cell r="D61">
            <v>184109.76</v>
          </cell>
          <cell r="E61">
            <v>197783.67</v>
          </cell>
          <cell r="F61">
            <v>210731.24</v>
          </cell>
          <cell r="G61">
            <v>204100.22</v>
          </cell>
          <cell r="H61">
            <v>199272.19</v>
          </cell>
          <cell r="I61">
            <v>217194.97</v>
          </cell>
          <cell r="J61">
            <v>214189.96</v>
          </cell>
          <cell r="K61">
            <v>189178.64</v>
          </cell>
          <cell r="L61">
            <v>184549.18</v>
          </cell>
          <cell r="M61">
            <v>188343.61</v>
          </cell>
          <cell r="N61">
            <v>215363.25</v>
          </cell>
          <cell r="O61">
            <v>213404.02</v>
          </cell>
          <cell r="P61">
            <v>180469.21</v>
          </cell>
          <cell r="Q61">
            <v>186119.34</v>
          </cell>
          <cell r="R61">
            <v>211259.28</v>
          </cell>
          <cell r="S61">
            <v>216683.09</v>
          </cell>
          <cell r="T61">
            <v>202511.11</v>
          </cell>
          <cell r="U61">
            <v>199900.29</v>
          </cell>
          <cell r="V61">
            <v>190627.69</v>
          </cell>
          <cell r="W61">
            <v>211919.61</v>
          </cell>
          <cell r="X61">
            <v>204199.96</v>
          </cell>
          <cell r="Y61">
            <v>212112.84</v>
          </cell>
        </row>
        <row r="62">
          <cell r="A62" t="str">
            <v>ptd</v>
          </cell>
          <cell r="B62">
            <v>180460.79999999999</v>
          </cell>
          <cell r="C62">
            <v>365185.29</v>
          </cell>
          <cell r="D62">
            <v>549295.05000000005</v>
          </cell>
          <cell r="E62">
            <v>747078.72000000009</v>
          </cell>
          <cell r="F62">
            <v>210731.24</v>
          </cell>
          <cell r="G62">
            <v>414831.45999999996</v>
          </cell>
          <cell r="H62">
            <v>614103.64999999991</v>
          </cell>
          <cell r="I62">
            <v>831298.61999999988</v>
          </cell>
          <cell r="J62">
            <v>214189.96</v>
          </cell>
          <cell r="K62">
            <v>403368.6</v>
          </cell>
          <cell r="L62">
            <v>587917.78</v>
          </cell>
          <cell r="M62">
            <v>776261.39</v>
          </cell>
          <cell r="N62">
            <v>215363.25</v>
          </cell>
          <cell r="O62">
            <v>428767.27</v>
          </cell>
          <cell r="P62">
            <v>609236.47999999998</v>
          </cell>
          <cell r="Q62">
            <v>795355.82</v>
          </cell>
          <cell r="R62">
            <v>211259.28</v>
          </cell>
          <cell r="S62">
            <v>427942.37</v>
          </cell>
          <cell r="T62">
            <v>630453.48</v>
          </cell>
          <cell r="U62">
            <v>830353.77</v>
          </cell>
          <cell r="V62">
            <v>190627.69</v>
          </cell>
          <cell r="W62">
            <v>402547.3</v>
          </cell>
          <cell r="X62">
            <v>606747.26</v>
          </cell>
          <cell r="Y62">
            <v>818860.1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</row>
        <row r="63">
          <cell r="A63" t="str">
            <v>qtd</v>
          </cell>
          <cell r="B63">
            <v>180460.79999999999</v>
          </cell>
          <cell r="C63">
            <v>365185.29</v>
          </cell>
          <cell r="D63">
            <v>549295.05000000005</v>
          </cell>
          <cell r="E63">
            <v>747078.72000000009</v>
          </cell>
          <cell r="F63">
            <v>957809.96000000008</v>
          </cell>
          <cell r="G63">
            <v>1161910.1800000002</v>
          </cell>
          <cell r="H63">
            <v>1361182.37</v>
          </cell>
          <cell r="I63">
            <v>1578377.34</v>
          </cell>
          <cell r="J63">
            <v>1792567.3</v>
          </cell>
          <cell r="K63">
            <v>1981745.94</v>
          </cell>
          <cell r="L63">
            <v>2166295.12</v>
          </cell>
          <cell r="M63">
            <v>2354638.73</v>
          </cell>
          <cell r="N63">
            <v>215363.25</v>
          </cell>
          <cell r="O63">
            <v>428767.27</v>
          </cell>
          <cell r="P63">
            <v>609236.47999999998</v>
          </cell>
          <cell r="Q63">
            <v>795355.82</v>
          </cell>
          <cell r="R63">
            <v>1006615.1</v>
          </cell>
          <cell r="S63">
            <v>1223298.19</v>
          </cell>
          <cell r="T63">
            <v>1425809.2999999998</v>
          </cell>
          <cell r="U63">
            <v>1625709.5899999999</v>
          </cell>
          <cell r="V63">
            <v>1816337.2799999998</v>
          </cell>
          <cell r="W63">
            <v>2028256.8899999997</v>
          </cell>
          <cell r="X63">
            <v>2232456.8499999996</v>
          </cell>
          <cell r="Y63">
            <v>2444569.6899999995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</row>
        <row r="64">
          <cell r="A64" t="str">
            <v>ytd</v>
          </cell>
          <cell r="B64">
            <v>180460.79999999999</v>
          </cell>
          <cell r="C64">
            <v>365185.29</v>
          </cell>
          <cell r="D64">
            <v>549295.05000000005</v>
          </cell>
          <cell r="E64">
            <v>747078.72000000009</v>
          </cell>
          <cell r="F64">
            <v>957809.96000000008</v>
          </cell>
          <cell r="G64">
            <v>1161910.1800000002</v>
          </cell>
          <cell r="H64">
            <v>1361182.37</v>
          </cell>
          <cell r="I64">
            <v>1578377.34</v>
          </cell>
          <cell r="J64">
            <v>1792567.3</v>
          </cell>
          <cell r="K64">
            <v>1981745.94</v>
          </cell>
          <cell r="L64">
            <v>2166295.12</v>
          </cell>
          <cell r="M64">
            <v>2354638.73</v>
          </cell>
          <cell r="N64">
            <v>2570001.98</v>
          </cell>
          <cell r="O64">
            <v>2783406</v>
          </cell>
          <cell r="P64">
            <v>2963875.21</v>
          </cell>
          <cell r="Q64">
            <v>3149994.55</v>
          </cell>
          <cell r="R64">
            <v>3361253.8299999996</v>
          </cell>
          <cell r="S64">
            <v>3577936.9199999995</v>
          </cell>
          <cell r="T64">
            <v>3780448.0299999993</v>
          </cell>
          <cell r="U64">
            <v>3980348.3199999994</v>
          </cell>
          <cell r="V64">
            <v>4170976.0099999993</v>
          </cell>
          <cell r="W64">
            <v>4382895.6199999992</v>
          </cell>
          <cell r="X64">
            <v>4587095.5799999991</v>
          </cell>
          <cell r="Y64">
            <v>4799208.419999999</v>
          </cell>
          <cell r="Z64">
            <v>4799208.419999999</v>
          </cell>
          <cell r="AA64">
            <v>4799208.419999999</v>
          </cell>
          <cell r="AB64">
            <v>4799208.419999999</v>
          </cell>
          <cell r="AC64">
            <v>4799208.419999999</v>
          </cell>
          <cell r="AD64">
            <v>4799208.419999999</v>
          </cell>
          <cell r="AE64">
            <v>4799208.419999999</v>
          </cell>
          <cell r="AF64">
            <v>4799208.419999999</v>
          </cell>
          <cell r="AG64">
            <v>4799208.419999999</v>
          </cell>
          <cell r="AH64">
            <v>4799208.419999999</v>
          </cell>
          <cell r="AI64">
            <v>4799208.419999999</v>
          </cell>
          <cell r="AJ64">
            <v>4799208.419999999</v>
          </cell>
          <cell r="AK64">
            <v>4799208.419999999</v>
          </cell>
          <cell r="AL64">
            <v>4799208.419999999</v>
          </cell>
          <cell r="AM64">
            <v>4799208.419999999</v>
          </cell>
          <cell r="AN64">
            <v>4799208.419999999</v>
          </cell>
          <cell r="AO64">
            <v>4799208.419999999</v>
          </cell>
          <cell r="AP64">
            <v>4799208.419999999</v>
          </cell>
          <cell r="AQ64">
            <v>4799208.419999999</v>
          </cell>
          <cell r="AR64">
            <v>4799208.419999999</v>
          </cell>
          <cell r="AS64">
            <v>4799208.419999999</v>
          </cell>
          <cell r="AT64">
            <v>4799208.419999999</v>
          </cell>
          <cell r="AU64">
            <v>4799208.419999999</v>
          </cell>
          <cell r="AV64">
            <v>4799208.419999999</v>
          </cell>
          <cell r="AW64">
            <v>4799208.419999999</v>
          </cell>
          <cell r="AX64">
            <v>4799208.419999999</v>
          </cell>
          <cell r="AY64">
            <v>4799208.419999999</v>
          </cell>
          <cell r="AZ64">
            <v>4799208.419999999</v>
          </cell>
          <cell r="BA64">
            <v>4799208.419999999</v>
          </cell>
          <cell r="BB64">
            <v>4799208.419999999</v>
          </cell>
        </row>
        <row r="65">
          <cell r="A65" t="str">
            <v>TICK</v>
          </cell>
          <cell r="B65">
            <v>600</v>
          </cell>
          <cell r="C65">
            <v>1700</v>
          </cell>
          <cell r="D65">
            <v>700</v>
          </cell>
          <cell r="E65">
            <v>1075</v>
          </cell>
          <cell r="F65">
            <v>1975</v>
          </cell>
          <cell r="G65">
            <v>3350</v>
          </cell>
          <cell r="H65">
            <v>2625</v>
          </cell>
          <cell r="I65">
            <v>5250</v>
          </cell>
          <cell r="J65">
            <v>6450</v>
          </cell>
          <cell r="K65">
            <v>1675</v>
          </cell>
          <cell r="L65">
            <v>3250</v>
          </cell>
          <cell r="M65">
            <v>1450</v>
          </cell>
          <cell r="N65">
            <v>4600</v>
          </cell>
          <cell r="O65">
            <v>8050</v>
          </cell>
          <cell r="P65">
            <v>725</v>
          </cell>
          <cell r="Q65">
            <v>2025</v>
          </cell>
          <cell r="R65">
            <v>2250</v>
          </cell>
          <cell r="S65">
            <v>2075</v>
          </cell>
          <cell r="T65">
            <v>1275</v>
          </cell>
          <cell r="U65">
            <v>950</v>
          </cell>
          <cell r="V65">
            <v>1625</v>
          </cell>
          <cell r="W65">
            <v>3625</v>
          </cell>
          <cell r="X65">
            <v>4725</v>
          </cell>
          <cell r="Y65">
            <v>3325</v>
          </cell>
        </row>
        <row r="66">
          <cell r="A66" t="str">
            <v>ptd</v>
          </cell>
          <cell r="B66">
            <v>600</v>
          </cell>
          <cell r="C66">
            <v>2300</v>
          </cell>
          <cell r="D66">
            <v>3000</v>
          </cell>
          <cell r="E66">
            <v>4075</v>
          </cell>
          <cell r="F66">
            <v>1975</v>
          </cell>
          <cell r="G66">
            <v>5325</v>
          </cell>
          <cell r="H66">
            <v>7950</v>
          </cell>
          <cell r="I66">
            <v>13200</v>
          </cell>
          <cell r="J66">
            <v>6450</v>
          </cell>
          <cell r="K66">
            <v>8125</v>
          </cell>
          <cell r="L66">
            <v>11375</v>
          </cell>
          <cell r="M66">
            <v>12825</v>
          </cell>
          <cell r="N66">
            <v>4600</v>
          </cell>
          <cell r="O66">
            <v>12650</v>
          </cell>
          <cell r="P66">
            <v>13375</v>
          </cell>
          <cell r="Q66">
            <v>15400</v>
          </cell>
          <cell r="R66">
            <v>2250</v>
          </cell>
          <cell r="S66">
            <v>4325</v>
          </cell>
          <cell r="T66">
            <v>5600</v>
          </cell>
          <cell r="U66">
            <v>6550</v>
          </cell>
          <cell r="V66">
            <v>1625</v>
          </cell>
          <cell r="W66">
            <v>5250</v>
          </cell>
          <cell r="X66">
            <v>9975</v>
          </cell>
          <cell r="Y66">
            <v>13300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</row>
        <row r="67">
          <cell r="A67" t="str">
            <v>qtd</v>
          </cell>
          <cell r="B67">
            <v>600</v>
          </cell>
          <cell r="C67">
            <v>2300</v>
          </cell>
          <cell r="D67">
            <v>3000</v>
          </cell>
          <cell r="E67">
            <v>4075</v>
          </cell>
          <cell r="F67">
            <v>6050</v>
          </cell>
          <cell r="G67">
            <v>9400</v>
          </cell>
          <cell r="H67">
            <v>12025</v>
          </cell>
          <cell r="I67">
            <v>17275</v>
          </cell>
          <cell r="J67">
            <v>23725</v>
          </cell>
          <cell r="K67">
            <v>25400</v>
          </cell>
          <cell r="L67">
            <v>28650</v>
          </cell>
          <cell r="M67">
            <v>30100</v>
          </cell>
          <cell r="N67">
            <v>4600</v>
          </cell>
          <cell r="O67">
            <v>12650</v>
          </cell>
          <cell r="P67">
            <v>13375</v>
          </cell>
          <cell r="Q67">
            <v>15400</v>
          </cell>
          <cell r="R67">
            <v>17650</v>
          </cell>
          <cell r="S67">
            <v>19725</v>
          </cell>
          <cell r="T67">
            <v>21000</v>
          </cell>
          <cell r="U67">
            <v>21950</v>
          </cell>
          <cell r="V67">
            <v>23575</v>
          </cell>
          <cell r="W67">
            <v>27200</v>
          </cell>
          <cell r="X67">
            <v>31925</v>
          </cell>
          <cell r="Y67">
            <v>35250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</row>
        <row r="68">
          <cell r="A68" t="str">
            <v>ytd</v>
          </cell>
          <cell r="B68">
            <v>600</v>
          </cell>
          <cell r="C68">
            <v>2300</v>
          </cell>
          <cell r="D68">
            <v>3000</v>
          </cell>
          <cell r="E68">
            <v>4075</v>
          </cell>
          <cell r="F68">
            <v>6050</v>
          </cell>
          <cell r="G68">
            <v>9400</v>
          </cell>
          <cell r="H68">
            <v>12025</v>
          </cell>
          <cell r="I68">
            <v>17275</v>
          </cell>
          <cell r="J68">
            <v>23725</v>
          </cell>
          <cell r="K68">
            <v>25400</v>
          </cell>
          <cell r="L68">
            <v>28650</v>
          </cell>
          <cell r="M68">
            <v>30100</v>
          </cell>
          <cell r="N68">
            <v>34700</v>
          </cell>
          <cell r="O68">
            <v>42750</v>
          </cell>
          <cell r="P68">
            <v>43475</v>
          </cell>
          <cell r="Q68">
            <v>45500</v>
          </cell>
          <cell r="R68">
            <v>47750</v>
          </cell>
          <cell r="S68">
            <v>49825</v>
          </cell>
          <cell r="T68">
            <v>51100</v>
          </cell>
          <cell r="U68">
            <v>52050</v>
          </cell>
          <cell r="V68">
            <v>53675</v>
          </cell>
          <cell r="W68">
            <v>57300</v>
          </cell>
          <cell r="X68">
            <v>62025</v>
          </cell>
          <cell r="Y68">
            <v>65350</v>
          </cell>
          <cell r="Z68">
            <v>65350</v>
          </cell>
          <cell r="AA68">
            <v>65350</v>
          </cell>
          <cell r="AB68">
            <v>65350</v>
          </cell>
          <cell r="AC68">
            <v>65350</v>
          </cell>
          <cell r="AD68">
            <v>65350</v>
          </cell>
          <cell r="AE68">
            <v>65350</v>
          </cell>
          <cell r="AF68">
            <v>65350</v>
          </cell>
          <cell r="AG68">
            <v>65350</v>
          </cell>
          <cell r="AH68">
            <v>65350</v>
          </cell>
          <cell r="AI68">
            <v>65350</v>
          </cell>
          <cell r="AJ68">
            <v>65350</v>
          </cell>
          <cell r="AK68">
            <v>65350</v>
          </cell>
          <cell r="AL68">
            <v>65350</v>
          </cell>
          <cell r="AM68">
            <v>65350</v>
          </cell>
          <cell r="AN68">
            <v>65350</v>
          </cell>
          <cell r="AO68">
            <v>65350</v>
          </cell>
          <cell r="AP68">
            <v>65350</v>
          </cell>
          <cell r="AQ68">
            <v>65350</v>
          </cell>
          <cell r="AR68">
            <v>65350</v>
          </cell>
          <cell r="AS68">
            <v>65350</v>
          </cell>
          <cell r="AT68">
            <v>65350</v>
          </cell>
          <cell r="AU68">
            <v>65350</v>
          </cell>
          <cell r="AV68">
            <v>65350</v>
          </cell>
          <cell r="AW68">
            <v>65350</v>
          </cell>
          <cell r="AX68">
            <v>65350</v>
          </cell>
          <cell r="AY68">
            <v>65350</v>
          </cell>
          <cell r="AZ68">
            <v>65350</v>
          </cell>
          <cell r="BA68">
            <v>65350</v>
          </cell>
          <cell r="BB68">
            <v>65350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7102747.6300000008</v>
          </cell>
          <cell r="C73">
            <v>7208808.1299999999</v>
          </cell>
          <cell r="D73">
            <v>7361120.3100000005</v>
          </cell>
          <cell r="E73">
            <v>7127974.3100000005</v>
          </cell>
          <cell r="F73">
            <v>7362421.0600000005</v>
          </cell>
          <cell r="G73">
            <v>8994829.9600000009</v>
          </cell>
          <cell r="H73">
            <v>9307172.5899999999</v>
          </cell>
          <cell r="I73">
            <v>10823573.5</v>
          </cell>
          <cell r="J73">
            <v>11398260.18</v>
          </cell>
          <cell r="K73">
            <v>8742364.4800000004</v>
          </cell>
          <cell r="L73">
            <v>8975050.3300000001</v>
          </cell>
          <cell r="M73">
            <v>9055450.6899999995</v>
          </cell>
          <cell r="N73">
            <v>10324892.52</v>
          </cell>
          <cell r="O73">
            <v>11661061.369999999</v>
          </cell>
          <cell r="P73">
            <v>8707731.4299999997</v>
          </cell>
          <cell r="Q73">
            <v>10653364.49</v>
          </cell>
          <cell r="R73">
            <v>11010104.390000001</v>
          </cell>
          <cell r="S73">
            <v>13388750.17</v>
          </cell>
          <cell r="T73">
            <v>10924860.1</v>
          </cell>
          <cell r="U73">
            <v>11230373.199999999</v>
          </cell>
          <cell r="V73">
            <v>10930515.779999999</v>
          </cell>
          <cell r="W73">
            <v>11597675.380000001</v>
          </cell>
          <cell r="X73">
            <v>11537528.57</v>
          </cell>
          <cell r="Y73">
            <v>13962844.859999999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</row>
        <row r="74">
          <cell r="A74" t="str">
            <v>ptd</v>
          </cell>
          <cell r="B74">
            <v>7102747.6300000008</v>
          </cell>
          <cell r="C74">
            <v>14311555.760000002</v>
          </cell>
          <cell r="D74">
            <v>21672676.07</v>
          </cell>
          <cell r="E74">
            <v>28800650.380000003</v>
          </cell>
          <cell r="F74">
            <v>7362421.0600000005</v>
          </cell>
          <cell r="G74">
            <v>16357251.020000001</v>
          </cell>
          <cell r="H74">
            <v>25664423.609999999</v>
          </cell>
          <cell r="I74">
            <v>36487997.109999999</v>
          </cell>
          <cell r="J74">
            <v>11398260.18</v>
          </cell>
          <cell r="K74">
            <v>20140624.66</v>
          </cell>
          <cell r="L74">
            <v>29115674.990000002</v>
          </cell>
          <cell r="M74">
            <v>38171125.68</v>
          </cell>
          <cell r="N74">
            <v>10324892.52</v>
          </cell>
          <cell r="O74">
            <v>21985953.890000001</v>
          </cell>
          <cell r="P74">
            <v>30693685.32</v>
          </cell>
          <cell r="Q74">
            <v>41347049.810000002</v>
          </cell>
          <cell r="R74">
            <v>11010104.390000001</v>
          </cell>
          <cell r="S74">
            <v>24398854.560000002</v>
          </cell>
          <cell r="T74">
            <v>35323714.660000004</v>
          </cell>
          <cell r="U74">
            <v>46554087.859999999</v>
          </cell>
          <cell r="V74">
            <v>10930515.779999999</v>
          </cell>
          <cell r="W74">
            <v>22528191.16</v>
          </cell>
          <cell r="X74">
            <v>34065719.730000004</v>
          </cell>
          <cell r="Y74">
            <v>48028564.590000004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</row>
        <row r="75">
          <cell r="A75" t="str">
            <v>qtd</v>
          </cell>
          <cell r="B75">
            <v>7102747.6300000008</v>
          </cell>
          <cell r="C75">
            <v>14311555.760000002</v>
          </cell>
          <cell r="D75">
            <v>21672676.07</v>
          </cell>
          <cell r="E75">
            <v>28800650.380000003</v>
          </cell>
          <cell r="F75">
            <v>36163071.440000005</v>
          </cell>
          <cell r="G75">
            <v>45157901.400000006</v>
          </cell>
          <cell r="H75">
            <v>54465073.99000001</v>
          </cell>
          <cell r="I75">
            <v>65288647.49000001</v>
          </cell>
          <cell r="J75">
            <v>76686907.670000017</v>
          </cell>
          <cell r="K75">
            <v>85429272.150000021</v>
          </cell>
          <cell r="L75">
            <v>94404322.480000019</v>
          </cell>
          <cell r="M75">
            <v>103459773.17000002</v>
          </cell>
          <cell r="N75">
            <v>10324892.52</v>
          </cell>
          <cell r="O75">
            <v>21985953.890000001</v>
          </cell>
          <cell r="P75">
            <v>30693685.32</v>
          </cell>
          <cell r="Q75">
            <v>41347049.810000002</v>
          </cell>
          <cell r="R75">
            <v>52357154.200000003</v>
          </cell>
          <cell r="S75">
            <v>65745904.370000005</v>
          </cell>
          <cell r="T75">
            <v>76670764.469999999</v>
          </cell>
          <cell r="U75">
            <v>87901137.670000002</v>
          </cell>
          <cell r="V75">
            <v>98831653.450000003</v>
          </cell>
          <cell r="W75">
            <v>110429328.83</v>
          </cell>
          <cell r="X75">
            <v>121966857.40000001</v>
          </cell>
          <cell r="Y75">
            <v>135929702.25999999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</row>
        <row r="76">
          <cell r="A76" t="str">
            <v>ytd</v>
          </cell>
          <cell r="B76">
            <v>7102747.6300000008</v>
          </cell>
          <cell r="C76">
            <v>14311555.760000002</v>
          </cell>
          <cell r="D76">
            <v>21672676.07</v>
          </cell>
          <cell r="E76">
            <v>28800650.380000003</v>
          </cell>
          <cell r="F76">
            <v>36163071.440000005</v>
          </cell>
          <cell r="G76">
            <v>45157901.400000006</v>
          </cell>
          <cell r="H76">
            <v>54465073.99000001</v>
          </cell>
          <cell r="I76">
            <v>65288647.49000001</v>
          </cell>
          <cell r="J76">
            <v>76686907.670000017</v>
          </cell>
          <cell r="K76">
            <v>85429272.150000021</v>
          </cell>
          <cell r="L76">
            <v>94404322.480000019</v>
          </cell>
          <cell r="M76">
            <v>103459773.17000002</v>
          </cell>
          <cell r="N76">
            <v>113784665.69000001</v>
          </cell>
          <cell r="O76">
            <v>125445727.06000002</v>
          </cell>
          <cell r="P76">
            <v>134153458.49000001</v>
          </cell>
          <cell r="Q76">
            <v>144806822.98000002</v>
          </cell>
          <cell r="R76">
            <v>155816927.37</v>
          </cell>
          <cell r="S76">
            <v>169205677.53999999</v>
          </cell>
          <cell r="T76">
            <v>180130537.63999999</v>
          </cell>
          <cell r="U76">
            <v>191360910.83999997</v>
          </cell>
          <cell r="V76">
            <v>202291426.61999997</v>
          </cell>
          <cell r="W76">
            <v>213889101.99999997</v>
          </cell>
          <cell r="X76">
            <v>225426630.56999996</v>
          </cell>
          <cell r="Y76">
            <v>239389475.42999995</v>
          </cell>
          <cell r="Z76">
            <v>239389475.42999995</v>
          </cell>
          <cell r="AA76">
            <v>239389475.42999995</v>
          </cell>
          <cell r="AB76">
            <v>239389475.42999995</v>
          </cell>
          <cell r="AC76">
            <v>239389475.42999995</v>
          </cell>
          <cell r="AD76">
            <v>239389475.42999995</v>
          </cell>
          <cell r="AE76">
            <v>239389475.42999995</v>
          </cell>
          <cell r="AF76">
            <v>239389475.42999995</v>
          </cell>
          <cell r="AG76">
            <v>239389475.42999995</v>
          </cell>
          <cell r="AH76">
            <v>239389475.42999995</v>
          </cell>
          <cell r="AI76">
            <v>239389475.42999995</v>
          </cell>
          <cell r="AJ76">
            <v>239389475.42999995</v>
          </cell>
          <cell r="AK76">
            <v>239389475.42999995</v>
          </cell>
          <cell r="AL76">
            <v>239389475.42999995</v>
          </cell>
          <cell r="AM76">
            <v>239389475.42999995</v>
          </cell>
          <cell r="AN76">
            <v>239389475.42999995</v>
          </cell>
          <cell r="AO76">
            <v>239389475.42999995</v>
          </cell>
          <cell r="AP76">
            <v>239389475.42999995</v>
          </cell>
          <cell r="AQ76">
            <v>239389475.42999995</v>
          </cell>
          <cell r="AR76">
            <v>239389475.42999995</v>
          </cell>
          <cell r="AS76">
            <v>239389475.42999995</v>
          </cell>
          <cell r="AT76">
            <v>239389475.42999995</v>
          </cell>
          <cell r="AU76">
            <v>239389475.42999995</v>
          </cell>
          <cell r="AV76">
            <v>239389475.42999995</v>
          </cell>
          <cell r="AW76">
            <v>239389475.42999995</v>
          </cell>
          <cell r="AX76">
            <v>239389475.42999995</v>
          </cell>
          <cell r="AY76">
            <v>239389475.42999995</v>
          </cell>
          <cell r="AZ76">
            <v>239389475.42999995</v>
          </cell>
          <cell r="BA76">
            <v>239389475.42999995</v>
          </cell>
          <cell r="BB76">
            <v>239389475.42999995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166075.85</v>
          </cell>
          <cell r="C79">
            <v>151208.45000000001</v>
          </cell>
          <cell r="D79">
            <v>148984.20000000001</v>
          </cell>
          <cell r="E79">
            <v>156822.13</v>
          </cell>
          <cell r="F79">
            <v>175293.59</v>
          </cell>
          <cell r="G79">
            <v>312831.96999999997</v>
          </cell>
          <cell r="H79">
            <v>166318.26</v>
          </cell>
          <cell r="I79">
            <v>178328.52</v>
          </cell>
          <cell r="J79">
            <v>174738.84</v>
          </cell>
          <cell r="K79">
            <v>179392.51</v>
          </cell>
          <cell r="L79">
            <v>176753.77</v>
          </cell>
          <cell r="M79">
            <v>178177.08</v>
          </cell>
          <cell r="N79">
            <v>194753.13</v>
          </cell>
          <cell r="O79">
            <v>332965.40999999997</v>
          </cell>
          <cell r="P79">
            <v>178052.34</v>
          </cell>
          <cell r="Q79">
            <v>199817.94</v>
          </cell>
          <cell r="R79">
            <v>188443.99</v>
          </cell>
          <cell r="S79">
            <v>358886.1</v>
          </cell>
          <cell r="T79">
            <v>294897.05</v>
          </cell>
          <cell r="U79">
            <v>252614.11</v>
          </cell>
          <cell r="V79">
            <v>265750.09999999998</v>
          </cell>
          <cell r="W79">
            <v>326190.40000000002</v>
          </cell>
          <cell r="X79">
            <v>375533.05</v>
          </cell>
          <cell r="Y79">
            <v>478045</v>
          </cell>
        </row>
        <row r="80">
          <cell r="A80" t="str">
            <v>ptd</v>
          </cell>
          <cell r="B80">
            <v>166075.85</v>
          </cell>
          <cell r="C80">
            <v>317284.30000000005</v>
          </cell>
          <cell r="D80">
            <v>466268.50000000006</v>
          </cell>
          <cell r="E80">
            <v>623090.63000000012</v>
          </cell>
          <cell r="F80">
            <v>175293.59</v>
          </cell>
          <cell r="G80">
            <v>488125.55999999994</v>
          </cell>
          <cell r="H80">
            <v>654443.81999999995</v>
          </cell>
          <cell r="I80">
            <v>832772.34</v>
          </cell>
          <cell r="J80">
            <v>174738.84</v>
          </cell>
          <cell r="K80">
            <v>354131.35</v>
          </cell>
          <cell r="L80">
            <v>530885.12</v>
          </cell>
          <cell r="M80">
            <v>709062.2</v>
          </cell>
          <cell r="N80">
            <v>194753.13</v>
          </cell>
          <cell r="O80">
            <v>527718.54</v>
          </cell>
          <cell r="P80">
            <v>705770.88</v>
          </cell>
          <cell r="Q80">
            <v>905588.82000000007</v>
          </cell>
          <cell r="R80">
            <v>188443.99</v>
          </cell>
          <cell r="S80">
            <v>547330.09</v>
          </cell>
          <cell r="T80">
            <v>842227.1399999999</v>
          </cell>
          <cell r="U80">
            <v>1094841.25</v>
          </cell>
          <cell r="V80">
            <v>265750.09999999998</v>
          </cell>
          <cell r="W80">
            <v>591940.5</v>
          </cell>
          <cell r="X80">
            <v>967473.55</v>
          </cell>
          <cell r="Y80">
            <v>1445518.55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</row>
        <row r="81">
          <cell r="A81" t="str">
            <v>qtd</v>
          </cell>
          <cell r="B81">
            <v>166075.85</v>
          </cell>
          <cell r="C81">
            <v>317284.30000000005</v>
          </cell>
          <cell r="D81">
            <v>466268.50000000006</v>
          </cell>
          <cell r="E81">
            <v>623090.63000000012</v>
          </cell>
          <cell r="F81">
            <v>798384.22000000009</v>
          </cell>
          <cell r="G81">
            <v>1111216.19</v>
          </cell>
          <cell r="H81">
            <v>1277534.45</v>
          </cell>
          <cell r="I81">
            <v>1455862.97</v>
          </cell>
          <cell r="J81">
            <v>1630601.81</v>
          </cell>
          <cell r="K81">
            <v>1809994.32</v>
          </cell>
          <cell r="L81">
            <v>1986748.09</v>
          </cell>
          <cell r="M81">
            <v>2164925.17</v>
          </cell>
          <cell r="N81">
            <v>194753.13</v>
          </cell>
          <cell r="O81">
            <v>527718.54</v>
          </cell>
          <cell r="P81">
            <v>705770.88</v>
          </cell>
          <cell r="Q81">
            <v>905588.82000000007</v>
          </cell>
          <cell r="R81">
            <v>1094032.81</v>
          </cell>
          <cell r="S81">
            <v>1452918.9100000001</v>
          </cell>
          <cell r="T81">
            <v>1747815.9600000002</v>
          </cell>
          <cell r="U81">
            <v>2000430.0700000003</v>
          </cell>
          <cell r="V81">
            <v>2266180.1700000004</v>
          </cell>
          <cell r="W81">
            <v>2592370.5700000003</v>
          </cell>
          <cell r="X81">
            <v>2967903.62</v>
          </cell>
          <cell r="Y81">
            <v>3445948.62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</row>
        <row r="82">
          <cell r="A82" t="str">
            <v>ytd</v>
          </cell>
          <cell r="B82">
            <v>166075.85</v>
          </cell>
          <cell r="C82">
            <v>317284.30000000005</v>
          </cell>
          <cell r="D82">
            <v>466268.50000000006</v>
          </cell>
          <cell r="E82">
            <v>623090.63000000012</v>
          </cell>
          <cell r="F82">
            <v>798384.22000000009</v>
          </cell>
          <cell r="G82">
            <v>1111216.19</v>
          </cell>
          <cell r="H82">
            <v>1277534.45</v>
          </cell>
          <cell r="I82">
            <v>1455862.97</v>
          </cell>
          <cell r="J82">
            <v>1630601.81</v>
          </cell>
          <cell r="K82">
            <v>1809994.32</v>
          </cell>
          <cell r="L82">
            <v>1986748.09</v>
          </cell>
          <cell r="M82">
            <v>2164925.17</v>
          </cell>
          <cell r="N82">
            <v>2359678.2999999998</v>
          </cell>
          <cell r="O82">
            <v>2692643.71</v>
          </cell>
          <cell r="P82">
            <v>2870696.05</v>
          </cell>
          <cell r="Q82">
            <v>3070513.9899999998</v>
          </cell>
          <cell r="R82">
            <v>3258957.9799999995</v>
          </cell>
          <cell r="S82">
            <v>3617844.0799999996</v>
          </cell>
          <cell r="T82">
            <v>3912741.1299999994</v>
          </cell>
          <cell r="U82">
            <v>4165355.2399999993</v>
          </cell>
          <cell r="V82">
            <v>4431105.3399999989</v>
          </cell>
          <cell r="W82">
            <v>4757295.7399999993</v>
          </cell>
          <cell r="X82">
            <v>5132828.7899999991</v>
          </cell>
          <cell r="Y82">
            <v>5610873.7899999991</v>
          </cell>
          <cell r="Z82">
            <v>5610873.7899999991</v>
          </cell>
          <cell r="AA82">
            <v>5610873.7899999991</v>
          </cell>
          <cell r="AB82">
            <v>5610873.7899999991</v>
          </cell>
          <cell r="AC82">
            <v>5610873.7899999991</v>
          </cell>
          <cell r="AD82">
            <v>5610873.7899999991</v>
          </cell>
          <cell r="AE82">
            <v>5610873.7899999991</v>
          </cell>
          <cell r="AF82">
            <v>5610873.7899999991</v>
          </cell>
          <cell r="AG82">
            <v>5610873.7899999991</v>
          </cell>
          <cell r="AH82">
            <v>5610873.7899999991</v>
          </cell>
          <cell r="AI82">
            <v>5610873.7899999991</v>
          </cell>
          <cell r="AJ82">
            <v>5610873.7899999991</v>
          </cell>
          <cell r="AK82">
            <v>5610873.7899999991</v>
          </cell>
          <cell r="AL82">
            <v>5610873.7899999991</v>
          </cell>
          <cell r="AM82">
            <v>5610873.7899999991</v>
          </cell>
          <cell r="AN82">
            <v>5610873.7899999991</v>
          </cell>
          <cell r="AO82">
            <v>5610873.7899999991</v>
          </cell>
          <cell r="AP82">
            <v>5610873.7899999991</v>
          </cell>
          <cell r="AQ82">
            <v>5610873.7899999991</v>
          </cell>
          <cell r="AR82">
            <v>5610873.7899999991</v>
          </cell>
          <cell r="AS82">
            <v>5610873.7899999991</v>
          </cell>
          <cell r="AT82">
            <v>5610873.7899999991</v>
          </cell>
          <cell r="AU82">
            <v>5610873.7899999991</v>
          </cell>
          <cell r="AV82">
            <v>5610873.7899999991</v>
          </cell>
          <cell r="AW82">
            <v>5610873.7899999991</v>
          </cell>
          <cell r="AX82">
            <v>5610873.7899999991</v>
          </cell>
          <cell r="AY82">
            <v>5610873.7899999991</v>
          </cell>
          <cell r="AZ82">
            <v>5610873.7899999991</v>
          </cell>
          <cell r="BA82">
            <v>5610873.7899999991</v>
          </cell>
          <cell r="BB82">
            <v>5610873.7899999991</v>
          </cell>
        </row>
        <row r="83">
          <cell r="A83" t="str">
            <v>PART</v>
          </cell>
          <cell r="B83">
            <v>5216778.28</v>
          </cell>
          <cell r="C83">
            <v>4846090.9800000004</v>
          </cell>
          <cell r="D83">
            <v>4613965.32</v>
          </cell>
          <cell r="E83">
            <v>4850822</v>
          </cell>
          <cell r="F83">
            <v>5162136.1500000004</v>
          </cell>
          <cell r="G83">
            <v>7892017.3600000003</v>
          </cell>
          <cell r="H83">
            <v>4821074.29</v>
          </cell>
          <cell r="I83">
            <v>5116052.83</v>
          </cell>
          <cell r="J83">
            <v>5211098.17</v>
          </cell>
          <cell r="K83">
            <v>5192032.25</v>
          </cell>
          <cell r="L83">
            <v>5143620.13</v>
          </cell>
          <cell r="M83">
            <v>5065562.42</v>
          </cell>
          <cell r="N83">
            <v>5630559.8499999996</v>
          </cell>
          <cell r="O83">
            <v>8072038.2400000002</v>
          </cell>
          <cell r="P83">
            <v>5451660.5999999996</v>
          </cell>
          <cell r="Q83">
            <v>6193166.79</v>
          </cell>
          <cell r="R83">
            <v>5907899.6900000004</v>
          </cell>
          <cell r="S83">
            <v>11081654.619999999</v>
          </cell>
          <cell r="T83">
            <v>8298644.6200000001</v>
          </cell>
          <cell r="U83">
            <v>6816859.1200000001</v>
          </cell>
          <cell r="V83">
            <v>7029688.7000000002</v>
          </cell>
          <cell r="W83">
            <v>8414140.3900000006</v>
          </cell>
          <cell r="X83">
            <v>9216117.1400000006</v>
          </cell>
          <cell r="Y83">
            <v>12710676.77</v>
          </cell>
        </row>
        <row r="84">
          <cell r="A84" t="str">
            <v>ptd</v>
          </cell>
          <cell r="B84">
            <v>5216778.28</v>
          </cell>
          <cell r="C84">
            <v>10062869.260000002</v>
          </cell>
          <cell r="D84">
            <v>14676834.580000002</v>
          </cell>
          <cell r="E84">
            <v>19527656.580000002</v>
          </cell>
          <cell r="F84">
            <v>5162136.1500000004</v>
          </cell>
          <cell r="G84">
            <v>13054153.510000002</v>
          </cell>
          <cell r="H84">
            <v>17875227.800000001</v>
          </cell>
          <cell r="I84">
            <v>22991280.630000003</v>
          </cell>
          <cell r="J84">
            <v>5211098.17</v>
          </cell>
          <cell r="K84">
            <v>10403130.42</v>
          </cell>
          <cell r="L84">
            <v>15546750.550000001</v>
          </cell>
          <cell r="M84">
            <v>20612312.969999999</v>
          </cell>
          <cell r="N84">
            <v>5630559.8499999996</v>
          </cell>
          <cell r="O84">
            <v>13702598.09</v>
          </cell>
          <cell r="P84">
            <v>19154258.689999998</v>
          </cell>
          <cell r="Q84">
            <v>25347425.479999997</v>
          </cell>
          <cell r="R84">
            <v>5907899.6900000004</v>
          </cell>
          <cell r="S84">
            <v>16989554.309999999</v>
          </cell>
          <cell r="T84">
            <v>25288198.93</v>
          </cell>
          <cell r="U84">
            <v>32105058.050000001</v>
          </cell>
          <cell r="V84">
            <v>7029688.7000000002</v>
          </cell>
          <cell r="W84">
            <v>15443829.09</v>
          </cell>
          <cell r="X84">
            <v>24659946.23</v>
          </cell>
          <cell r="Y84">
            <v>37370623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</row>
        <row r="85">
          <cell r="A85" t="str">
            <v>qtd</v>
          </cell>
          <cell r="B85">
            <v>5216778.28</v>
          </cell>
          <cell r="C85">
            <v>10062869.260000002</v>
          </cell>
          <cell r="D85">
            <v>14676834.580000002</v>
          </cell>
          <cell r="E85">
            <v>19527656.580000002</v>
          </cell>
          <cell r="F85">
            <v>24689792.730000004</v>
          </cell>
          <cell r="G85">
            <v>32581810.090000004</v>
          </cell>
          <cell r="H85">
            <v>37402884.380000003</v>
          </cell>
          <cell r="I85">
            <v>42518937.210000001</v>
          </cell>
          <cell r="J85">
            <v>47730035.380000003</v>
          </cell>
          <cell r="K85">
            <v>52922067.630000003</v>
          </cell>
          <cell r="L85">
            <v>58065687.760000005</v>
          </cell>
          <cell r="M85">
            <v>63131250.180000007</v>
          </cell>
          <cell r="N85">
            <v>5630559.8499999996</v>
          </cell>
          <cell r="O85">
            <v>13702598.09</v>
          </cell>
          <cell r="P85">
            <v>19154258.689999998</v>
          </cell>
          <cell r="Q85">
            <v>25347425.479999997</v>
          </cell>
          <cell r="R85">
            <v>31255325.169999998</v>
          </cell>
          <cell r="S85">
            <v>42336979.789999999</v>
          </cell>
          <cell r="T85">
            <v>50635624.409999996</v>
          </cell>
          <cell r="U85">
            <v>57452483.529999994</v>
          </cell>
          <cell r="V85">
            <v>64482172.229999997</v>
          </cell>
          <cell r="W85">
            <v>72896312.620000005</v>
          </cell>
          <cell r="X85">
            <v>82112429.760000005</v>
          </cell>
          <cell r="Y85">
            <v>94823106.530000001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</row>
        <row r="86">
          <cell r="A86" t="str">
            <v>ytd</v>
          </cell>
          <cell r="B86">
            <v>5216778.28</v>
          </cell>
          <cell r="C86">
            <v>10062869.260000002</v>
          </cell>
          <cell r="D86">
            <v>14676834.580000002</v>
          </cell>
          <cell r="E86">
            <v>19527656.580000002</v>
          </cell>
          <cell r="F86">
            <v>24689792.730000004</v>
          </cell>
          <cell r="G86">
            <v>32581810.090000004</v>
          </cell>
          <cell r="H86">
            <v>37402884.380000003</v>
          </cell>
          <cell r="I86">
            <v>42518937.210000001</v>
          </cell>
          <cell r="J86">
            <v>47730035.380000003</v>
          </cell>
          <cell r="K86">
            <v>52922067.630000003</v>
          </cell>
          <cell r="L86">
            <v>58065687.760000005</v>
          </cell>
          <cell r="M86">
            <v>63131250.180000007</v>
          </cell>
          <cell r="N86">
            <v>68761810.030000001</v>
          </cell>
          <cell r="O86">
            <v>76833848.269999996</v>
          </cell>
          <cell r="P86">
            <v>82285508.86999999</v>
          </cell>
          <cell r="Q86">
            <v>88478675.659999996</v>
          </cell>
          <cell r="R86">
            <v>94386575.349999994</v>
          </cell>
          <cell r="S86">
            <v>105468229.97</v>
          </cell>
          <cell r="T86">
            <v>113766874.59</v>
          </cell>
          <cell r="U86">
            <v>120583733.71000001</v>
          </cell>
          <cell r="V86">
            <v>127613422.41000001</v>
          </cell>
          <cell r="W86">
            <v>136027562.80000001</v>
          </cell>
          <cell r="X86">
            <v>145243679.94</v>
          </cell>
          <cell r="Y86">
            <v>157954356.71000001</v>
          </cell>
          <cell r="Z86">
            <v>157954356.71000001</v>
          </cell>
          <cell r="AA86">
            <v>157954356.71000001</v>
          </cell>
          <cell r="AB86">
            <v>157954356.71000001</v>
          </cell>
          <cell r="AC86">
            <v>157954356.71000001</v>
          </cell>
          <cell r="AD86">
            <v>157954356.71000001</v>
          </cell>
          <cell r="AE86">
            <v>157954356.71000001</v>
          </cell>
          <cell r="AF86">
            <v>157954356.71000001</v>
          </cell>
          <cell r="AG86">
            <v>157954356.71000001</v>
          </cell>
          <cell r="AH86">
            <v>157954356.71000001</v>
          </cell>
          <cell r="AI86">
            <v>157954356.71000001</v>
          </cell>
          <cell r="AJ86">
            <v>157954356.71000001</v>
          </cell>
          <cell r="AK86">
            <v>157954356.71000001</v>
          </cell>
          <cell r="AL86">
            <v>157954356.71000001</v>
          </cell>
          <cell r="AM86">
            <v>157954356.71000001</v>
          </cell>
          <cell r="AN86">
            <v>157954356.71000001</v>
          </cell>
          <cell r="AO86">
            <v>157954356.71000001</v>
          </cell>
          <cell r="AP86">
            <v>157954356.71000001</v>
          </cell>
          <cell r="AQ86">
            <v>157954356.71000001</v>
          </cell>
          <cell r="AR86">
            <v>157954356.71000001</v>
          </cell>
          <cell r="AS86">
            <v>157954356.71000001</v>
          </cell>
          <cell r="AT86">
            <v>157954356.71000001</v>
          </cell>
          <cell r="AU86">
            <v>157954356.71000001</v>
          </cell>
          <cell r="AV86">
            <v>157954356.71000001</v>
          </cell>
          <cell r="AW86">
            <v>157954356.71000001</v>
          </cell>
          <cell r="AX86">
            <v>157954356.71000001</v>
          </cell>
          <cell r="AY86">
            <v>157954356.71000001</v>
          </cell>
          <cell r="AZ86">
            <v>157954356.71000001</v>
          </cell>
          <cell r="BA86">
            <v>157954356.71000001</v>
          </cell>
          <cell r="BB86">
            <v>157954356.71000001</v>
          </cell>
        </row>
        <row r="87">
          <cell r="A87" t="str">
            <v>PRED</v>
          </cell>
          <cell r="B87">
            <v>1956195.3</v>
          </cell>
          <cell r="C87">
            <v>1947415.78</v>
          </cell>
          <cell r="D87">
            <v>1971069.16</v>
          </cell>
          <cell r="E87">
            <v>1986992.04</v>
          </cell>
          <cell r="F87">
            <v>2193853.81</v>
          </cell>
          <cell r="G87">
            <v>2104368.61</v>
          </cell>
          <cell r="H87">
            <v>1959762.84</v>
          </cell>
          <cell r="I87">
            <v>2096845.4</v>
          </cell>
          <cell r="J87">
            <v>2157243.0299999998</v>
          </cell>
          <cell r="K87">
            <v>2048421.27</v>
          </cell>
          <cell r="L87">
            <v>2046009.68</v>
          </cell>
          <cell r="M87">
            <v>1862999.6</v>
          </cell>
          <cell r="N87">
            <v>2096692.46</v>
          </cell>
          <cell r="O87">
            <v>1876661.4</v>
          </cell>
          <cell r="P87">
            <v>1846040.66</v>
          </cell>
          <cell r="Q87">
            <v>1813860.79</v>
          </cell>
          <cell r="R87">
            <v>2003430.8</v>
          </cell>
          <cell r="S87">
            <v>1906651.75</v>
          </cell>
          <cell r="T87">
            <v>1820129.17</v>
          </cell>
          <cell r="U87">
            <v>1900189.74</v>
          </cell>
          <cell r="V87">
            <v>1649543.51</v>
          </cell>
          <cell r="W87">
            <v>2084696.18</v>
          </cell>
          <cell r="X87">
            <v>1853221.91</v>
          </cell>
          <cell r="Y87">
            <v>1946576.51</v>
          </cell>
        </row>
        <row r="88">
          <cell r="A88" t="str">
            <v>ptd</v>
          </cell>
          <cell r="B88">
            <v>1956195.3</v>
          </cell>
          <cell r="C88">
            <v>3903611.08</v>
          </cell>
          <cell r="D88">
            <v>5874680.2400000002</v>
          </cell>
          <cell r="E88">
            <v>7861672.2800000003</v>
          </cell>
          <cell r="F88">
            <v>2193853.81</v>
          </cell>
          <cell r="G88">
            <v>4298222.42</v>
          </cell>
          <cell r="H88">
            <v>6257985.2599999998</v>
          </cell>
          <cell r="I88">
            <v>8354830.6600000001</v>
          </cell>
          <cell r="J88">
            <v>2157243.0299999998</v>
          </cell>
          <cell r="K88">
            <v>4205664.3</v>
          </cell>
          <cell r="L88">
            <v>6251673.9799999995</v>
          </cell>
          <cell r="M88">
            <v>8114673.5800000001</v>
          </cell>
          <cell r="N88">
            <v>2096692.46</v>
          </cell>
          <cell r="O88">
            <v>3973353.86</v>
          </cell>
          <cell r="P88">
            <v>5819394.5199999996</v>
          </cell>
          <cell r="Q88">
            <v>7633255.3099999996</v>
          </cell>
          <cell r="R88">
            <v>2003430.8</v>
          </cell>
          <cell r="S88">
            <v>3910082.55</v>
          </cell>
          <cell r="T88">
            <v>5730211.7199999997</v>
          </cell>
          <cell r="U88">
            <v>7630401.46</v>
          </cell>
          <cell r="V88">
            <v>1649543.51</v>
          </cell>
          <cell r="W88">
            <v>3734239.69</v>
          </cell>
          <cell r="X88">
            <v>5587461.5999999996</v>
          </cell>
          <cell r="Y88">
            <v>7534038.1099999994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</row>
        <row r="89">
          <cell r="A89" t="str">
            <v>qtd</v>
          </cell>
          <cell r="B89">
            <v>1956195.3</v>
          </cell>
          <cell r="C89">
            <v>3903611.08</v>
          </cell>
          <cell r="D89">
            <v>5874680.2400000002</v>
          </cell>
          <cell r="E89">
            <v>7861672.2800000003</v>
          </cell>
          <cell r="F89">
            <v>10055526.09</v>
          </cell>
          <cell r="G89">
            <v>12159894.699999999</v>
          </cell>
          <cell r="H89">
            <v>14119657.539999999</v>
          </cell>
          <cell r="I89">
            <v>16216502.939999999</v>
          </cell>
          <cell r="J89">
            <v>18373745.969999999</v>
          </cell>
          <cell r="K89">
            <v>20422167.239999998</v>
          </cell>
          <cell r="L89">
            <v>22468176.919999998</v>
          </cell>
          <cell r="M89">
            <v>24331176.52</v>
          </cell>
          <cell r="N89">
            <v>2096692.46</v>
          </cell>
          <cell r="O89">
            <v>3973353.86</v>
          </cell>
          <cell r="P89">
            <v>5819394.5199999996</v>
          </cell>
          <cell r="Q89">
            <v>7633255.3099999996</v>
          </cell>
          <cell r="R89">
            <v>9636686.1099999994</v>
          </cell>
          <cell r="S89">
            <v>11543337.859999999</v>
          </cell>
          <cell r="T89">
            <v>13363467.029999999</v>
          </cell>
          <cell r="U89">
            <v>15263656.77</v>
          </cell>
          <cell r="V89">
            <v>16913200.280000001</v>
          </cell>
          <cell r="W89">
            <v>18997896.460000001</v>
          </cell>
          <cell r="X89">
            <v>20851118.370000001</v>
          </cell>
          <cell r="Y89">
            <v>22797694.880000003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</row>
        <row r="90">
          <cell r="A90" t="str">
            <v>ytd</v>
          </cell>
          <cell r="B90">
            <v>1956195.3</v>
          </cell>
          <cell r="C90">
            <v>3903611.08</v>
          </cell>
          <cell r="D90">
            <v>5874680.2400000002</v>
          </cell>
          <cell r="E90">
            <v>7861672.2800000003</v>
          </cell>
          <cell r="F90">
            <v>10055526.09</v>
          </cell>
          <cell r="G90">
            <v>12159894.699999999</v>
          </cell>
          <cell r="H90">
            <v>14119657.539999999</v>
          </cell>
          <cell r="I90">
            <v>16216502.939999999</v>
          </cell>
          <cell r="J90">
            <v>18373745.969999999</v>
          </cell>
          <cell r="K90">
            <v>20422167.239999998</v>
          </cell>
          <cell r="L90">
            <v>22468176.919999998</v>
          </cell>
          <cell r="M90">
            <v>24331176.52</v>
          </cell>
          <cell r="N90">
            <v>26427868.98</v>
          </cell>
          <cell r="O90">
            <v>28304530.379999999</v>
          </cell>
          <cell r="P90">
            <v>30150571.039999999</v>
          </cell>
          <cell r="Q90">
            <v>31964431.829999998</v>
          </cell>
          <cell r="R90">
            <v>33967862.629999995</v>
          </cell>
          <cell r="S90">
            <v>35874514.379999995</v>
          </cell>
          <cell r="T90">
            <v>37694643.549999997</v>
          </cell>
          <cell r="U90">
            <v>39594833.289999999</v>
          </cell>
          <cell r="V90">
            <v>41244376.799999997</v>
          </cell>
          <cell r="W90">
            <v>43329072.979999997</v>
          </cell>
          <cell r="X90">
            <v>45182294.889999993</v>
          </cell>
          <cell r="Y90">
            <v>47128871.399999991</v>
          </cell>
          <cell r="Z90">
            <v>47128871.399999991</v>
          </cell>
          <cell r="AA90">
            <v>47128871.399999991</v>
          </cell>
          <cell r="AB90">
            <v>47128871.399999991</v>
          </cell>
          <cell r="AC90">
            <v>47128871.399999991</v>
          </cell>
          <cell r="AD90">
            <v>47128871.399999991</v>
          </cell>
          <cell r="AE90">
            <v>47128871.399999991</v>
          </cell>
          <cell r="AF90">
            <v>47128871.399999991</v>
          </cell>
          <cell r="AG90">
            <v>47128871.399999991</v>
          </cell>
          <cell r="AH90">
            <v>47128871.399999991</v>
          </cell>
          <cell r="AI90">
            <v>47128871.399999991</v>
          </cell>
          <cell r="AJ90">
            <v>47128871.399999991</v>
          </cell>
          <cell r="AK90">
            <v>47128871.399999991</v>
          </cell>
          <cell r="AL90">
            <v>47128871.399999991</v>
          </cell>
          <cell r="AM90">
            <v>47128871.399999991</v>
          </cell>
          <cell r="AN90">
            <v>47128871.399999991</v>
          </cell>
          <cell r="AO90">
            <v>47128871.399999991</v>
          </cell>
          <cell r="AP90">
            <v>47128871.399999991</v>
          </cell>
          <cell r="AQ90">
            <v>47128871.399999991</v>
          </cell>
          <cell r="AR90">
            <v>47128871.399999991</v>
          </cell>
          <cell r="AS90">
            <v>47128871.399999991</v>
          </cell>
          <cell r="AT90">
            <v>47128871.399999991</v>
          </cell>
          <cell r="AU90">
            <v>47128871.399999991</v>
          </cell>
          <cell r="AV90">
            <v>47128871.399999991</v>
          </cell>
          <cell r="AW90">
            <v>47128871.399999991</v>
          </cell>
          <cell r="AX90">
            <v>47128871.399999991</v>
          </cell>
          <cell r="AY90">
            <v>47128871.399999991</v>
          </cell>
          <cell r="AZ90">
            <v>47128871.399999991</v>
          </cell>
          <cell r="BA90">
            <v>47128871.399999991</v>
          </cell>
          <cell r="BB90">
            <v>47128871.399999991</v>
          </cell>
        </row>
        <row r="91">
          <cell r="A91" t="str">
            <v>PREG</v>
          </cell>
          <cell r="B91">
            <v>2936277.27</v>
          </cell>
          <cell r="C91">
            <v>2727925.61</v>
          </cell>
          <cell r="D91">
            <v>2587496.2799999998</v>
          </cell>
          <cell r="E91">
            <v>2660857.9700000002</v>
          </cell>
          <cell r="F91">
            <v>2657559.11</v>
          </cell>
          <cell r="G91">
            <v>3066223.6</v>
          </cell>
          <cell r="H91">
            <v>2464769.23</v>
          </cell>
          <cell r="I91">
            <v>2618992.87</v>
          </cell>
          <cell r="J91">
            <v>2705896.47</v>
          </cell>
          <cell r="K91">
            <v>2653353.2599999998</v>
          </cell>
          <cell r="L91">
            <v>2591744.02</v>
          </cell>
          <cell r="M91">
            <v>2691847.62</v>
          </cell>
          <cell r="N91">
            <v>2879629.28</v>
          </cell>
          <cell r="O91">
            <v>3091367.46</v>
          </cell>
          <cell r="P91">
            <v>2769778.06</v>
          </cell>
          <cell r="Q91">
            <v>3104207.62</v>
          </cell>
          <cell r="R91">
            <v>2946614.22</v>
          </cell>
          <cell r="S91">
            <v>4221482.93</v>
          </cell>
          <cell r="T91">
            <v>3800014.74</v>
          </cell>
          <cell r="U91">
            <v>3770146.26</v>
          </cell>
          <cell r="V91">
            <v>3710831.43</v>
          </cell>
          <cell r="W91">
            <v>4401177.05</v>
          </cell>
          <cell r="X91">
            <v>4594499.33</v>
          </cell>
          <cell r="Y91">
            <v>4436299.62</v>
          </cell>
        </row>
        <row r="92">
          <cell r="A92" t="str">
            <v>ptd</v>
          </cell>
          <cell r="B92">
            <v>2936277.27</v>
          </cell>
          <cell r="C92">
            <v>5664202.8799999999</v>
          </cell>
          <cell r="D92">
            <v>8251699.1600000001</v>
          </cell>
          <cell r="E92">
            <v>10912557.130000001</v>
          </cell>
          <cell r="F92">
            <v>2657559.11</v>
          </cell>
          <cell r="G92">
            <v>5723782.71</v>
          </cell>
          <cell r="H92">
            <v>8188551.9399999995</v>
          </cell>
          <cell r="I92">
            <v>10807544.809999999</v>
          </cell>
          <cell r="J92">
            <v>2705896.47</v>
          </cell>
          <cell r="K92">
            <v>5359249.7300000004</v>
          </cell>
          <cell r="L92">
            <v>7950993.75</v>
          </cell>
          <cell r="M92">
            <v>10642841.370000001</v>
          </cell>
          <cell r="N92">
            <v>2879629.28</v>
          </cell>
          <cell r="O92">
            <v>5970996.7400000002</v>
          </cell>
          <cell r="P92">
            <v>8740774.8000000007</v>
          </cell>
          <cell r="Q92">
            <v>11844982.420000002</v>
          </cell>
          <cell r="R92">
            <v>2946614.22</v>
          </cell>
          <cell r="S92">
            <v>7168097.1500000004</v>
          </cell>
          <cell r="T92">
            <v>10968111.890000001</v>
          </cell>
          <cell r="U92">
            <v>14738258.15</v>
          </cell>
          <cell r="V92">
            <v>3710831.43</v>
          </cell>
          <cell r="W92">
            <v>8112008.4800000004</v>
          </cell>
          <cell r="X92">
            <v>12706507.810000001</v>
          </cell>
          <cell r="Y92">
            <v>17142807.43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</row>
        <row r="93">
          <cell r="A93" t="str">
            <v>qtd</v>
          </cell>
          <cell r="B93">
            <v>2936277.27</v>
          </cell>
          <cell r="C93">
            <v>5664202.8799999999</v>
          </cell>
          <cell r="D93">
            <v>8251699.1600000001</v>
          </cell>
          <cell r="E93">
            <v>10912557.130000001</v>
          </cell>
          <cell r="F93">
            <v>13570116.24</v>
          </cell>
          <cell r="G93">
            <v>16636339.84</v>
          </cell>
          <cell r="H93">
            <v>19101109.07</v>
          </cell>
          <cell r="I93">
            <v>21720101.940000001</v>
          </cell>
          <cell r="J93">
            <v>24425998.41</v>
          </cell>
          <cell r="K93">
            <v>27079351.670000002</v>
          </cell>
          <cell r="L93">
            <v>29671095.690000001</v>
          </cell>
          <cell r="M93">
            <v>32362943.310000002</v>
          </cell>
          <cell r="N93">
            <v>2879629.28</v>
          </cell>
          <cell r="O93">
            <v>5970996.7400000002</v>
          </cell>
          <cell r="P93">
            <v>8740774.8000000007</v>
          </cell>
          <cell r="Q93">
            <v>11844982.420000002</v>
          </cell>
          <cell r="R93">
            <v>14791596.640000002</v>
          </cell>
          <cell r="S93">
            <v>19013079.57</v>
          </cell>
          <cell r="T93">
            <v>22813094.310000002</v>
          </cell>
          <cell r="U93">
            <v>26583240.57</v>
          </cell>
          <cell r="V93">
            <v>30294072</v>
          </cell>
          <cell r="W93">
            <v>34695249.049999997</v>
          </cell>
          <cell r="X93">
            <v>39289748.379999995</v>
          </cell>
          <cell r="Y93">
            <v>43726047.999999993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</row>
        <row r="94">
          <cell r="A94" t="str">
            <v>ytd</v>
          </cell>
          <cell r="B94">
            <v>2936277.27</v>
          </cell>
          <cell r="C94">
            <v>5664202.8799999999</v>
          </cell>
          <cell r="D94">
            <v>8251699.1600000001</v>
          </cell>
          <cell r="E94">
            <v>10912557.130000001</v>
          </cell>
          <cell r="F94">
            <v>13570116.24</v>
          </cell>
          <cell r="G94">
            <v>16636339.84</v>
          </cell>
          <cell r="H94">
            <v>19101109.07</v>
          </cell>
          <cell r="I94">
            <v>21720101.940000001</v>
          </cell>
          <cell r="J94">
            <v>24425998.41</v>
          </cell>
          <cell r="K94">
            <v>27079351.670000002</v>
          </cell>
          <cell r="L94">
            <v>29671095.690000001</v>
          </cell>
          <cell r="M94">
            <v>32362943.310000002</v>
          </cell>
          <cell r="N94">
            <v>35242572.590000004</v>
          </cell>
          <cell r="O94">
            <v>38333940.050000004</v>
          </cell>
          <cell r="P94">
            <v>41103718.110000007</v>
          </cell>
          <cell r="Q94">
            <v>44207925.730000004</v>
          </cell>
          <cell r="R94">
            <v>47154539.950000003</v>
          </cell>
          <cell r="S94">
            <v>51376022.880000003</v>
          </cell>
          <cell r="T94">
            <v>55176037.620000005</v>
          </cell>
          <cell r="U94">
            <v>58946183.880000003</v>
          </cell>
          <cell r="V94">
            <v>62657015.310000002</v>
          </cell>
          <cell r="W94">
            <v>67058192.359999999</v>
          </cell>
          <cell r="X94">
            <v>71652691.689999998</v>
          </cell>
          <cell r="Y94">
            <v>76088991.310000002</v>
          </cell>
          <cell r="Z94">
            <v>76088991.310000002</v>
          </cell>
          <cell r="AA94">
            <v>76088991.310000002</v>
          </cell>
          <cell r="AB94">
            <v>76088991.310000002</v>
          </cell>
          <cell r="AC94">
            <v>76088991.310000002</v>
          </cell>
          <cell r="AD94">
            <v>76088991.310000002</v>
          </cell>
          <cell r="AE94">
            <v>76088991.310000002</v>
          </cell>
          <cell r="AF94">
            <v>76088991.310000002</v>
          </cell>
          <cell r="AG94">
            <v>76088991.310000002</v>
          </cell>
          <cell r="AH94">
            <v>76088991.310000002</v>
          </cell>
          <cell r="AI94">
            <v>76088991.310000002</v>
          </cell>
          <cell r="AJ94">
            <v>76088991.310000002</v>
          </cell>
          <cell r="AK94">
            <v>76088991.310000002</v>
          </cell>
          <cell r="AL94">
            <v>76088991.310000002</v>
          </cell>
          <cell r="AM94">
            <v>76088991.310000002</v>
          </cell>
          <cell r="AN94">
            <v>76088991.310000002</v>
          </cell>
          <cell r="AO94">
            <v>76088991.310000002</v>
          </cell>
          <cell r="AP94">
            <v>76088991.310000002</v>
          </cell>
          <cell r="AQ94">
            <v>76088991.310000002</v>
          </cell>
          <cell r="AR94">
            <v>76088991.310000002</v>
          </cell>
          <cell r="AS94">
            <v>76088991.310000002</v>
          </cell>
          <cell r="AT94">
            <v>76088991.310000002</v>
          </cell>
          <cell r="AU94">
            <v>76088991.310000002</v>
          </cell>
          <cell r="AV94">
            <v>76088991.310000002</v>
          </cell>
          <cell r="AW94">
            <v>76088991.310000002</v>
          </cell>
          <cell r="AX94">
            <v>76088991.310000002</v>
          </cell>
          <cell r="AY94">
            <v>76088991.310000002</v>
          </cell>
          <cell r="AZ94">
            <v>76088991.310000002</v>
          </cell>
          <cell r="BA94">
            <v>76088991.310000002</v>
          </cell>
          <cell r="BB94">
            <v>76088991.310000002</v>
          </cell>
        </row>
        <row r="95">
          <cell r="A95" t="str">
            <v>SPRT</v>
          </cell>
          <cell r="B95">
            <v>32550</v>
          </cell>
          <cell r="C95">
            <v>28475</v>
          </cell>
          <cell r="D95">
            <v>29250</v>
          </cell>
          <cell r="E95">
            <v>27525</v>
          </cell>
          <cell r="F95">
            <v>29361.63</v>
          </cell>
          <cell r="G95">
            <v>51879.12</v>
          </cell>
          <cell r="H95">
            <v>32406.080000000002</v>
          </cell>
          <cell r="I95">
            <v>35736.81</v>
          </cell>
          <cell r="J95">
            <v>33765.589999999997</v>
          </cell>
          <cell r="K95">
            <v>36596.14</v>
          </cell>
          <cell r="L95">
            <v>37480.35</v>
          </cell>
          <cell r="M95">
            <v>39225.71</v>
          </cell>
          <cell r="N95">
            <v>42429.04</v>
          </cell>
          <cell r="O95">
            <v>73212.12</v>
          </cell>
          <cell r="P95">
            <v>49516.63</v>
          </cell>
          <cell r="Q95">
            <v>49698.92</v>
          </cell>
          <cell r="R95">
            <v>47357.81</v>
          </cell>
          <cell r="S95">
            <v>66713.100000000006</v>
          </cell>
          <cell r="T95">
            <v>63556.45</v>
          </cell>
          <cell r="U95">
            <v>55944.85</v>
          </cell>
          <cell r="V95">
            <v>59616.44</v>
          </cell>
          <cell r="W95">
            <v>70628.800000000003</v>
          </cell>
          <cell r="X95">
            <v>79068.3</v>
          </cell>
          <cell r="Y95">
            <v>134304</v>
          </cell>
        </row>
        <row r="96">
          <cell r="A96" t="str">
            <v>ptd</v>
          </cell>
          <cell r="B96">
            <v>32550</v>
          </cell>
          <cell r="C96">
            <v>61025</v>
          </cell>
          <cell r="D96">
            <v>90275</v>
          </cell>
          <cell r="E96">
            <v>117800</v>
          </cell>
          <cell r="F96">
            <v>29361.63</v>
          </cell>
          <cell r="G96">
            <v>81240.75</v>
          </cell>
          <cell r="H96">
            <v>113646.83</v>
          </cell>
          <cell r="I96">
            <v>149383.64000000001</v>
          </cell>
          <cell r="J96">
            <v>33765.589999999997</v>
          </cell>
          <cell r="K96">
            <v>70361.73</v>
          </cell>
          <cell r="L96">
            <v>107842.07999999999</v>
          </cell>
          <cell r="M96">
            <v>147067.78999999998</v>
          </cell>
          <cell r="N96">
            <v>42429.04</v>
          </cell>
          <cell r="O96">
            <v>115641.16</v>
          </cell>
          <cell r="P96">
            <v>165157.79</v>
          </cell>
          <cell r="Q96">
            <v>214856.71000000002</v>
          </cell>
          <cell r="R96">
            <v>47357.81</v>
          </cell>
          <cell r="S96">
            <v>114070.91</v>
          </cell>
          <cell r="T96">
            <v>177627.36</v>
          </cell>
          <cell r="U96">
            <v>233572.21</v>
          </cell>
          <cell r="V96">
            <v>59616.44</v>
          </cell>
          <cell r="W96">
            <v>130245.24</v>
          </cell>
          <cell r="X96">
            <v>209313.54</v>
          </cell>
          <cell r="Y96">
            <v>343617.54000000004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</row>
        <row r="97">
          <cell r="A97" t="str">
            <v>qtd</v>
          </cell>
          <cell r="B97">
            <v>32550</v>
          </cell>
          <cell r="C97">
            <v>61025</v>
          </cell>
          <cell r="D97">
            <v>90275</v>
          </cell>
          <cell r="E97">
            <v>117800</v>
          </cell>
          <cell r="F97">
            <v>147161.63</v>
          </cell>
          <cell r="G97">
            <v>199040.75</v>
          </cell>
          <cell r="H97">
            <v>231446.83000000002</v>
          </cell>
          <cell r="I97">
            <v>267183.64</v>
          </cell>
          <cell r="J97">
            <v>300949.23</v>
          </cell>
          <cell r="K97">
            <v>337545.37</v>
          </cell>
          <cell r="L97">
            <v>375025.72</v>
          </cell>
          <cell r="M97">
            <v>414251.43</v>
          </cell>
          <cell r="N97">
            <v>42429.04</v>
          </cell>
          <cell r="O97">
            <v>115641.16</v>
          </cell>
          <cell r="P97">
            <v>165157.79</v>
          </cell>
          <cell r="Q97">
            <v>214856.71000000002</v>
          </cell>
          <cell r="R97">
            <v>262214.52</v>
          </cell>
          <cell r="S97">
            <v>328927.62</v>
          </cell>
          <cell r="T97">
            <v>392484.07</v>
          </cell>
          <cell r="U97">
            <v>448428.92</v>
          </cell>
          <cell r="V97">
            <v>508045.36</v>
          </cell>
          <cell r="W97">
            <v>578674.16</v>
          </cell>
          <cell r="X97">
            <v>657742.46000000008</v>
          </cell>
          <cell r="Y97">
            <v>792046.46000000008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</row>
        <row r="98">
          <cell r="A98" t="str">
            <v>ytd</v>
          </cell>
          <cell r="B98">
            <v>32550</v>
          </cell>
          <cell r="C98">
            <v>61025</v>
          </cell>
          <cell r="D98">
            <v>90275</v>
          </cell>
          <cell r="E98">
            <v>117800</v>
          </cell>
          <cell r="F98">
            <v>147161.63</v>
          </cell>
          <cell r="G98">
            <v>199040.75</v>
          </cell>
          <cell r="H98">
            <v>231446.83000000002</v>
          </cell>
          <cell r="I98">
            <v>267183.64</v>
          </cell>
          <cell r="J98">
            <v>300949.23</v>
          </cell>
          <cell r="K98">
            <v>337545.37</v>
          </cell>
          <cell r="L98">
            <v>375025.72</v>
          </cell>
          <cell r="M98">
            <v>414251.43</v>
          </cell>
          <cell r="N98">
            <v>456680.47</v>
          </cell>
          <cell r="O98">
            <v>529892.59</v>
          </cell>
          <cell r="P98">
            <v>579409.22</v>
          </cell>
          <cell r="Q98">
            <v>629108.14</v>
          </cell>
          <cell r="R98">
            <v>676465.95</v>
          </cell>
          <cell r="S98">
            <v>743179.04999999993</v>
          </cell>
          <cell r="T98">
            <v>806735.49999999988</v>
          </cell>
          <cell r="U98">
            <v>862680.34999999986</v>
          </cell>
          <cell r="V98">
            <v>922296.7899999998</v>
          </cell>
          <cell r="W98">
            <v>992925.58999999985</v>
          </cell>
          <cell r="X98">
            <v>1071993.8899999999</v>
          </cell>
          <cell r="Y98">
            <v>1206297.8899999999</v>
          </cell>
          <cell r="Z98">
            <v>1206297.8899999999</v>
          </cell>
          <cell r="AA98">
            <v>1206297.8899999999</v>
          </cell>
          <cell r="AB98">
            <v>1206297.8899999999</v>
          </cell>
          <cell r="AC98">
            <v>1206297.8899999999</v>
          </cell>
          <cell r="AD98">
            <v>1206297.8899999999</v>
          </cell>
          <cell r="AE98">
            <v>1206297.8899999999</v>
          </cell>
          <cell r="AF98">
            <v>1206297.8899999999</v>
          </cell>
          <cell r="AG98">
            <v>1206297.8899999999</v>
          </cell>
          <cell r="AH98">
            <v>1206297.8899999999</v>
          </cell>
          <cell r="AI98">
            <v>1206297.8899999999</v>
          </cell>
          <cell r="AJ98">
            <v>1206297.8899999999</v>
          </cell>
          <cell r="AK98">
            <v>1206297.8899999999</v>
          </cell>
          <cell r="AL98">
            <v>1206297.8899999999</v>
          </cell>
          <cell r="AM98">
            <v>1206297.8899999999</v>
          </cell>
          <cell r="AN98">
            <v>1206297.8899999999</v>
          </cell>
          <cell r="AO98">
            <v>1206297.8899999999</v>
          </cell>
          <cell r="AP98">
            <v>1206297.8899999999</v>
          </cell>
          <cell r="AQ98">
            <v>1206297.8899999999</v>
          </cell>
          <cell r="AR98">
            <v>1206297.8899999999</v>
          </cell>
          <cell r="AS98">
            <v>1206297.8899999999</v>
          </cell>
          <cell r="AT98">
            <v>1206297.8899999999</v>
          </cell>
          <cell r="AU98">
            <v>1206297.8899999999</v>
          </cell>
          <cell r="AV98">
            <v>1206297.8899999999</v>
          </cell>
          <cell r="AW98">
            <v>1206297.8899999999</v>
          </cell>
          <cell r="AX98">
            <v>1206297.8899999999</v>
          </cell>
          <cell r="AY98">
            <v>1206297.8899999999</v>
          </cell>
          <cell r="AZ98">
            <v>1206297.8899999999</v>
          </cell>
          <cell r="BA98">
            <v>1206297.8899999999</v>
          </cell>
          <cell r="BB98">
            <v>1206297.8899999999</v>
          </cell>
        </row>
        <row r="99">
          <cell r="A99" t="str">
            <v>TELE</v>
          </cell>
          <cell r="B99">
            <v>871921.17</v>
          </cell>
          <cell r="C99">
            <v>808727.91</v>
          </cell>
          <cell r="D99">
            <v>817645.15</v>
          </cell>
          <cell r="E99">
            <v>860173.16</v>
          </cell>
          <cell r="F99">
            <v>952147.36</v>
          </cell>
          <cell r="G99">
            <v>870094.34</v>
          </cell>
          <cell r="H99">
            <v>824790.48</v>
          </cell>
          <cell r="I99">
            <v>856917.46</v>
          </cell>
          <cell r="J99">
            <v>917957.74</v>
          </cell>
          <cell r="K99">
            <v>828833.45</v>
          </cell>
          <cell r="L99">
            <v>797774.75</v>
          </cell>
          <cell r="M99">
            <v>775861.88</v>
          </cell>
          <cell r="N99">
            <v>917507.7</v>
          </cell>
          <cell r="O99">
            <v>835924.47999999998</v>
          </cell>
          <cell r="P99">
            <v>799307.19</v>
          </cell>
          <cell r="Q99">
            <v>793090.08</v>
          </cell>
          <cell r="R99">
            <v>860813.96</v>
          </cell>
          <cell r="S99">
            <v>876980.07</v>
          </cell>
          <cell r="T99">
            <v>835734.44</v>
          </cell>
          <cell r="U99">
            <v>819096.98</v>
          </cell>
          <cell r="V99">
            <v>791930.89</v>
          </cell>
          <cell r="W99">
            <v>936311.55</v>
          </cell>
          <cell r="X99">
            <v>823201.99</v>
          </cell>
          <cell r="Y99">
            <v>845502.28</v>
          </cell>
        </row>
        <row r="100">
          <cell r="A100" t="str">
            <v>ptd</v>
          </cell>
          <cell r="B100">
            <v>871921.17</v>
          </cell>
          <cell r="C100">
            <v>1680649.08</v>
          </cell>
          <cell r="D100">
            <v>2498294.23</v>
          </cell>
          <cell r="E100">
            <v>3358467.39</v>
          </cell>
          <cell r="F100">
            <v>952147.36</v>
          </cell>
          <cell r="G100">
            <v>1822241.7</v>
          </cell>
          <cell r="H100">
            <v>2647032.1799999997</v>
          </cell>
          <cell r="I100">
            <v>3503949.6399999997</v>
          </cell>
          <cell r="J100">
            <v>917957.74</v>
          </cell>
          <cell r="K100">
            <v>1746791.19</v>
          </cell>
          <cell r="L100">
            <v>2544565.94</v>
          </cell>
          <cell r="M100">
            <v>3320427.82</v>
          </cell>
          <cell r="N100">
            <v>917507.7</v>
          </cell>
          <cell r="O100">
            <v>1753432.18</v>
          </cell>
          <cell r="P100">
            <v>2552739.37</v>
          </cell>
          <cell r="Q100">
            <v>3345829.45</v>
          </cell>
          <cell r="R100">
            <v>860813.96</v>
          </cell>
          <cell r="S100">
            <v>1737794.0299999998</v>
          </cell>
          <cell r="T100">
            <v>2573528.4699999997</v>
          </cell>
          <cell r="U100">
            <v>3392625.4499999997</v>
          </cell>
          <cell r="V100">
            <v>791930.89</v>
          </cell>
          <cell r="W100">
            <v>1728242.44</v>
          </cell>
          <cell r="X100">
            <v>2551444.4299999997</v>
          </cell>
          <cell r="Y100">
            <v>3396946.71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</row>
        <row r="101">
          <cell r="A101" t="str">
            <v>qtd</v>
          </cell>
          <cell r="B101">
            <v>871921.17</v>
          </cell>
          <cell r="C101">
            <v>1680649.08</v>
          </cell>
          <cell r="D101">
            <v>2498294.23</v>
          </cell>
          <cell r="E101">
            <v>3358467.39</v>
          </cell>
          <cell r="F101">
            <v>4310614.75</v>
          </cell>
          <cell r="G101">
            <v>5180709.09</v>
          </cell>
          <cell r="H101">
            <v>6005499.5700000003</v>
          </cell>
          <cell r="I101">
            <v>6862417.0300000003</v>
          </cell>
          <cell r="J101">
            <v>7780374.7700000005</v>
          </cell>
          <cell r="K101">
            <v>8609208.2200000007</v>
          </cell>
          <cell r="L101">
            <v>9406982.9700000007</v>
          </cell>
          <cell r="M101">
            <v>10182844.850000001</v>
          </cell>
          <cell r="N101">
            <v>917507.7</v>
          </cell>
          <cell r="O101">
            <v>1753432.18</v>
          </cell>
          <cell r="P101">
            <v>2552739.37</v>
          </cell>
          <cell r="Q101">
            <v>3345829.45</v>
          </cell>
          <cell r="R101">
            <v>4206643.41</v>
          </cell>
          <cell r="S101">
            <v>5083623.4800000004</v>
          </cell>
          <cell r="T101">
            <v>5919357.9199999999</v>
          </cell>
          <cell r="U101">
            <v>6738454.9000000004</v>
          </cell>
          <cell r="V101">
            <v>7530385.79</v>
          </cell>
          <cell r="W101">
            <v>8466697.3399999999</v>
          </cell>
          <cell r="X101">
            <v>9289899.3300000001</v>
          </cell>
          <cell r="Y101">
            <v>10135401.609999999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</row>
        <row r="102">
          <cell r="A102" t="str">
            <v>ytd</v>
          </cell>
          <cell r="B102">
            <v>871921.17</v>
          </cell>
          <cell r="C102">
            <v>1680649.08</v>
          </cell>
          <cell r="D102">
            <v>2498294.23</v>
          </cell>
          <cell r="E102">
            <v>3358467.39</v>
          </cell>
          <cell r="F102">
            <v>4310614.75</v>
          </cell>
          <cell r="G102">
            <v>5180709.09</v>
          </cell>
          <cell r="H102">
            <v>6005499.5700000003</v>
          </cell>
          <cell r="I102">
            <v>6862417.0300000003</v>
          </cell>
          <cell r="J102">
            <v>7780374.7700000005</v>
          </cell>
          <cell r="K102">
            <v>8609208.2200000007</v>
          </cell>
          <cell r="L102">
            <v>9406982.9700000007</v>
          </cell>
          <cell r="M102">
            <v>10182844.850000001</v>
          </cell>
          <cell r="N102">
            <v>11100352.550000001</v>
          </cell>
          <cell r="O102">
            <v>11936277.030000001</v>
          </cell>
          <cell r="P102">
            <v>12735584.220000001</v>
          </cell>
          <cell r="Q102">
            <v>13528674.300000001</v>
          </cell>
          <cell r="R102">
            <v>14389488.260000002</v>
          </cell>
          <cell r="S102">
            <v>15266468.330000002</v>
          </cell>
          <cell r="T102">
            <v>16102202.770000001</v>
          </cell>
          <cell r="U102">
            <v>16921299.75</v>
          </cell>
          <cell r="V102">
            <v>17713230.640000001</v>
          </cell>
          <cell r="W102">
            <v>18649542.190000001</v>
          </cell>
          <cell r="X102">
            <v>19472744.18</v>
          </cell>
          <cell r="Y102">
            <v>20318246.460000001</v>
          </cell>
          <cell r="Z102">
            <v>20318246.460000001</v>
          </cell>
          <cell r="AA102">
            <v>20318246.460000001</v>
          </cell>
          <cell r="AB102">
            <v>20318246.460000001</v>
          </cell>
          <cell r="AC102">
            <v>20318246.460000001</v>
          </cell>
          <cell r="AD102">
            <v>20318246.460000001</v>
          </cell>
          <cell r="AE102">
            <v>20318246.460000001</v>
          </cell>
          <cell r="AF102">
            <v>20318246.460000001</v>
          </cell>
          <cell r="AG102">
            <v>20318246.460000001</v>
          </cell>
          <cell r="AH102">
            <v>20318246.460000001</v>
          </cell>
          <cell r="AI102">
            <v>20318246.460000001</v>
          </cell>
          <cell r="AJ102">
            <v>20318246.460000001</v>
          </cell>
          <cell r="AK102">
            <v>20318246.460000001</v>
          </cell>
          <cell r="AL102">
            <v>20318246.460000001</v>
          </cell>
          <cell r="AM102">
            <v>20318246.460000001</v>
          </cell>
          <cell r="AN102">
            <v>20318246.460000001</v>
          </cell>
          <cell r="AO102">
            <v>20318246.460000001</v>
          </cell>
          <cell r="AP102">
            <v>20318246.460000001</v>
          </cell>
          <cell r="AQ102">
            <v>20318246.460000001</v>
          </cell>
          <cell r="AR102">
            <v>20318246.460000001</v>
          </cell>
          <cell r="AS102">
            <v>20318246.460000001</v>
          </cell>
          <cell r="AT102">
            <v>20318246.460000001</v>
          </cell>
          <cell r="AU102">
            <v>20318246.460000001</v>
          </cell>
          <cell r="AV102">
            <v>20318246.460000001</v>
          </cell>
          <cell r="AW102">
            <v>20318246.460000001</v>
          </cell>
          <cell r="AX102">
            <v>20318246.460000001</v>
          </cell>
          <cell r="AY102">
            <v>20318246.460000001</v>
          </cell>
          <cell r="AZ102">
            <v>20318246.460000001</v>
          </cell>
          <cell r="BA102">
            <v>20318246.460000001</v>
          </cell>
          <cell r="BB102">
            <v>20318246.460000001</v>
          </cell>
        </row>
        <row r="103">
          <cell r="A103" t="str">
            <v>TICK</v>
          </cell>
          <cell r="B103">
            <v>114154.45</v>
          </cell>
          <cell r="C103">
            <v>213247.5</v>
          </cell>
          <cell r="D103">
            <v>194986.59</v>
          </cell>
          <cell r="E103">
            <v>244944.95</v>
          </cell>
          <cell r="F103">
            <v>212836.99</v>
          </cell>
          <cell r="G103">
            <v>374923.74</v>
          </cell>
          <cell r="H103">
            <v>369974.87</v>
          </cell>
          <cell r="I103">
            <v>343491.87</v>
          </cell>
          <cell r="J103">
            <v>362088.79</v>
          </cell>
          <cell r="K103">
            <v>440511.53</v>
          </cell>
          <cell r="L103">
            <v>529904.59</v>
          </cell>
          <cell r="M103">
            <v>569544.55000000005</v>
          </cell>
          <cell r="N103">
            <v>623507.75</v>
          </cell>
          <cell r="O103">
            <v>784304.01</v>
          </cell>
          <cell r="P103">
            <v>535393.87</v>
          </cell>
          <cell r="Q103">
            <v>332574.74</v>
          </cell>
          <cell r="R103">
            <v>256728.97</v>
          </cell>
          <cell r="S103">
            <v>283538.06</v>
          </cell>
          <cell r="T103">
            <v>335342.83</v>
          </cell>
          <cell r="U103">
            <v>399535.68</v>
          </cell>
          <cell r="V103">
            <v>320367.89</v>
          </cell>
          <cell r="W103">
            <v>294566.33</v>
          </cell>
          <cell r="X103">
            <v>393319.14</v>
          </cell>
          <cell r="Y103">
            <v>430401.17</v>
          </cell>
        </row>
        <row r="104">
          <cell r="A104" t="str">
            <v>ptd</v>
          </cell>
          <cell r="B104">
            <v>114154.45</v>
          </cell>
          <cell r="C104">
            <v>327401.95</v>
          </cell>
          <cell r="D104">
            <v>522388.54000000004</v>
          </cell>
          <cell r="E104">
            <v>767333.49</v>
          </cell>
          <cell r="F104">
            <v>212836.99</v>
          </cell>
          <cell r="G104">
            <v>587760.73</v>
          </cell>
          <cell r="H104">
            <v>957735.6</v>
          </cell>
          <cell r="I104">
            <v>1301227.47</v>
          </cell>
          <cell r="J104">
            <v>362088.79</v>
          </cell>
          <cell r="K104">
            <v>802600.32000000007</v>
          </cell>
          <cell r="L104">
            <v>1332504.9100000001</v>
          </cell>
          <cell r="M104">
            <v>1902049.4600000002</v>
          </cell>
          <cell r="N104">
            <v>623507.75</v>
          </cell>
          <cell r="O104">
            <v>1407811.76</v>
          </cell>
          <cell r="P104">
            <v>1943205.63</v>
          </cell>
          <cell r="Q104">
            <v>2275780.37</v>
          </cell>
          <cell r="R104">
            <v>256728.97</v>
          </cell>
          <cell r="S104">
            <v>540267.03</v>
          </cell>
          <cell r="T104">
            <v>875609.8600000001</v>
          </cell>
          <cell r="U104">
            <v>1275145.54</v>
          </cell>
          <cell r="V104">
            <v>320367.89</v>
          </cell>
          <cell r="W104">
            <v>614934.22</v>
          </cell>
          <cell r="X104">
            <v>1008253.36</v>
          </cell>
          <cell r="Y104">
            <v>1438654.53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</row>
        <row r="105">
          <cell r="A105" t="str">
            <v>qtd</v>
          </cell>
          <cell r="B105">
            <v>114154.45</v>
          </cell>
          <cell r="C105">
            <v>327401.95</v>
          </cell>
          <cell r="D105">
            <v>522388.54000000004</v>
          </cell>
          <cell r="E105">
            <v>767333.49</v>
          </cell>
          <cell r="F105">
            <v>980170.48</v>
          </cell>
          <cell r="G105">
            <v>1355094.22</v>
          </cell>
          <cell r="H105">
            <v>1725069.0899999999</v>
          </cell>
          <cell r="I105">
            <v>2068560.96</v>
          </cell>
          <cell r="J105">
            <v>2430649.75</v>
          </cell>
          <cell r="K105">
            <v>2871161.2800000003</v>
          </cell>
          <cell r="L105">
            <v>3401065.87</v>
          </cell>
          <cell r="M105">
            <v>3970610.42</v>
          </cell>
          <cell r="N105">
            <v>623507.75</v>
          </cell>
          <cell r="O105">
            <v>1407811.76</v>
          </cell>
          <cell r="P105">
            <v>1943205.63</v>
          </cell>
          <cell r="Q105">
            <v>2275780.37</v>
          </cell>
          <cell r="R105">
            <v>2532509.3400000003</v>
          </cell>
          <cell r="S105">
            <v>2816047.4000000004</v>
          </cell>
          <cell r="T105">
            <v>3151390.2300000004</v>
          </cell>
          <cell r="U105">
            <v>3550925.9100000006</v>
          </cell>
          <cell r="V105">
            <v>3871293.8000000007</v>
          </cell>
          <cell r="W105">
            <v>4165860.1300000008</v>
          </cell>
          <cell r="X105">
            <v>4559179.2700000005</v>
          </cell>
          <cell r="Y105">
            <v>4989580.4400000004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</row>
        <row r="106">
          <cell r="A106" t="str">
            <v>ytd</v>
          </cell>
          <cell r="B106">
            <v>114154.45</v>
          </cell>
          <cell r="C106">
            <v>327401.95</v>
          </cell>
          <cell r="D106">
            <v>522388.54000000004</v>
          </cell>
          <cell r="E106">
            <v>767333.49</v>
          </cell>
          <cell r="F106">
            <v>980170.48</v>
          </cell>
          <cell r="G106">
            <v>1355094.22</v>
          </cell>
          <cell r="H106">
            <v>1725069.0899999999</v>
          </cell>
          <cell r="I106">
            <v>2068560.96</v>
          </cell>
          <cell r="J106">
            <v>2430649.75</v>
          </cell>
          <cell r="K106">
            <v>2871161.2800000003</v>
          </cell>
          <cell r="L106">
            <v>3401065.87</v>
          </cell>
          <cell r="M106">
            <v>3970610.42</v>
          </cell>
          <cell r="N106">
            <v>4594118.17</v>
          </cell>
          <cell r="O106">
            <v>5378422.1799999997</v>
          </cell>
          <cell r="P106">
            <v>5913816.0499999998</v>
          </cell>
          <cell r="Q106">
            <v>6246390.79</v>
          </cell>
          <cell r="R106">
            <v>6503119.7599999998</v>
          </cell>
          <cell r="S106">
            <v>6786657.8199999994</v>
          </cell>
          <cell r="T106">
            <v>7122000.6499999994</v>
          </cell>
          <cell r="U106">
            <v>7521536.3299999991</v>
          </cell>
          <cell r="V106">
            <v>7841904.2199999988</v>
          </cell>
          <cell r="W106">
            <v>8136470.5499999989</v>
          </cell>
          <cell r="X106">
            <v>8529789.6899999995</v>
          </cell>
          <cell r="Y106">
            <v>8960190.8599999994</v>
          </cell>
          <cell r="Z106">
            <v>8960190.8599999994</v>
          </cell>
          <cell r="AA106">
            <v>8960190.8599999994</v>
          </cell>
          <cell r="AB106">
            <v>8960190.8599999994</v>
          </cell>
          <cell r="AC106">
            <v>8960190.8599999994</v>
          </cell>
          <cell r="AD106">
            <v>8960190.8599999994</v>
          </cell>
          <cell r="AE106">
            <v>8960190.8599999994</v>
          </cell>
          <cell r="AF106">
            <v>8960190.8599999994</v>
          </cell>
          <cell r="AG106">
            <v>8960190.8599999994</v>
          </cell>
          <cell r="AH106">
            <v>8960190.8599999994</v>
          </cell>
          <cell r="AI106">
            <v>8960190.8599999994</v>
          </cell>
          <cell r="AJ106">
            <v>8960190.8599999994</v>
          </cell>
          <cell r="AK106">
            <v>8960190.8599999994</v>
          </cell>
          <cell r="AL106">
            <v>8960190.8599999994</v>
          </cell>
          <cell r="AM106">
            <v>8960190.8599999994</v>
          </cell>
          <cell r="AN106">
            <v>8960190.8599999994</v>
          </cell>
          <cell r="AO106">
            <v>8960190.8599999994</v>
          </cell>
          <cell r="AP106">
            <v>8960190.8599999994</v>
          </cell>
          <cell r="AQ106">
            <v>8960190.8599999994</v>
          </cell>
          <cell r="AR106">
            <v>8960190.8599999994</v>
          </cell>
          <cell r="AS106">
            <v>8960190.8599999994</v>
          </cell>
          <cell r="AT106">
            <v>8960190.8599999994</v>
          </cell>
          <cell r="AU106">
            <v>8960190.8599999994</v>
          </cell>
          <cell r="AV106">
            <v>8960190.8599999994</v>
          </cell>
          <cell r="AW106">
            <v>8960190.8599999994</v>
          </cell>
          <cell r="AX106">
            <v>8960190.8599999994</v>
          </cell>
          <cell r="AY106">
            <v>8960190.8599999994</v>
          </cell>
          <cell r="AZ106">
            <v>8960190.8599999994</v>
          </cell>
          <cell r="BA106">
            <v>8960190.8599999994</v>
          </cell>
          <cell r="BB106">
            <v>8960190.8599999994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11293952.32</v>
          </cell>
          <cell r="C111">
            <v>10723091.23</v>
          </cell>
          <cell r="D111">
            <v>10363396.699999999</v>
          </cell>
          <cell r="E111">
            <v>10788137.250000002</v>
          </cell>
          <cell r="F111">
            <v>11383188.640000001</v>
          </cell>
          <cell r="G111">
            <v>14672338.74</v>
          </cell>
          <cell r="H111">
            <v>10639096.049999999</v>
          </cell>
          <cell r="I111">
            <v>11246365.76</v>
          </cell>
          <cell r="J111">
            <v>11562788.629999999</v>
          </cell>
          <cell r="K111">
            <v>11379140.41</v>
          </cell>
          <cell r="L111">
            <v>11323287.289999999</v>
          </cell>
          <cell r="M111">
            <v>11183218.860000001</v>
          </cell>
          <cell r="N111">
            <v>12385079.209999999</v>
          </cell>
          <cell r="O111">
            <v>15066473.120000001</v>
          </cell>
          <cell r="P111">
            <v>11629749.35</v>
          </cell>
          <cell r="Q111">
            <v>12486416.879999999</v>
          </cell>
          <cell r="R111">
            <v>12211289.439999999</v>
          </cell>
          <cell r="S111">
            <v>18795906.630000003</v>
          </cell>
          <cell r="T111">
            <v>15448319.300000001</v>
          </cell>
          <cell r="U111">
            <v>14014386.739999998</v>
          </cell>
          <cell r="V111">
            <v>13827728.959999999</v>
          </cell>
          <cell r="W111">
            <v>16527710.700000001</v>
          </cell>
          <cell r="X111">
            <v>17334960.860000003</v>
          </cell>
          <cell r="Y111">
            <v>20981805.350000001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</row>
        <row r="112">
          <cell r="A112" t="str">
            <v>ptd</v>
          </cell>
          <cell r="B112">
            <v>11293952.32</v>
          </cell>
          <cell r="C112">
            <v>22017043.550000001</v>
          </cell>
          <cell r="D112">
            <v>32380440.25</v>
          </cell>
          <cell r="E112">
            <v>43168577.5</v>
          </cell>
          <cell r="F112">
            <v>11383188.640000001</v>
          </cell>
          <cell r="G112">
            <v>26055527.380000003</v>
          </cell>
          <cell r="H112">
            <v>36694623.43</v>
          </cell>
          <cell r="I112">
            <v>47940989.189999998</v>
          </cell>
          <cell r="J112">
            <v>11562788.629999999</v>
          </cell>
          <cell r="K112">
            <v>22941929.039999999</v>
          </cell>
          <cell r="L112">
            <v>34265216.329999998</v>
          </cell>
          <cell r="M112">
            <v>45448435.189999998</v>
          </cell>
          <cell r="N112">
            <v>12385079.209999999</v>
          </cell>
          <cell r="O112">
            <v>27451552.329999998</v>
          </cell>
          <cell r="P112">
            <v>39081301.68</v>
          </cell>
          <cell r="Q112">
            <v>51567718.560000002</v>
          </cell>
          <cell r="R112">
            <v>12211289.439999999</v>
          </cell>
          <cell r="S112">
            <v>31007196.07</v>
          </cell>
          <cell r="T112">
            <v>46455515.370000005</v>
          </cell>
          <cell r="U112">
            <v>60469902.109999999</v>
          </cell>
          <cell r="V112">
            <v>13827728.959999999</v>
          </cell>
          <cell r="W112">
            <v>30355439.66</v>
          </cell>
          <cell r="X112">
            <v>47690400.520000003</v>
          </cell>
          <cell r="Y112">
            <v>68672205.870000005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</row>
        <row r="113">
          <cell r="A113" t="str">
            <v>qtd</v>
          </cell>
          <cell r="B113">
            <v>11293952.32</v>
          </cell>
          <cell r="C113">
            <v>22017043.550000001</v>
          </cell>
          <cell r="D113">
            <v>32380440.25</v>
          </cell>
          <cell r="E113">
            <v>43168577.5</v>
          </cell>
          <cell r="F113">
            <v>54551766.140000001</v>
          </cell>
          <cell r="G113">
            <v>69224104.879999995</v>
          </cell>
          <cell r="H113">
            <v>79863200.929999992</v>
          </cell>
          <cell r="I113">
            <v>91109566.689999998</v>
          </cell>
          <cell r="J113">
            <v>102672355.31999999</v>
          </cell>
          <cell r="K113">
            <v>114051495.72999999</v>
          </cell>
          <cell r="L113">
            <v>125374783.01999998</v>
          </cell>
          <cell r="M113">
            <v>136558001.88</v>
          </cell>
          <cell r="N113">
            <v>12385079.209999999</v>
          </cell>
          <cell r="O113">
            <v>27451552.329999998</v>
          </cell>
          <cell r="P113">
            <v>39081301.68</v>
          </cell>
          <cell r="Q113">
            <v>51567718.560000002</v>
          </cell>
          <cell r="R113">
            <v>63779008</v>
          </cell>
          <cell r="S113">
            <v>82574914.629999995</v>
          </cell>
          <cell r="T113">
            <v>98023233.929999992</v>
          </cell>
          <cell r="U113">
            <v>112037620.66999999</v>
          </cell>
          <cell r="V113">
            <v>125865349.62999998</v>
          </cell>
          <cell r="W113">
            <v>142393060.32999998</v>
          </cell>
          <cell r="X113">
            <v>159728021.19</v>
          </cell>
          <cell r="Y113">
            <v>180709826.53999999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</row>
        <row r="114">
          <cell r="A114" t="str">
            <v>ytd</v>
          </cell>
          <cell r="B114">
            <v>11293952.32</v>
          </cell>
          <cell r="C114">
            <v>22017043.550000001</v>
          </cell>
          <cell r="D114">
            <v>32380440.25</v>
          </cell>
          <cell r="E114">
            <v>43168577.5</v>
          </cell>
          <cell r="F114">
            <v>54551766.140000001</v>
          </cell>
          <cell r="G114">
            <v>69224104.879999995</v>
          </cell>
          <cell r="H114">
            <v>79863200.929999992</v>
          </cell>
          <cell r="I114">
            <v>91109566.689999998</v>
          </cell>
          <cell r="J114">
            <v>102672355.31999999</v>
          </cell>
          <cell r="K114">
            <v>114051495.72999999</v>
          </cell>
          <cell r="L114">
            <v>125374783.01999998</v>
          </cell>
          <cell r="M114">
            <v>136558001.88</v>
          </cell>
          <cell r="N114">
            <v>148943081.09</v>
          </cell>
          <cell r="O114">
            <v>164009554.21000001</v>
          </cell>
          <cell r="P114">
            <v>175639303.56</v>
          </cell>
          <cell r="Q114">
            <v>188125720.44</v>
          </cell>
          <cell r="R114">
            <v>200337009.88</v>
          </cell>
          <cell r="S114">
            <v>219132916.50999999</v>
          </cell>
          <cell r="T114">
            <v>234581235.81</v>
          </cell>
          <cell r="U114">
            <v>248595622.55000001</v>
          </cell>
          <cell r="V114">
            <v>262423351.51000002</v>
          </cell>
          <cell r="W114">
            <v>278951062.21000004</v>
          </cell>
          <cell r="X114">
            <v>296286023.07000005</v>
          </cell>
          <cell r="Y114">
            <v>317267828.42000008</v>
          </cell>
          <cell r="Z114">
            <v>317267828.42000008</v>
          </cell>
          <cell r="AA114">
            <v>317267828.42000008</v>
          </cell>
          <cell r="AB114">
            <v>317267828.42000008</v>
          </cell>
          <cell r="AC114">
            <v>317267828.42000008</v>
          </cell>
          <cell r="AD114">
            <v>317267828.42000008</v>
          </cell>
          <cell r="AE114">
            <v>317267828.42000008</v>
          </cell>
          <cell r="AF114">
            <v>317267828.42000008</v>
          </cell>
          <cell r="AG114">
            <v>317267828.42000008</v>
          </cell>
          <cell r="AH114">
            <v>317267828.42000008</v>
          </cell>
          <cell r="AI114">
            <v>317267828.42000008</v>
          </cell>
          <cell r="AJ114">
            <v>317267828.42000008</v>
          </cell>
          <cell r="AK114">
            <v>317267828.42000008</v>
          </cell>
          <cell r="AL114">
            <v>317267828.42000008</v>
          </cell>
          <cell r="AM114">
            <v>317267828.42000008</v>
          </cell>
          <cell r="AN114">
            <v>317267828.42000008</v>
          </cell>
          <cell r="AO114">
            <v>317267828.42000008</v>
          </cell>
          <cell r="AP114">
            <v>317267828.42000008</v>
          </cell>
          <cell r="AQ114">
            <v>317267828.42000008</v>
          </cell>
          <cell r="AR114">
            <v>317267828.42000008</v>
          </cell>
          <cell r="AS114">
            <v>317267828.42000008</v>
          </cell>
          <cell r="AT114">
            <v>317267828.42000008</v>
          </cell>
          <cell r="AU114">
            <v>317267828.42000008</v>
          </cell>
          <cell r="AV114">
            <v>317267828.42000008</v>
          </cell>
          <cell r="AW114">
            <v>317267828.42000008</v>
          </cell>
          <cell r="AX114">
            <v>317267828.42000008</v>
          </cell>
          <cell r="AY114">
            <v>317267828.42000008</v>
          </cell>
          <cell r="AZ114">
            <v>317267828.42000008</v>
          </cell>
          <cell r="BA114">
            <v>317267828.42000008</v>
          </cell>
          <cell r="BB114">
            <v>317267828.42000008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265059.44</v>
          </cell>
          <cell r="C117">
            <v>235291.95</v>
          </cell>
          <cell r="D117">
            <v>240989.24</v>
          </cell>
          <cell r="E117">
            <v>248712.84</v>
          </cell>
          <cell r="F117">
            <v>277888.89</v>
          </cell>
          <cell r="G117">
            <v>510026.92</v>
          </cell>
          <cell r="H117">
            <v>265815.32</v>
          </cell>
          <cell r="I117">
            <v>279970.78999999998</v>
          </cell>
          <cell r="J117">
            <v>276090.34999999998</v>
          </cell>
          <cell r="K117">
            <v>274298.18</v>
          </cell>
          <cell r="L117">
            <v>272275.5</v>
          </cell>
          <cell r="M117">
            <v>270702.83</v>
          </cell>
          <cell r="N117">
            <v>308789.51</v>
          </cell>
          <cell r="O117">
            <v>571784.74</v>
          </cell>
          <cell r="P117">
            <v>315673</v>
          </cell>
          <cell r="Q117">
            <v>361043.37</v>
          </cell>
          <cell r="R117">
            <v>333582.57</v>
          </cell>
          <cell r="S117">
            <v>689243.14</v>
          </cell>
          <cell r="T117">
            <v>527160.54</v>
          </cell>
          <cell r="U117">
            <v>432343.62</v>
          </cell>
          <cell r="V117">
            <v>457008.38</v>
          </cell>
          <cell r="W117">
            <v>520331.28</v>
          </cell>
          <cell r="X117">
            <v>555327.72</v>
          </cell>
          <cell r="Y117">
            <v>919092.18</v>
          </cell>
        </row>
        <row r="118">
          <cell r="A118" t="str">
            <v>ptd</v>
          </cell>
          <cell r="B118">
            <v>265059.44</v>
          </cell>
          <cell r="C118">
            <v>500351.39</v>
          </cell>
          <cell r="D118">
            <v>741340.63</v>
          </cell>
          <cell r="E118">
            <v>990053.47</v>
          </cell>
          <cell r="F118">
            <v>277888.89</v>
          </cell>
          <cell r="G118">
            <v>787915.81</v>
          </cell>
          <cell r="H118">
            <v>1053731.1300000001</v>
          </cell>
          <cell r="I118">
            <v>1333701.9200000002</v>
          </cell>
          <cell r="J118">
            <v>276090.34999999998</v>
          </cell>
          <cell r="K118">
            <v>550388.53</v>
          </cell>
          <cell r="L118">
            <v>822664.03</v>
          </cell>
          <cell r="M118">
            <v>1093366.8600000001</v>
          </cell>
          <cell r="N118">
            <v>308789.51</v>
          </cell>
          <cell r="O118">
            <v>880574.25</v>
          </cell>
          <cell r="P118">
            <v>1196247.25</v>
          </cell>
          <cell r="Q118">
            <v>1557290.62</v>
          </cell>
          <cell r="R118">
            <v>333582.57</v>
          </cell>
          <cell r="S118">
            <v>1022825.71</v>
          </cell>
          <cell r="T118">
            <v>1549986.25</v>
          </cell>
          <cell r="U118">
            <v>1982329.87</v>
          </cell>
          <cell r="V118">
            <v>457008.38</v>
          </cell>
          <cell r="W118">
            <v>977339.66</v>
          </cell>
          <cell r="X118">
            <v>1532667.38</v>
          </cell>
          <cell r="Y118">
            <v>2451759.56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</row>
        <row r="119">
          <cell r="A119" t="str">
            <v>qtd</v>
          </cell>
          <cell r="B119">
            <v>265059.44</v>
          </cell>
          <cell r="C119">
            <v>500351.39</v>
          </cell>
          <cell r="D119">
            <v>741340.63</v>
          </cell>
          <cell r="E119">
            <v>990053.47</v>
          </cell>
          <cell r="F119">
            <v>1267942.3599999999</v>
          </cell>
          <cell r="G119">
            <v>1777969.2799999998</v>
          </cell>
          <cell r="H119">
            <v>2043784.5999999999</v>
          </cell>
          <cell r="I119">
            <v>2323755.3899999997</v>
          </cell>
          <cell r="J119">
            <v>2599845.7399999998</v>
          </cell>
          <cell r="K119">
            <v>2874143.92</v>
          </cell>
          <cell r="L119">
            <v>3146419.42</v>
          </cell>
          <cell r="M119">
            <v>3417122.25</v>
          </cell>
          <cell r="N119">
            <v>308789.51</v>
          </cell>
          <cell r="O119">
            <v>880574.25</v>
          </cell>
          <cell r="P119">
            <v>1196247.25</v>
          </cell>
          <cell r="Q119">
            <v>1557290.62</v>
          </cell>
          <cell r="R119">
            <v>1890873.1900000002</v>
          </cell>
          <cell r="S119">
            <v>2580116.33</v>
          </cell>
          <cell r="T119">
            <v>3107276.87</v>
          </cell>
          <cell r="U119">
            <v>3539620.49</v>
          </cell>
          <cell r="V119">
            <v>3996628.87</v>
          </cell>
          <cell r="W119">
            <v>4516960.1500000004</v>
          </cell>
          <cell r="X119">
            <v>5072287.87</v>
          </cell>
          <cell r="Y119">
            <v>5991380.0499999998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</row>
        <row r="120">
          <cell r="A120" t="str">
            <v>ytd</v>
          </cell>
          <cell r="B120">
            <v>265059.44</v>
          </cell>
          <cell r="C120">
            <v>500351.39</v>
          </cell>
          <cell r="D120">
            <v>741340.63</v>
          </cell>
          <cell r="E120">
            <v>990053.47</v>
          </cell>
          <cell r="F120">
            <v>1267942.3599999999</v>
          </cell>
          <cell r="G120">
            <v>1777969.2799999998</v>
          </cell>
          <cell r="H120">
            <v>2043784.5999999999</v>
          </cell>
          <cell r="I120">
            <v>2323755.3899999997</v>
          </cell>
          <cell r="J120">
            <v>2599845.7399999998</v>
          </cell>
          <cell r="K120">
            <v>2874143.92</v>
          </cell>
          <cell r="L120">
            <v>3146419.42</v>
          </cell>
          <cell r="M120">
            <v>3417122.25</v>
          </cell>
          <cell r="N120">
            <v>3725911.76</v>
          </cell>
          <cell r="O120">
            <v>4297696.5</v>
          </cell>
          <cell r="P120">
            <v>4613369.5</v>
          </cell>
          <cell r="Q120">
            <v>4974412.87</v>
          </cell>
          <cell r="R120">
            <v>5307995.4400000004</v>
          </cell>
          <cell r="S120">
            <v>5997238.5800000001</v>
          </cell>
          <cell r="T120">
            <v>6524399.1200000001</v>
          </cell>
          <cell r="U120">
            <v>6956742.7400000002</v>
          </cell>
          <cell r="V120">
            <v>7413751.1200000001</v>
          </cell>
          <cell r="W120">
            <v>7934082.4000000004</v>
          </cell>
          <cell r="X120">
            <v>8489410.120000001</v>
          </cell>
          <cell r="Y120">
            <v>9408502.3000000007</v>
          </cell>
          <cell r="Z120">
            <v>9408502.3000000007</v>
          </cell>
          <cell r="AA120">
            <v>9408502.3000000007</v>
          </cell>
          <cell r="AB120">
            <v>9408502.3000000007</v>
          </cell>
          <cell r="AC120">
            <v>9408502.3000000007</v>
          </cell>
          <cell r="AD120">
            <v>9408502.3000000007</v>
          </cell>
          <cell r="AE120">
            <v>9408502.3000000007</v>
          </cell>
          <cell r="AF120">
            <v>9408502.3000000007</v>
          </cell>
          <cell r="AG120">
            <v>9408502.3000000007</v>
          </cell>
          <cell r="AH120">
            <v>9408502.3000000007</v>
          </cell>
          <cell r="AI120">
            <v>9408502.3000000007</v>
          </cell>
          <cell r="AJ120">
            <v>9408502.3000000007</v>
          </cell>
          <cell r="AK120">
            <v>9408502.3000000007</v>
          </cell>
          <cell r="AL120">
            <v>9408502.3000000007</v>
          </cell>
          <cell r="AM120">
            <v>9408502.3000000007</v>
          </cell>
          <cell r="AN120">
            <v>9408502.3000000007</v>
          </cell>
          <cell r="AO120">
            <v>9408502.3000000007</v>
          </cell>
          <cell r="AP120">
            <v>9408502.3000000007</v>
          </cell>
          <cell r="AQ120">
            <v>9408502.3000000007</v>
          </cell>
          <cell r="AR120">
            <v>9408502.3000000007</v>
          </cell>
          <cell r="AS120">
            <v>9408502.3000000007</v>
          </cell>
          <cell r="AT120">
            <v>9408502.3000000007</v>
          </cell>
          <cell r="AU120">
            <v>9408502.3000000007</v>
          </cell>
          <cell r="AV120">
            <v>9408502.3000000007</v>
          </cell>
          <cell r="AW120">
            <v>9408502.3000000007</v>
          </cell>
          <cell r="AX120">
            <v>9408502.3000000007</v>
          </cell>
          <cell r="AY120">
            <v>9408502.3000000007</v>
          </cell>
          <cell r="AZ120">
            <v>9408502.3000000007</v>
          </cell>
          <cell r="BA120">
            <v>9408502.3000000007</v>
          </cell>
          <cell r="BB120">
            <v>9408502.3000000007</v>
          </cell>
        </row>
        <row r="121">
          <cell r="A121" t="str">
            <v>PART</v>
          </cell>
          <cell r="B121">
            <v>14822736.43</v>
          </cell>
          <cell r="C121">
            <v>13663291.23</v>
          </cell>
          <cell r="D121">
            <v>13352289.279999999</v>
          </cell>
          <cell r="E121">
            <v>13633330.449999999</v>
          </cell>
          <cell r="F121">
            <v>14956080.77</v>
          </cell>
          <cell r="G121">
            <v>23953764.98</v>
          </cell>
          <cell r="H121">
            <v>14032131.890000001</v>
          </cell>
          <cell r="I121">
            <v>14349852.539999999</v>
          </cell>
          <cell r="J121">
            <v>14476968.02</v>
          </cell>
          <cell r="K121">
            <v>14644325.060000001</v>
          </cell>
          <cell r="L121">
            <v>14790611.17</v>
          </cell>
          <cell r="M121">
            <v>15070014.439999999</v>
          </cell>
          <cell r="N121">
            <v>16634143.859999999</v>
          </cell>
          <cell r="O121">
            <v>27626854.699999999</v>
          </cell>
          <cell r="P121">
            <v>16589224.32</v>
          </cell>
          <cell r="Q121">
            <v>18919202.109999999</v>
          </cell>
          <cell r="R121">
            <v>18499292.530000001</v>
          </cell>
          <cell r="S121">
            <v>34609701.340000004</v>
          </cell>
          <cell r="T121">
            <v>24939274.050000001</v>
          </cell>
          <cell r="U121">
            <v>20286680.370000001</v>
          </cell>
          <cell r="V121">
            <v>20859102.739999998</v>
          </cell>
          <cell r="W121">
            <v>23893696.280000001</v>
          </cell>
          <cell r="X121">
            <v>23735573.890000001</v>
          </cell>
          <cell r="Y121">
            <v>39341164.189999998</v>
          </cell>
        </row>
        <row r="122">
          <cell r="A122" t="str">
            <v>ptd</v>
          </cell>
          <cell r="B122">
            <v>14822736.43</v>
          </cell>
          <cell r="C122">
            <v>28486027.66</v>
          </cell>
          <cell r="D122">
            <v>41838316.939999998</v>
          </cell>
          <cell r="E122">
            <v>55471647.390000001</v>
          </cell>
          <cell r="F122">
            <v>14956080.77</v>
          </cell>
          <cell r="G122">
            <v>38909845.75</v>
          </cell>
          <cell r="H122">
            <v>52941977.640000001</v>
          </cell>
          <cell r="I122">
            <v>67291830.180000007</v>
          </cell>
          <cell r="J122">
            <v>14476968.02</v>
          </cell>
          <cell r="K122">
            <v>29121293.079999998</v>
          </cell>
          <cell r="L122">
            <v>43911904.25</v>
          </cell>
          <cell r="M122">
            <v>58981918.689999998</v>
          </cell>
          <cell r="N122">
            <v>16634143.859999999</v>
          </cell>
          <cell r="O122">
            <v>44260998.560000002</v>
          </cell>
          <cell r="P122">
            <v>60850222.880000003</v>
          </cell>
          <cell r="Q122">
            <v>79769424.99000001</v>
          </cell>
          <cell r="R122">
            <v>18499292.530000001</v>
          </cell>
          <cell r="S122">
            <v>53108993.870000005</v>
          </cell>
          <cell r="T122">
            <v>78048267.920000002</v>
          </cell>
          <cell r="U122">
            <v>98334948.290000007</v>
          </cell>
          <cell r="V122">
            <v>20859102.739999998</v>
          </cell>
          <cell r="W122">
            <v>44752799.019999996</v>
          </cell>
          <cell r="X122">
            <v>68488372.909999996</v>
          </cell>
          <cell r="Y122">
            <v>107829537.09999999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</row>
        <row r="123">
          <cell r="A123" t="str">
            <v>qtd</v>
          </cell>
          <cell r="B123">
            <v>14822736.43</v>
          </cell>
          <cell r="C123">
            <v>28486027.66</v>
          </cell>
          <cell r="D123">
            <v>41838316.939999998</v>
          </cell>
          <cell r="E123">
            <v>55471647.390000001</v>
          </cell>
          <cell r="F123">
            <v>70427728.159999996</v>
          </cell>
          <cell r="G123">
            <v>94381493.140000001</v>
          </cell>
          <cell r="H123">
            <v>108413625.03</v>
          </cell>
          <cell r="I123">
            <v>122763477.56999999</v>
          </cell>
          <cell r="J123">
            <v>137240445.59</v>
          </cell>
          <cell r="K123">
            <v>151884770.65000001</v>
          </cell>
          <cell r="L123">
            <v>166675381.81999999</v>
          </cell>
          <cell r="M123">
            <v>181745396.25999999</v>
          </cell>
          <cell r="N123">
            <v>16634143.859999999</v>
          </cell>
          <cell r="O123">
            <v>44260998.560000002</v>
          </cell>
          <cell r="P123">
            <v>60850222.880000003</v>
          </cell>
          <cell r="Q123">
            <v>79769424.99000001</v>
          </cell>
          <cell r="R123">
            <v>98268717.520000011</v>
          </cell>
          <cell r="S123">
            <v>132878418.86000001</v>
          </cell>
          <cell r="T123">
            <v>157817692.91000003</v>
          </cell>
          <cell r="U123">
            <v>178104373.28000003</v>
          </cell>
          <cell r="V123">
            <v>198963476.02000004</v>
          </cell>
          <cell r="W123">
            <v>222857172.30000004</v>
          </cell>
          <cell r="X123">
            <v>246592746.19000006</v>
          </cell>
          <cell r="Y123">
            <v>285933910.38000005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</row>
        <row r="124">
          <cell r="A124" t="str">
            <v>ytd</v>
          </cell>
          <cell r="B124">
            <v>14822736.43</v>
          </cell>
          <cell r="C124">
            <v>28486027.66</v>
          </cell>
          <cell r="D124">
            <v>41838316.939999998</v>
          </cell>
          <cell r="E124">
            <v>55471647.390000001</v>
          </cell>
          <cell r="F124">
            <v>70427728.159999996</v>
          </cell>
          <cell r="G124">
            <v>94381493.140000001</v>
          </cell>
          <cell r="H124">
            <v>108413625.03</v>
          </cell>
          <cell r="I124">
            <v>122763477.56999999</v>
          </cell>
          <cell r="J124">
            <v>137240445.59</v>
          </cell>
          <cell r="K124">
            <v>151884770.65000001</v>
          </cell>
          <cell r="L124">
            <v>166675381.81999999</v>
          </cell>
          <cell r="M124">
            <v>181745396.25999999</v>
          </cell>
          <cell r="N124">
            <v>198379540.12</v>
          </cell>
          <cell r="O124">
            <v>226006394.81999999</v>
          </cell>
          <cell r="P124">
            <v>242595619.13999999</v>
          </cell>
          <cell r="Q124">
            <v>261514821.25</v>
          </cell>
          <cell r="R124">
            <v>280014113.77999997</v>
          </cell>
          <cell r="S124">
            <v>314623815.12</v>
          </cell>
          <cell r="T124">
            <v>339563089.17000002</v>
          </cell>
          <cell r="U124">
            <v>359849769.54000002</v>
          </cell>
          <cell r="V124">
            <v>380708872.28000003</v>
          </cell>
          <cell r="W124">
            <v>404602568.56000006</v>
          </cell>
          <cell r="X124">
            <v>428338142.45000005</v>
          </cell>
          <cell r="Y124">
            <v>467679306.64000005</v>
          </cell>
          <cell r="Z124">
            <v>467679306.64000005</v>
          </cell>
          <cell r="AA124">
            <v>467679306.64000005</v>
          </cell>
          <cell r="AB124">
            <v>467679306.64000005</v>
          </cell>
          <cell r="AC124">
            <v>467679306.64000005</v>
          </cell>
          <cell r="AD124">
            <v>467679306.64000005</v>
          </cell>
          <cell r="AE124">
            <v>467679306.64000005</v>
          </cell>
          <cell r="AF124">
            <v>467679306.64000005</v>
          </cell>
          <cell r="AG124">
            <v>467679306.64000005</v>
          </cell>
          <cell r="AH124">
            <v>467679306.64000005</v>
          </cell>
          <cell r="AI124">
            <v>467679306.64000005</v>
          </cell>
          <cell r="AJ124">
            <v>467679306.64000005</v>
          </cell>
          <cell r="AK124">
            <v>467679306.64000005</v>
          </cell>
          <cell r="AL124">
            <v>467679306.64000005</v>
          </cell>
          <cell r="AM124">
            <v>467679306.64000005</v>
          </cell>
          <cell r="AN124">
            <v>467679306.64000005</v>
          </cell>
          <cell r="AO124">
            <v>467679306.64000005</v>
          </cell>
          <cell r="AP124">
            <v>467679306.64000005</v>
          </cell>
          <cell r="AQ124">
            <v>467679306.64000005</v>
          </cell>
          <cell r="AR124">
            <v>467679306.64000005</v>
          </cell>
          <cell r="AS124">
            <v>467679306.64000005</v>
          </cell>
          <cell r="AT124">
            <v>467679306.64000005</v>
          </cell>
          <cell r="AU124">
            <v>467679306.64000005</v>
          </cell>
          <cell r="AV124">
            <v>467679306.64000005</v>
          </cell>
          <cell r="AW124">
            <v>467679306.64000005</v>
          </cell>
          <cell r="AX124">
            <v>467679306.64000005</v>
          </cell>
          <cell r="AY124">
            <v>467679306.64000005</v>
          </cell>
          <cell r="AZ124">
            <v>467679306.64000005</v>
          </cell>
          <cell r="BA124">
            <v>467679306.64000005</v>
          </cell>
          <cell r="BB124">
            <v>467679306.64000005</v>
          </cell>
        </row>
        <row r="125">
          <cell r="A125" t="str">
            <v>PRED</v>
          </cell>
          <cell r="B125">
            <v>356629.25</v>
          </cell>
          <cell r="C125">
            <v>320034.28999999998</v>
          </cell>
          <cell r="D125">
            <v>298586.99</v>
          </cell>
          <cell r="E125">
            <v>320432.59000000003</v>
          </cell>
          <cell r="F125">
            <v>301040.7</v>
          </cell>
          <cell r="G125">
            <v>299670.75</v>
          </cell>
          <cell r="H125">
            <v>286797.09000000003</v>
          </cell>
          <cell r="I125">
            <v>257474.19</v>
          </cell>
          <cell r="J125">
            <v>271884.99</v>
          </cell>
          <cell r="K125">
            <v>252388.94</v>
          </cell>
          <cell r="L125">
            <v>277142.12</v>
          </cell>
          <cell r="M125">
            <v>240416.78</v>
          </cell>
          <cell r="N125">
            <v>312427.15000000002</v>
          </cell>
          <cell r="O125">
            <v>294488.7</v>
          </cell>
          <cell r="P125">
            <v>262820.69</v>
          </cell>
          <cell r="Q125">
            <v>255294.84</v>
          </cell>
          <cell r="R125">
            <v>286570.21000000002</v>
          </cell>
          <cell r="S125">
            <v>269859.45</v>
          </cell>
          <cell r="T125">
            <v>246637.47</v>
          </cell>
          <cell r="U125">
            <v>282697.24</v>
          </cell>
          <cell r="V125">
            <v>278881.78999999998</v>
          </cell>
          <cell r="W125">
            <v>321114.26</v>
          </cell>
          <cell r="X125">
            <v>284809.59000000003</v>
          </cell>
          <cell r="Y125">
            <v>313295.7</v>
          </cell>
        </row>
        <row r="126">
          <cell r="A126" t="str">
            <v>ptd</v>
          </cell>
          <cell r="B126">
            <v>356629.25</v>
          </cell>
          <cell r="C126">
            <v>676663.54</v>
          </cell>
          <cell r="D126">
            <v>975250.53</v>
          </cell>
          <cell r="E126">
            <v>1295683.1200000001</v>
          </cell>
          <cell r="F126">
            <v>301040.7</v>
          </cell>
          <cell r="G126">
            <v>600711.44999999995</v>
          </cell>
          <cell r="H126">
            <v>887508.54</v>
          </cell>
          <cell r="I126">
            <v>1144982.73</v>
          </cell>
          <cell r="J126">
            <v>271884.99</v>
          </cell>
          <cell r="K126">
            <v>524273.93</v>
          </cell>
          <cell r="L126">
            <v>801416.05</v>
          </cell>
          <cell r="M126">
            <v>1041832.8300000001</v>
          </cell>
          <cell r="N126">
            <v>312427.15000000002</v>
          </cell>
          <cell r="O126">
            <v>606915.85000000009</v>
          </cell>
          <cell r="P126">
            <v>869736.54</v>
          </cell>
          <cell r="Q126">
            <v>1125031.3800000001</v>
          </cell>
          <cell r="R126">
            <v>286570.21000000002</v>
          </cell>
          <cell r="S126">
            <v>556429.66</v>
          </cell>
          <cell r="T126">
            <v>803067.13</v>
          </cell>
          <cell r="U126">
            <v>1085764.3700000001</v>
          </cell>
          <cell r="V126">
            <v>278881.78999999998</v>
          </cell>
          <cell r="W126">
            <v>599996.05000000005</v>
          </cell>
          <cell r="X126">
            <v>884805.64000000013</v>
          </cell>
          <cell r="Y126">
            <v>1198101.3400000001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</row>
        <row r="127">
          <cell r="A127" t="str">
            <v>qtd</v>
          </cell>
          <cell r="B127">
            <v>356629.25</v>
          </cell>
          <cell r="C127">
            <v>676663.54</v>
          </cell>
          <cell r="D127">
            <v>975250.53</v>
          </cell>
          <cell r="E127">
            <v>1295683.1200000001</v>
          </cell>
          <cell r="F127">
            <v>1596723.82</v>
          </cell>
          <cell r="G127">
            <v>1896394.57</v>
          </cell>
          <cell r="H127">
            <v>2183191.66</v>
          </cell>
          <cell r="I127">
            <v>2440665.85</v>
          </cell>
          <cell r="J127">
            <v>2712550.84</v>
          </cell>
          <cell r="K127">
            <v>2964939.78</v>
          </cell>
          <cell r="L127">
            <v>3242081.9</v>
          </cell>
          <cell r="M127">
            <v>3482498.6799999997</v>
          </cell>
          <cell r="N127">
            <v>312427.15000000002</v>
          </cell>
          <cell r="O127">
            <v>606915.85000000009</v>
          </cell>
          <cell r="P127">
            <v>869736.54</v>
          </cell>
          <cell r="Q127">
            <v>1125031.3800000001</v>
          </cell>
          <cell r="R127">
            <v>1411601.59</v>
          </cell>
          <cell r="S127">
            <v>1681461.04</v>
          </cell>
          <cell r="T127">
            <v>1928098.51</v>
          </cell>
          <cell r="U127">
            <v>2210795.75</v>
          </cell>
          <cell r="V127">
            <v>2489677.54</v>
          </cell>
          <cell r="W127">
            <v>2810791.8</v>
          </cell>
          <cell r="X127">
            <v>3095601.3899999997</v>
          </cell>
          <cell r="Y127">
            <v>3408897.09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</row>
        <row r="128">
          <cell r="A128" t="str">
            <v>ytd</v>
          </cell>
          <cell r="B128">
            <v>356629.25</v>
          </cell>
          <cell r="C128">
            <v>676663.54</v>
          </cell>
          <cell r="D128">
            <v>975250.53</v>
          </cell>
          <cell r="E128">
            <v>1295683.1200000001</v>
          </cell>
          <cell r="F128">
            <v>1596723.82</v>
          </cell>
          <cell r="G128">
            <v>1896394.57</v>
          </cell>
          <cell r="H128">
            <v>2183191.66</v>
          </cell>
          <cell r="I128">
            <v>2440665.85</v>
          </cell>
          <cell r="J128">
            <v>2712550.84</v>
          </cell>
          <cell r="K128">
            <v>2964939.78</v>
          </cell>
          <cell r="L128">
            <v>3242081.9</v>
          </cell>
          <cell r="M128">
            <v>3482498.6799999997</v>
          </cell>
          <cell r="N128">
            <v>3794925.8299999996</v>
          </cell>
          <cell r="O128">
            <v>4089414.53</v>
          </cell>
          <cell r="P128">
            <v>4352235.22</v>
          </cell>
          <cell r="Q128">
            <v>4607530.0599999996</v>
          </cell>
          <cell r="R128">
            <v>4894100.2699999996</v>
          </cell>
          <cell r="S128">
            <v>5163959.72</v>
          </cell>
          <cell r="T128">
            <v>5410597.1899999995</v>
          </cell>
          <cell r="U128">
            <v>5693294.4299999997</v>
          </cell>
          <cell r="V128">
            <v>5972176.2199999997</v>
          </cell>
          <cell r="W128">
            <v>6293290.4799999995</v>
          </cell>
          <cell r="X128">
            <v>6578100.0699999994</v>
          </cell>
          <cell r="Y128">
            <v>6891395.7699999996</v>
          </cell>
          <cell r="Z128">
            <v>6891395.7699999996</v>
          </cell>
          <cell r="AA128">
            <v>6891395.7699999996</v>
          </cell>
          <cell r="AB128">
            <v>6891395.7699999996</v>
          </cell>
          <cell r="AC128">
            <v>6891395.7699999996</v>
          </cell>
          <cell r="AD128">
            <v>6891395.7699999996</v>
          </cell>
          <cell r="AE128">
            <v>6891395.7699999996</v>
          </cell>
          <cell r="AF128">
            <v>6891395.7699999996</v>
          </cell>
          <cell r="AG128">
            <v>6891395.7699999996</v>
          </cell>
          <cell r="AH128">
            <v>6891395.7699999996</v>
          </cell>
          <cell r="AI128">
            <v>6891395.7699999996</v>
          </cell>
          <cell r="AJ128">
            <v>6891395.7699999996</v>
          </cell>
          <cell r="AK128">
            <v>6891395.7699999996</v>
          </cell>
          <cell r="AL128">
            <v>6891395.7699999996</v>
          </cell>
          <cell r="AM128">
            <v>6891395.7699999996</v>
          </cell>
          <cell r="AN128">
            <v>6891395.7699999996</v>
          </cell>
          <cell r="AO128">
            <v>6891395.7699999996</v>
          </cell>
          <cell r="AP128">
            <v>6891395.7699999996</v>
          </cell>
          <cell r="AQ128">
            <v>6891395.7699999996</v>
          </cell>
          <cell r="AR128">
            <v>6891395.7699999996</v>
          </cell>
          <cell r="AS128">
            <v>6891395.7699999996</v>
          </cell>
          <cell r="AT128">
            <v>6891395.7699999996</v>
          </cell>
          <cell r="AU128">
            <v>6891395.7699999996</v>
          </cell>
          <cell r="AV128">
            <v>6891395.7699999996</v>
          </cell>
          <cell r="AW128">
            <v>6891395.7699999996</v>
          </cell>
          <cell r="AX128">
            <v>6891395.7699999996</v>
          </cell>
          <cell r="AY128">
            <v>6891395.7699999996</v>
          </cell>
          <cell r="AZ128">
            <v>6891395.7699999996</v>
          </cell>
          <cell r="BA128">
            <v>6891395.7699999996</v>
          </cell>
          <cell r="BB128">
            <v>6891395.7699999996</v>
          </cell>
        </row>
        <row r="129">
          <cell r="A129" t="str">
            <v>PREG</v>
          </cell>
          <cell r="B129">
            <v>7609768.6799999997</v>
          </cell>
          <cell r="C129">
            <v>7149835.5300000003</v>
          </cell>
          <cell r="D129">
            <v>6766702.4299999997</v>
          </cell>
          <cell r="E129">
            <v>6811667.0099999998</v>
          </cell>
          <cell r="F129">
            <v>6888785.71</v>
          </cell>
          <cell r="G129">
            <v>7937637.0199999996</v>
          </cell>
          <cell r="H129">
            <v>6535455.5800000001</v>
          </cell>
          <cell r="I129">
            <v>6913484.3899999997</v>
          </cell>
          <cell r="J129">
            <v>7020554.9699999997</v>
          </cell>
          <cell r="K129">
            <v>6797221.7999999998</v>
          </cell>
          <cell r="L129">
            <v>6534134.9299999997</v>
          </cell>
          <cell r="M129">
            <v>6322174.0800000001</v>
          </cell>
          <cell r="N129">
            <v>6525679.2999999998</v>
          </cell>
          <cell r="O129">
            <v>7365230.5700000003</v>
          </cell>
          <cell r="P129">
            <v>6008008.54</v>
          </cell>
          <cell r="Q129">
            <v>7172785.5800000001</v>
          </cell>
          <cell r="R129">
            <v>6706168.6299999999</v>
          </cell>
          <cell r="S129">
            <v>9595655</v>
          </cell>
          <cell r="T129">
            <v>8391881.0700000003</v>
          </cell>
          <cell r="U129">
            <v>7922855.5800000001</v>
          </cell>
          <cell r="V129">
            <v>7704238.4199999999</v>
          </cell>
          <cell r="W129">
            <v>9029699.9700000007</v>
          </cell>
          <cell r="X129">
            <v>9113701.1999999993</v>
          </cell>
          <cell r="Y129">
            <v>10752935.390000001</v>
          </cell>
        </row>
        <row r="130">
          <cell r="A130" t="str">
            <v>ptd</v>
          </cell>
          <cell r="B130">
            <v>7609768.6799999997</v>
          </cell>
          <cell r="C130">
            <v>14759604.210000001</v>
          </cell>
          <cell r="D130">
            <v>21526306.640000001</v>
          </cell>
          <cell r="E130">
            <v>28337973.649999999</v>
          </cell>
          <cell r="F130">
            <v>6888785.71</v>
          </cell>
          <cell r="G130">
            <v>14826422.73</v>
          </cell>
          <cell r="H130">
            <v>21361878.310000002</v>
          </cell>
          <cell r="I130">
            <v>28275362.700000003</v>
          </cell>
          <cell r="J130">
            <v>7020554.9699999997</v>
          </cell>
          <cell r="K130">
            <v>13817776.77</v>
          </cell>
          <cell r="L130">
            <v>20351911.699999999</v>
          </cell>
          <cell r="M130">
            <v>26674085.780000001</v>
          </cell>
          <cell r="N130">
            <v>6525679.2999999998</v>
          </cell>
          <cell r="O130">
            <v>13890909.870000001</v>
          </cell>
          <cell r="P130">
            <v>19898918.41</v>
          </cell>
          <cell r="Q130">
            <v>27071703.990000002</v>
          </cell>
          <cell r="R130">
            <v>6706168.6299999999</v>
          </cell>
          <cell r="S130">
            <v>16301823.629999999</v>
          </cell>
          <cell r="T130">
            <v>24693704.699999999</v>
          </cell>
          <cell r="U130">
            <v>32616560.280000001</v>
          </cell>
          <cell r="V130">
            <v>7704238.4199999999</v>
          </cell>
          <cell r="W130">
            <v>16733938.390000001</v>
          </cell>
          <cell r="X130">
            <v>25847639.59</v>
          </cell>
          <cell r="Y130">
            <v>36600574.980000004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</row>
        <row r="131">
          <cell r="A131" t="str">
            <v>qtd</v>
          </cell>
          <cell r="B131">
            <v>7609768.6799999997</v>
          </cell>
          <cell r="C131">
            <v>14759604.210000001</v>
          </cell>
          <cell r="D131">
            <v>21526306.640000001</v>
          </cell>
          <cell r="E131">
            <v>28337973.649999999</v>
          </cell>
          <cell r="F131">
            <v>35226759.359999999</v>
          </cell>
          <cell r="G131">
            <v>43164396.379999995</v>
          </cell>
          <cell r="H131">
            <v>49699851.959999993</v>
          </cell>
          <cell r="I131">
            <v>56613336.349999994</v>
          </cell>
          <cell r="J131">
            <v>63633891.319999993</v>
          </cell>
          <cell r="K131">
            <v>70431113.11999999</v>
          </cell>
          <cell r="L131">
            <v>76965248.049999982</v>
          </cell>
          <cell r="M131">
            <v>83287422.12999998</v>
          </cell>
          <cell r="N131">
            <v>6525679.2999999998</v>
          </cell>
          <cell r="O131">
            <v>13890909.870000001</v>
          </cell>
          <cell r="P131">
            <v>19898918.41</v>
          </cell>
          <cell r="Q131">
            <v>27071703.990000002</v>
          </cell>
          <cell r="R131">
            <v>33777872.620000005</v>
          </cell>
          <cell r="S131">
            <v>43373527.620000005</v>
          </cell>
          <cell r="T131">
            <v>51765408.690000005</v>
          </cell>
          <cell r="U131">
            <v>59688264.270000003</v>
          </cell>
          <cell r="V131">
            <v>67392502.689999998</v>
          </cell>
          <cell r="W131">
            <v>76422202.659999996</v>
          </cell>
          <cell r="X131">
            <v>85535903.859999999</v>
          </cell>
          <cell r="Y131">
            <v>96288839.25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</row>
        <row r="132">
          <cell r="A132" t="str">
            <v>ytd</v>
          </cell>
          <cell r="B132">
            <v>7609768.6799999997</v>
          </cell>
          <cell r="C132">
            <v>14759604.210000001</v>
          </cell>
          <cell r="D132">
            <v>21526306.640000001</v>
          </cell>
          <cell r="E132">
            <v>28337973.649999999</v>
          </cell>
          <cell r="F132">
            <v>35226759.359999999</v>
          </cell>
          <cell r="G132">
            <v>43164396.379999995</v>
          </cell>
          <cell r="H132">
            <v>49699851.959999993</v>
          </cell>
          <cell r="I132">
            <v>56613336.349999994</v>
          </cell>
          <cell r="J132">
            <v>63633891.319999993</v>
          </cell>
          <cell r="K132">
            <v>70431113.11999999</v>
          </cell>
          <cell r="L132">
            <v>76965248.049999982</v>
          </cell>
          <cell r="M132">
            <v>83287422.12999998</v>
          </cell>
          <cell r="N132">
            <v>89813101.429999977</v>
          </cell>
          <cell r="O132">
            <v>97178331.99999997</v>
          </cell>
          <cell r="P132">
            <v>103186340.53999998</v>
          </cell>
          <cell r="Q132">
            <v>110359126.11999997</v>
          </cell>
          <cell r="R132">
            <v>117065294.74999997</v>
          </cell>
          <cell r="S132">
            <v>126660949.74999997</v>
          </cell>
          <cell r="T132">
            <v>135052830.81999996</v>
          </cell>
          <cell r="U132">
            <v>142975686.39999998</v>
          </cell>
          <cell r="V132">
            <v>150679924.81999996</v>
          </cell>
          <cell r="W132">
            <v>159709624.78999996</v>
          </cell>
          <cell r="X132">
            <v>168823325.98999995</v>
          </cell>
          <cell r="Y132">
            <v>179576261.37999994</v>
          </cell>
          <cell r="Z132">
            <v>179576261.37999994</v>
          </cell>
          <cell r="AA132">
            <v>179576261.37999994</v>
          </cell>
          <cell r="AB132">
            <v>179576261.37999994</v>
          </cell>
          <cell r="AC132">
            <v>179576261.37999994</v>
          </cell>
          <cell r="AD132">
            <v>179576261.37999994</v>
          </cell>
          <cell r="AE132">
            <v>179576261.37999994</v>
          </cell>
          <cell r="AF132">
            <v>179576261.37999994</v>
          </cell>
          <cell r="AG132">
            <v>179576261.37999994</v>
          </cell>
          <cell r="AH132">
            <v>179576261.37999994</v>
          </cell>
          <cell r="AI132">
            <v>179576261.37999994</v>
          </cell>
          <cell r="AJ132">
            <v>179576261.37999994</v>
          </cell>
          <cell r="AK132">
            <v>179576261.37999994</v>
          </cell>
          <cell r="AL132">
            <v>179576261.37999994</v>
          </cell>
          <cell r="AM132">
            <v>179576261.37999994</v>
          </cell>
          <cell r="AN132">
            <v>179576261.37999994</v>
          </cell>
          <cell r="AO132">
            <v>179576261.37999994</v>
          </cell>
          <cell r="AP132">
            <v>179576261.37999994</v>
          </cell>
          <cell r="AQ132">
            <v>179576261.37999994</v>
          </cell>
          <cell r="AR132">
            <v>179576261.37999994</v>
          </cell>
          <cell r="AS132">
            <v>179576261.37999994</v>
          </cell>
          <cell r="AT132">
            <v>179576261.37999994</v>
          </cell>
          <cell r="AU132">
            <v>179576261.37999994</v>
          </cell>
          <cell r="AV132">
            <v>179576261.37999994</v>
          </cell>
          <cell r="AW132">
            <v>179576261.37999994</v>
          </cell>
          <cell r="AX132">
            <v>179576261.37999994</v>
          </cell>
          <cell r="AY132">
            <v>179576261.37999994</v>
          </cell>
          <cell r="AZ132">
            <v>179576261.37999994</v>
          </cell>
          <cell r="BA132">
            <v>179576261.37999994</v>
          </cell>
          <cell r="BB132">
            <v>179576261.37999994</v>
          </cell>
        </row>
        <row r="133">
          <cell r="A133" t="str">
            <v>SPRT</v>
          </cell>
          <cell r="B133">
            <v>150731.49</v>
          </cell>
          <cell r="C133">
            <v>139443.54</v>
          </cell>
          <cell r="D133">
            <v>114846.08</v>
          </cell>
          <cell r="E133">
            <v>145608.76999999999</v>
          </cell>
          <cell r="F133">
            <v>119959.49</v>
          </cell>
          <cell r="G133">
            <v>205536.31</v>
          </cell>
          <cell r="H133">
            <v>115881.41</v>
          </cell>
          <cell r="I133">
            <v>114952.99</v>
          </cell>
          <cell r="J133">
            <v>130538.72</v>
          </cell>
          <cell r="K133">
            <v>134619.47</v>
          </cell>
          <cell r="L133">
            <v>123710.34</v>
          </cell>
          <cell r="M133">
            <v>265102.84999999998</v>
          </cell>
          <cell r="N133">
            <v>405463.97</v>
          </cell>
          <cell r="O133">
            <v>274725.03000000003</v>
          </cell>
          <cell r="P133">
            <v>219175.98</v>
          </cell>
          <cell r="Q133">
            <v>373292.25</v>
          </cell>
          <cell r="R133">
            <v>169961.74</v>
          </cell>
          <cell r="S133">
            <v>195708.63</v>
          </cell>
          <cell r="T133">
            <v>226314.21</v>
          </cell>
          <cell r="U133">
            <v>191113.46</v>
          </cell>
          <cell r="V133">
            <v>193799.99</v>
          </cell>
          <cell r="W133">
            <v>216958.82</v>
          </cell>
          <cell r="X133">
            <v>224169.06</v>
          </cell>
          <cell r="Y133">
            <v>416994.51</v>
          </cell>
        </row>
        <row r="134">
          <cell r="A134" t="str">
            <v>ptd</v>
          </cell>
          <cell r="B134">
            <v>150731.49</v>
          </cell>
          <cell r="C134">
            <v>290175.03000000003</v>
          </cell>
          <cell r="D134">
            <v>405021.11000000004</v>
          </cell>
          <cell r="E134">
            <v>550629.88</v>
          </cell>
          <cell r="F134">
            <v>119959.49</v>
          </cell>
          <cell r="G134">
            <v>325495.8</v>
          </cell>
          <cell r="H134">
            <v>441377.20999999996</v>
          </cell>
          <cell r="I134">
            <v>556330.19999999995</v>
          </cell>
          <cell r="J134">
            <v>130538.72</v>
          </cell>
          <cell r="K134">
            <v>265158.19</v>
          </cell>
          <cell r="L134">
            <v>388868.53</v>
          </cell>
          <cell r="M134">
            <v>653971.38</v>
          </cell>
          <cell r="N134">
            <v>405463.97</v>
          </cell>
          <cell r="O134">
            <v>680189</v>
          </cell>
          <cell r="P134">
            <v>899364.98</v>
          </cell>
          <cell r="Q134">
            <v>1272657.23</v>
          </cell>
          <cell r="R134">
            <v>169961.74</v>
          </cell>
          <cell r="S134">
            <v>365670.37</v>
          </cell>
          <cell r="T134">
            <v>591984.57999999996</v>
          </cell>
          <cell r="U134">
            <v>783098.03999999992</v>
          </cell>
          <cell r="V134">
            <v>193799.99</v>
          </cell>
          <cell r="W134">
            <v>410758.81</v>
          </cell>
          <cell r="X134">
            <v>634927.87</v>
          </cell>
          <cell r="Y134">
            <v>1051922.3799999999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</row>
        <row r="135">
          <cell r="A135" t="str">
            <v>qtd</v>
          </cell>
          <cell r="B135">
            <v>150731.49</v>
          </cell>
          <cell r="C135">
            <v>290175.03000000003</v>
          </cell>
          <cell r="D135">
            <v>405021.11000000004</v>
          </cell>
          <cell r="E135">
            <v>550629.88</v>
          </cell>
          <cell r="F135">
            <v>670589.37</v>
          </cell>
          <cell r="G135">
            <v>876125.67999999993</v>
          </cell>
          <cell r="H135">
            <v>992007.09</v>
          </cell>
          <cell r="I135">
            <v>1106960.08</v>
          </cell>
          <cell r="J135">
            <v>1237498.8</v>
          </cell>
          <cell r="K135">
            <v>1372118.27</v>
          </cell>
          <cell r="L135">
            <v>1495828.61</v>
          </cell>
          <cell r="M135">
            <v>1760931.46</v>
          </cell>
          <cell r="N135">
            <v>405463.97</v>
          </cell>
          <cell r="O135">
            <v>680189</v>
          </cell>
          <cell r="P135">
            <v>899364.98</v>
          </cell>
          <cell r="Q135">
            <v>1272657.23</v>
          </cell>
          <cell r="R135">
            <v>1442618.97</v>
          </cell>
          <cell r="S135">
            <v>1638327.6</v>
          </cell>
          <cell r="T135">
            <v>1864641.81</v>
          </cell>
          <cell r="U135">
            <v>2055755.27</v>
          </cell>
          <cell r="V135">
            <v>2249555.2599999998</v>
          </cell>
          <cell r="W135">
            <v>2466514.0799999996</v>
          </cell>
          <cell r="X135">
            <v>2690683.1399999997</v>
          </cell>
          <cell r="Y135">
            <v>3107677.6499999994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</row>
        <row r="136">
          <cell r="A136" t="str">
            <v>ytd</v>
          </cell>
          <cell r="B136">
            <v>150731.49</v>
          </cell>
          <cell r="C136">
            <v>290175.03000000003</v>
          </cell>
          <cell r="D136">
            <v>405021.11000000004</v>
          </cell>
          <cell r="E136">
            <v>550629.88</v>
          </cell>
          <cell r="F136">
            <v>670589.37</v>
          </cell>
          <cell r="G136">
            <v>876125.67999999993</v>
          </cell>
          <cell r="H136">
            <v>992007.09</v>
          </cell>
          <cell r="I136">
            <v>1106960.08</v>
          </cell>
          <cell r="J136">
            <v>1237498.8</v>
          </cell>
          <cell r="K136">
            <v>1372118.27</v>
          </cell>
          <cell r="L136">
            <v>1495828.61</v>
          </cell>
          <cell r="M136">
            <v>1760931.46</v>
          </cell>
          <cell r="N136">
            <v>2166395.4299999997</v>
          </cell>
          <cell r="O136">
            <v>2441120.46</v>
          </cell>
          <cell r="P136">
            <v>2660296.44</v>
          </cell>
          <cell r="Q136">
            <v>3033588.69</v>
          </cell>
          <cell r="R136">
            <v>3203550.4299999997</v>
          </cell>
          <cell r="S136">
            <v>3399259.0599999996</v>
          </cell>
          <cell r="T136">
            <v>3625573.2699999996</v>
          </cell>
          <cell r="U136">
            <v>3816686.7299999995</v>
          </cell>
          <cell r="V136">
            <v>4010486.7199999997</v>
          </cell>
          <cell r="W136">
            <v>4227445.54</v>
          </cell>
          <cell r="X136">
            <v>4451614.5999999996</v>
          </cell>
          <cell r="Y136">
            <v>4868609.1099999994</v>
          </cell>
          <cell r="Z136">
            <v>4868609.1099999994</v>
          </cell>
          <cell r="AA136">
            <v>4868609.1099999994</v>
          </cell>
          <cell r="AB136">
            <v>4868609.1099999994</v>
          </cell>
          <cell r="AC136">
            <v>4868609.1099999994</v>
          </cell>
          <cell r="AD136">
            <v>4868609.1099999994</v>
          </cell>
          <cell r="AE136">
            <v>4868609.1099999994</v>
          </cell>
          <cell r="AF136">
            <v>4868609.1099999994</v>
          </cell>
          <cell r="AG136">
            <v>4868609.1099999994</v>
          </cell>
          <cell r="AH136">
            <v>4868609.1099999994</v>
          </cell>
          <cell r="AI136">
            <v>4868609.1099999994</v>
          </cell>
          <cell r="AJ136">
            <v>4868609.1099999994</v>
          </cell>
          <cell r="AK136">
            <v>4868609.1099999994</v>
          </cell>
          <cell r="AL136">
            <v>4868609.1099999994</v>
          </cell>
          <cell r="AM136">
            <v>4868609.1099999994</v>
          </cell>
          <cell r="AN136">
            <v>4868609.1099999994</v>
          </cell>
          <cell r="AO136">
            <v>4868609.1099999994</v>
          </cell>
          <cell r="AP136">
            <v>4868609.1099999994</v>
          </cell>
          <cell r="AQ136">
            <v>4868609.1099999994</v>
          </cell>
          <cell r="AR136">
            <v>4868609.1099999994</v>
          </cell>
          <cell r="AS136">
            <v>4868609.1099999994</v>
          </cell>
          <cell r="AT136">
            <v>4868609.1099999994</v>
          </cell>
          <cell r="AU136">
            <v>4868609.1099999994</v>
          </cell>
          <cell r="AV136">
            <v>4868609.1099999994</v>
          </cell>
          <cell r="AW136">
            <v>4868609.1099999994</v>
          </cell>
          <cell r="AX136">
            <v>4868609.1099999994</v>
          </cell>
          <cell r="AY136">
            <v>4868609.1099999994</v>
          </cell>
          <cell r="AZ136">
            <v>4868609.1099999994</v>
          </cell>
          <cell r="BA136">
            <v>4868609.1099999994</v>
          </cell>
          <cell r="BB136">
            <v>4868609.1099999994</v>
          </cell>
        </row>
        <row r="137">
          <cell r="A137" t="str">
            <v>TELE</v>
          </cell>
          <cell r="B137">
            <v>4650654.7699999996</v>
          </cell>
          <cell r="C137">
            <v>4474797.43</v>
          </cell>
          <cell r="D137">
            <v>4559468.2300000004</v>
          </cell>
          <cell r="E137">
            <v>4952903.7300000004</v>
          </cell>
          <cell r="F137">
            <v>5292115.91</v>
          </cell>
          <cell r="G137">
            <v>4978362.6100000003</v>
          </cell>
          <cell r="H137">
            <v>4776632.91</v>
          </cell>
          <cell r="I137">
            <v>4945029.29</v>
          </cell>
          <cell r="J137">
            <v>5105893.99</v>
          </cell>
          <cell r="K137">
            <v>4650010.58</v>
          </cell>
          <cell r="L137">
            <v>4523538.62</v>
          </cell>
          <cell r="M137">
            <v>4426798.3099999996</v>
          </cell>
          <cell r="N137">
            <v>4993930.62</v>
          </cell>
          <cell r="O137">
            <v>4732569.3099999996</v>
          </cell>
          <cell r="P137">
            <v>4492781.83</v>
          </cell>
          <cell r="Q137">
            <v>4550150.47</v>
          </cell>
          <cell r="R137">
            <v>5075228.3</v>
          </cell>
          <cell r="S137">
            <v>5138119.05</v>
          </cell>
          <cell r="T137">
            <v>4954287.6399999997</v>
          </cell>
          <cell r="U137">
            <v>4916056.18</v>
          </cell>
          <cell r="V137">
            <v>4779591.0999999996</v>
          </cell>
          <cell r="W137">
            <v>6296861.5099999998</v>
          </cell>
          <cell r="X137">
            <v>6749103.9199999999</v>
          </cell>
          <cell r="Y137">
            <v>6052736.7000000002</v>
          </cell>
        </row>
        <row r="138">
          <cell r="A138" t="str">
            <v>ptd</v>
          </cell>
          <cell r="B138">
            <v>4650654.7699999996</v>
          </cell>
          <cell r="C138">
            <v>9125452.1999999993</v>
          </cell>
          <cell r="D138">
            <v>13684920.43</v>
          </cell>
          <cell r="E138">
            <v>18637824.16</v>
          </cell>
          <cell r="F138">
            <v>5292115.91</v>
          </cell>
          <cell r="G138">
            <v>10270478.52</v>
          </cell>
          <cell r="H138">
            <v>15047111.43</v>
          </cell>
          <cell r="I138">
            <v>19992140.719999999</v>
          </cell>
          <cell r="J138">
            <v>5105893.99</v>
          </cell>
          <cell r="K138">
            <v>9755904.5700000003</v>
          </cell>
          <cell r="L138">
            <v>14279443.190000001</v>
          </cell>
          <cell r="M138">
            <v>18706241.5</v>
          </cell>
          <cell r="N138">
            <v>4993930.62</v>
          </cell>
          <cell r="O138">
            <v>9726499.9299999997</v>
          </cell>
          <cell r="P138">
            <v>14219281.76</v>
          </cell>
          <cell r="Q138">
            <v>18769432.23</v>
          </cell>
          <cell r="R138">
            <v>5075228.3</v>
          </cell>
          <cell r="S138">
            <v>10213347.35</v>
          </cell>
          <cell r="T138">
            <v>15167634.989999998</v>
          </cell>
          <cell r="U138">
            <v>20083691.169999998</v>
          </cell>
          <cell r="V138">
            <v>4779591.0999999996</v>
          </cell>
          <cell r="W138">
            <v>11076452.609999999</v>
          </cell>
          <cell r="X138">
            <v>17825556.530000001</v>
          </cell>
          <cell r="Y138">
            <v>23878293.23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</row>
        <row r="139">
          <cell r="A139" t="str">
            <v>qtd</v>
          </cell>
          <cell r="B139">
            <v>4650654.7699999996</v>
          </cell>
          <cell r="C139">
            <v>9125452.1999999993</v>
          </cell>
          <cell r="D139">
            <v>13684920.43</v>
          </cell>
          <cell r="E139">
            <v>18637824.16</v>
          </cell>
          <cell r="F139">
            <v>23929940.07</v>
          </cell>
          <cell r="G139">
            <v>28908302.68</v>
          </cell>
          <cell r="H139">
            <v>33684935.590000004</v>
          </cell>
          <cell r="I139">
            <v>38629964.880000003</v>
          </cell>
          <cell r="J139">
            <v>43735858.870000005</v>
          </cell>
          <cell r="K139">
            <v>48385869.450000003</v>
          </cell>
          <cell r="L139">
            <v>52909408.07</v>
          </cell>
          <cell r="M139">
            <v>57336206.380000003</v>
          </cell>
          <cell r="N139">
            <v>4993930.62</v>
          </cell>
          <cell r="O139">
            <v>9726499.9299999997</v>
          </cell>
          <cell r="P139">
            <v>14219281.76</v>
          </cell>
          <cell r="Q139">
            <v>18769432.23</v>
          </cell>
          <cell r="R139">
            <v>23844660.530000001</v>
          </cell>
          <cell r="S139">
            <v>28982779.580000002</v>
          </cell>
          <cell r="T139">
            <v>33937067.219999999</v>
          </cell>
          <cell r="U139">
            <v>38853123.399999999</v>
          </cell>
          <cell r="V139">
            <v>43632714.5</v>
          </cell>
          <cell r="W139">
            <v>49929576.009999998</v>
          </cell>
          <cell r="X139">
            <v>56678679.93</v>
          </cell>
          <cell r="Y139">
            <v>62731416.630000003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</row>
        <row r="140">
          <cell r="A140" t="str">
            <v>ytd</v>
          </cell>
          <cell r="B140">
            <v>4650654.7699999996</v>
          </cell>
          <cell r="C140">
            <v>9125452.1999999993</v>
          </cell>
          <cell r="D140">
            <v>13684920.43</v>
          </cell>
          <cell r="E140">
            <v>18637824.16</v>
          </cell>
          <cell r="F140">
            <v>23929940.07</v>
          </cell>
          <cell r="G140">
            <v>28908302.68</v>
          </cell>
          <cell r="H140">
            <v>33684935.590000004</v>
          </cell>
          <cell r="I140">
            <v>38629964.880000003</v>
          </cell>
          <cell r="J140">
            <v>43735858.870000005</v>
          </cell>
          <cell r="K140">
            <v>48385869.450000003</v>
          </cell>
          <cell r="L140">
            <v>52909408.07</v>
          </cell>
          <cell r="M140">
            <v>57336206.380000003</v>
          </cell>
          <cell r="N140">
            <v>62330137</v>
          </cell>
          <cell r="O140">
            <v>67062706.310000002</v>
          </cell>
          <cell r="P140">
            <v>71555488.140000001</v>
          </cell>
          <cell r="Q140">
            <v>76105638.609999999</v>
          </cell>
          <cell r="R140">
            <v>81180866.909999996</v>
          </cell>
          <cell r="S140">
            <v>86318985.959999993</v>
          </cell>
          <cell r="T140">
            <v>91273273.599999994</v>
          </cell>
          <cell r="U140">
            <v>96189329.780000001</v>
          </cell>
          <cell r="V140">
            <v>100968920.88</v>
          </cell>
          <cell r="W140">
            <v>107265782.39</v>
          </cell>
          <cell r="X140">
            <v>114014886.31</v>
          </cell>
          <cell r="Y140">
            <v>120067623.01000001</v>
          </cell>
          <cell r="Z140">
            <v>120067623.01000001</v>
          </cell>
          <cell r="AA140">
            <v>120067623.01000001</v>
          </cell>
          <cell r="AB140">
            <v>120067623.01000001</v>
          </cell>
          <cell r="AC140">
            <v>120067623.01000001</v>
          </cell>
          <cell r="AD140">
            <v>120067623.01000001</v>
          </cell>
          <cell r="AE140">
            <v>120067623.01000001</v>
          </cell>
          <cell r="AF140">
            <v>120067623.01000001</v>
          </cell>
          <cell r="AG140">
            <v>120067623.01000001</v>
          </cell>
          <cell r="AH140">
            <v>120067623.01000001</v>
          </cell>
          <cell r="AI140">
            <v>120067623.01000001</v>
          </cell>
          <cell r="AJ140">
            <v>120067623.01000001</v>
          </cell>
          <cell r="AK140">
            <v>120067623.01000001</v>
          </cell>
          <cell r="AL140">
            <v>120067623.01000001</v>
          </cell>
          <cell r="AM140">
            <v>120067623.01000001</v>
          </cell>
          <cell r="AN140">
            <v>120067623.01000001</v>
          </cell>
          <cell r="AO140">
            <v>120067623.01000001</v>
          </cell>
          <cell r="AP140">
            <v>120067623.01000001</v>
          </cell>
          <cell r="AQ140">
            <v>120067623.01000001</v>
          </cell>
          <cell r="AR140">
            <v>120067623.01000001</v>
          </cell>
          <cell r="AS140">
            <v>120067623.01000001</v>
          </cell>
          <cell r="AT140">
            <v>120067623.01000001</v>
          </cell>
          <cell r="AU140">
            <v>120067623.01000001</v>
          </cell>
          <cell r="AV140">
            <v>120067623.01000001</v>
          </cell>
          <cell r="AW140">
            <v>120067623.01000001</v>
          </cell>
          <cell r="AX140">
            <v>120067623.01000001</v>
          </cell>
          <cell r="AY140">
            <v>120067623.01000001</v>
          </cell>
          <cell r="AZ140">
            <v>120067623.01000001</v>
          </cell>
          <cell r="BA140">
            <v>120067623.01000001</v>
          </cell>
          <cell r="BB140">
            <v>120067623.01000001</v>
          </cell>
        </row>
        <row r="141">
          <cell r="A141" t="str">
            <v>TICK</v>
          </cell>
          <cell r="B141">
            <v>89184.39</v>
          </cell>
          <cell r="C141">
            <v>113726.34</v>
          </cell>
          <cell r="D141">
            <v>125416.86</v>
          </cell>
          <cell r="E141">
            <v>150689.24</v>
          </cell>
          <cell r="F141">
            <v>167067.17000000001</v>
          </cell>
          <cell r="G141">
            <v>284934.15999999997</v>
          </cell>
          <cell r="H141">
            <v>321561.76</v>
          </cell>
          <cell r="I141">
            <v>276018.98</v>
          </cell>
          <cell r="J141">
            <v>283102.98</v>
          </cell>
          <cell r="K141">
            <v>286814.73</v>
          </cell>
          <cell r="L141">
            <v>357325.51</v>
          </cell>
          <cell r="M141">
            <v>389931.11</v>
          </cell>
          <cell r="N141">
            <v>344300.94</v>
          </cell>
          <cell r="O141">
            <v>512093.12</v>
          </cell>
          <cell r="P141">
            <v>526348.18999999994</v>
          </cell>
          <cell r="Q141">
            <v>633685.67000000004</v>
          </cell>
          <cell r="R141">
            <v>480339.79</v>
          </cell>
          <cell r="S141">
            <v>460998.99</v>
          </cell>
          <cell r="T141">
            <v>532701.92000000004</v>
          </cell>
          <cell r="U141">
            <v>927677.08</v>
          </cell>
          <cell r="V141">
            <v>1110953.1399999999</v>
          </cell>
          <cell r="W141">
            <v>1169834.21</v>
          </cell>
          <cell r="X141">
            <v>1323252.24</v>
          </cell>
          <cell r="Y141">
            <v>1534987.05</v>
          </cell>
        </row>
        <row r="142">
          <cell r="A142" t="str">
            <v>ptd</v>
          </cell>
          <cell r="B142">
            <v>89184.39</v>
          </cell>
          <cell r="C142">
            <v>202910.72999999998</v>
          </cell>
          <cell r="D142">
            <v>328327.58999999997</v>
          </cell>
          <cell r="E142">
            <v>479016.82999999996</v>
          </cell>
          <cell r="F142">
            <v>167067.17000000001</v>
          </cell>
          <cell r="G142">
            <v>452001.32999999996</v>
          </cell>
          <cell r="H142">
            <v>773563.09</v>
          </cell>
          <cell r="I142">
            <v>1049582.0699999998</v>
          </cell>
          <cell r="J142">
            <v>283102.98</v>
          </cell>
          <cell r="K142">
            <v>569917.71</v>
          </cell>
          <cell r="L142">
            <v>927243.22</v>
          </cell>
          <cell r="M142">
            <v>1317174.33</v>
          </cell>
          <cell r="N142">
            <v>344300.94</v>
          </cell>
          <cell r="O142">
            <v>856394.06</v>
          </cell>
          <cell r="P142">
            <v>1382742.25</v>
          </cell>
          <cell r="Q142">
            <v>2016427.92</v>
          </cell>
          <cell r="R142">
            <v>480339.79</v>
          </cell>
          <cell r="S142">
            <v>941338.78</v>
          </cell>
          <cell r="T142">
            <v>1474040.7000000002</v>
          </cell>
          <cell r="U142">
            <v>2401717.7800000003</v>
          </cell>
          <cell r="V142">
            <v>1110953.1399999999</v>
          </cell>
          <cell r="W142">
            <v>2280787.3499999996</v>
          </cell>
          <cell r="X142">
            <v>3604039.59</v>
          </cell>
          <cell r="Y142">
            <v>5139026.6399999997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</row>
        <row r="143">
          <cell r="A143" t="str">
            <v>qtd</v>
          </cell>
          <cell r="B143">
            <v>89184.39</v>
          </cell>
          <cell r="C143">
            <v>202910.72999999998</v>
          </cell>
          <cell r="D143">
            <v>328327.58999999997</v>
          </cell>
          <cell r="E143">
            <v>479016.82999999996</v>
          </cell>
          <cell r="F143">
            <v>646084</v>
          </cell>
          <cell r="G143">
            <v>931018.15999999992</v>
          </cell>
          <cell r="H143">
            <v>1252579.92</v>
          </cell>
          <cell r="I143">
            <v>1528598.9</v>
          </cell>
          <cell r="J143">
            <v>1811701.88</v>
          </cell>
          <cell r="K143">
            <v>2098516.61</v>
          </cell>
          <cell r="L143">
            <v>2455842.12</v>
          </cell>
          <cell r="M143">
            <v>2845773.23</v>
          </cell>
          <cell r="N143">
            <v>344300.94</v>
          </cell>
          <cell r="O143">
            <v>856394.06</v>
          </cell>
          <cell r="P143">
            <v>1382742.25</v>
          </cell>
          <cell r="Q143">
            <v>2016427.92</v>
          </cell>
          <cell r="R143">
            <v>2496767.71</v>
          </cell>
          <cell r="S143">
            <v>2957766.7</v>
          </cell>
          <cell r="T143">
            <v>3490468.62</v>
          </cell>
          <cell r="U143">
            <v>4418145.7</v>
          </cell>
          <cell r="V143">
            <v>5529098.8399999999</v>
          </cell>
          <cell r="W143">
            <v>6698933.0499999998</v>
          </cell>
          <cell r="X143">
            <v>8022185.29</v>
          </cell>
          <cell r="Y143">
            <v>9557172.3399999999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</row>
        <row r="144">
          <cell r="A144" t="str">
            <v>ytd</v>
          </cell>
          <cell r="B144">
            <v>89184.39</v>
          </cell>
          <cell r="C144">
            <v>202910.72999999998</v>
          </cell>
          <cell r="D144">
            <v>328327.58999999997</v>
          </cell>
          <cell r="E144">
            <v>479016.82999999996</v>
          </cell>
          <cell r="F144">
            <v>646084</v>
          </cell>
          <cell r="G144">
            <v>931018.15999999992</v>
          </cell>
          <cell r="H144">
            <v>1252579.92</v>
          </cell>
          <cell r="I144">
            <v>1528598.9</v>
          </cell>
          <cell r="J144">
            <v>1811701.88</v>
          </cell>
          <cell r="K144">
            <v>2098516.61</v>
          </cell>
          <cell r="L144">
            <v>2455842.12</v>
          </cell>
          <cell r="M144">
            <v>2845773.23</v>
          </cell>
          <cell r="N144">
            <v>3190074.17</v>
          </cell>
          <cell r="O144">
            <v>3702167.29</v>
          </cell>
          <cell r="P144">
            <v>4228515.4800000004</v>
          </cell>
          <cell r="Q144">
            <v>4862201.1500000004</v>
          </cell>
          <cell r="R144">
            <v>5342540.9400000004</v>
          </cell>
          <cell r="S144">
            <v>5803539.9300000006</v>
          </cell>
          <cell r="T144">
            <v>6336241.8500000006</v>
          </cell>
          <cell r="U144">
            <v>7263918.9300000006</v>
          </cell>
          <cell r="V144">
            <v>8374872.0700000003</v>
          </cell>
          <cell r="W144">
            <v>9544706.2800000012</v>
          </cell>
          <cell r="X144">
            <v>10867958.520000001</v>
          </cell>
          <cell r="Y144">
            <v>12402945.570000002</v>
          </cell>
          <cell r="Z144">
            <v>12402945.570000002</v>
          </cell>
          <cell r="AA144">
            <v>12402945.570000002</v>
          </cell>
          <cell r="AB144">
            <v>12402945.570000002</v>
          </cell>
          <cell r="AC144">
            <v>12402945.570000002</v>
          </cell>
          <cell r="AD144">
            <v>12402945.570000002</v>
          </cell>
          <cell r="AE144">
            <v>12402945.570000002</v>
          </cell>
          <cell r="AF144">
            <v>12402945.570000002</v>
          </cell>
          <cell r="AG144">
            <v>12402945.570000002</v>
          </cell>
          <cell r="AH144">
            <v>12402945.570000002</v>
          </cell>
          <cell r="AI144">
            <v>12402945.570000002</v>
          </cell>
          <cell r="AJ144">
            <v>12402945.570000002</v>
          </cell>
          <cell r="AK144">
            <v>12402945.570000002</v>
          </cell>
          <cell r="AL144">
            <v>12402945.570000002</v>
          </cell>
          <cell r="AM144">
            <v>12402945.570000002</v>
          </cell>
          <cell r="AN144">
            <v>12402945.570000002</v>
          </cell>
          <cell r="AO144">
            <v>12402945.570000002</v>
          </cell>
          <cell r="AP144">
            <v>12402945.570000002</v>
          </cell>
          <cell r="AQ144">
            <v>12402945.570000002</v>
          </cell>
          <cell r="AR144">
            <v>12402945.570000002</v>
          </cell>
          <cell r="AS144">
            <v>12402945.570000002</v>
          </cell>
          <cell r="AT144">
            <v>12402945.570000002</v>
          </cell>
          <cell r="AU144">
            <v>12402945.570000002</v>
          </cell>
          <cell r="AV144">
            <v>12402945.570000002</v>
          </cell>
          <cell r="AW144">
            <v>12402945.570000002</v>
          </cell>
          <cell r="AX144">
            <v>12402945.570000002</v>
          </cell>
          <cell r="AY144">
            <v>12402945.570000002</v>
          </cell>
          <cell r="AZ144">
            <v>12402945.570000002</v>
          </cell>
          <cell r="BA144">
            <v>12402945.570000002</v>
          </cell>
          <cell r="BB144">
            <v>12402945.570000002</v>
          </cell>
        </row>
        <row r="145">
          <cell r="A145" t="str">
            <v>UNKN</v>
          </cell>
          <cell r="M145">
            <v>25</v>
          </cell>
          <cell r="T145">
            <v>30</v>
          </cell>
          <cell r="U145">
            <v>20</v>
          </cell>
          <cell r="V145">
            <v>40</v>
          </cell>
          <cell r="W145">
            <v>765</v>
          </cell>
          <cell r="X145">
            <v>5425</v>
          </cell>
          <cell r="Y145">
            <v>13155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25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30</v>
          </cell>
          <cell r="U146">
            <v>50</v>
          </cell>
          <cell r="V146">
            <v>40</v>
          </cell>
          <cell r="W146">
            <v>805</v>
          </cell>
          <cell r="X146">
            <v>6230</v>
          </cell>
          <cell r="Y146">
            <v>19385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25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30</v>
          </cell>
          <cell r="U147">
            <v>50</v>
          </cell>
          <cell r="V147">
            <v>90</v>
          </cell>
          <cell r="W147">
            <v>855</v>
          </cell>
          <cell r="X147">
            <v>6280</v>
          </cell>
          <cell r="Y147">
            <v>19435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25</v>
          </cell>
          <cell r="N148">
            <v>25</v>
          </cell>
          <cell r="O148">
            <v>25</v>
          </cell>
          <cell r="P148">
            <v>25</v>
          </cell>
          <cell r="Q148">
            <v>25</v>
          </cell>
          <cell r="R148">
            <v>25</v>
          </cell>
          <cell r="S148">
            <v>25</v>
          </cell>
          <cell r="T148">
            <v>55</v>
          </cell>
          <cell r="U148">
            <v>75</v>
          </cell>
          <cell r="V148">
            <v>115</v>
          </cell>
          <cell r="W148">
            <v>880</v>
          </cell>
          <cell r="X148">
            <v>6305</v>
          </cell>
          <cell r="Y148">
            <v>19460</v>
          </cell>
          <cell r="Z148">
            <v>19460</v>
          </cell>
          <cell r="AA148">
            <v>19460</v>
          </cell>
          <cell r="AB148">
            <v>19460</v>
          </cell>
          <cell r="AC148">
            <v>19460</v>
          </cell>
          <cell r="AD148">
            <v>19460</v>
          </cell>
          <cell r="AE148">
            <v>19460</v>
          </cell>
          <cell r="AF148">
            <v>19460</v>
          </cell>
          <cell r="AG148">
            <v>19460</v>
          </cell>
          <cell r="AH148">
            <v>19460</v>
          </cell>
          <cell r="AI148">
            <v>19460</v>
          </cell>
          <cell r="AJ148">
            <v>19460</v>
          </cell>
          <cell r="AK148">
            <v>19460</v>
          </cell>
          <cell r="AL148">
            <v>19460</v>
          </cell>
          <cell r="AM148">
            <v>19460</v>
          </cell>
          <cell r="AN148">
            <v>19460</v>
          </cell>
          <cell r="AO148">
            <v>19460</v>
          </cell>
          <cell r="AP148">
            <v>19460</v>
          </cell>
          <cell r="AQ148">
            <v>19460</v>
          </cell>
          <cell r="AR148">
            <v>19460</v>
          </cell>
          <cell r="AS148">
            <v>19460</v>
          </cell>
          <cell r="AT148">
            <v>19460</v>
          </cell>
          <cell r="AU148">
            <v>19460</v>
          </cell>
          <cell r="AV148">
            <v>19460</v>
          </cell>
          <cell r="AW148">
            <v>19460</v>
          </cell>
          <cell r="AX148">
            <v>19460</v>
          </cell>
          <cell r="AY148">
            <v>19460</v>
          </cell>
          <cell r="AZ148">
            <v>19460</v>
          </cell>
          <cell r="BA148">
            <v>19460</v>
          </cell>
          <cell r="BB148">
            <v>19460</v>
          </cell>
        </row>
        <row r="149">
          <cell r="A149" t="str">
            <v>TOTAL DISTRIBUTION</v>
          </cell>
          <cell r="B149">
            <v>27944764.449999999</v>
          </cell>
          <cell r="C149">
            <v>26096420.309999999</v>
          </cell>
          <cell r="D149">
            <v>25458299.109999999</v>
          </cell>
          <cell r="E149">
            <v>26263344.629999999</v>
          </cell>
          <cell r="F149">
            <v>28002938.640000001</v>
          </cell>
          <cell r="G149">
            <v>38169932.75</v>
          </cell>
          <cell r="H149">
            <v>26334275.960000001</v>
          </cell>
          <cell r="I149">
            <v>27136783.169999994</v>
          </cell>
          <cell r="J149">
            <v>27565034.020000003</v>
          </cell>
          <cell r="K149">
            <v>27039678.759999998</v>
          </cell>
          <cell r="L149">
            <v>26878738.189999998</v>
          </cell>
          <cell r="M149">
            <v>26985165.399999999</v>
          </cell>
          <cell r="N149">
            <v>29524735.350000001</v>
          </cell>
          <cell r="O149">
            <v>41377746.170000002</v>
          </cell>
          <cell r="P149">
            <v>28414032.549999997</v>
          </cell>
          <cell r="Q149">
            <v>32265454.289999999</v>
          </cell>
          <cell r="R149">
            <v>31551143.770000003</v>
          </cell>
          <cell r="S149">
            <v>50959285.600000001</v>
          </cell>
          <cell r="T149">
            <v>39818286.899999999</v>
          </cell>
          <cell r="U149">
            <v>34959443.530000001</v>
          </cell>
          <cell r="V149">
            <v>35383615.559999995</v>
          </cell>
          <cell r="W149">
            <v>41449261.330000006</v>
          </cell>
          <cell r="X149">
            <v>41991362.619999997</v>
          </cell>
          <cell r="Y149">
            <v>59344360.719999991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</row>
        <row r="150">
          <cell r="A150" t="str">
            <v>ptd</v>
          </cell>
          <cell r="B150">
            <v>27944764.449999999</v>
          </cell>
          <cell r="C150">
            <v>54041184.759999998</v>
          </cell>
          <cell r="D150">
            <v>79499483.870000005</v>
          </cell>
          <cell r="E150">
            <v>105762828.5</v>
          </cell>
          <cell r="F150">
            <v>28002938.640000001</v>
          </cell>
          <cell r="G150">
            <v>66172871.390000001</v>
          </cell>
          <cell r="H150">
            <v>92507147.349999994</v>
          </cell>
          <cell r="I150">
            <v>119643930.51999998</v>
          </cell>
          <cell r="J150">
            <v>27565034.020000003</v>
          </cell>
          <cell r="K150">
            <v>54604712.780000001</v>
          </cell>
          <cell r="L150">
            <v>81483450.969999999</v>
          </cell>
          <cell r="M150">
            <v>108468616.37</v>
          </cell>
          <cell r="N150">
            <v>29524735.350000001</v>
          </cell>
          <cell r="O150">
            <v>70902481.520000011</v>
          </cell>
          <cell r="P150">
            <v>99316514.070000008</v>
          </cell>
          <cell r="Q150">
            <v>131581968.36000001</v>
          </cell>
          <cell r="R150">
            <v>31551143.770000003</v>
          </cell>
          <cell r="S150">
            <v>82510429.370000005</v>
          </cell>
          <cell r="T150">
            <v>122328716.27000001</v>
          </cell>
          <cell r="U150">
            <v>157288159.80000001</v>
          </cell>
          <cell r="V150">
            <v>35383615.559999995</v>
          </cell>
          <cell r="W150">
            <v>76832876.890000001</v>
          </cell>
          <cell r="X150">
            <v>118824239.50999999</v>
          </cell>
          <cell r="Y150">
            <v>178168600.22999999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</row>
        <row r="151">
          <cell r="A151" t="str">
            <v>qtd</v>
          </cell>
          <cell r="B151">
            <v>27944764.449999999</v>
          </cell>
          <cell r="C151">
            <v>54041184.759999998</v>
          </cell>
          <cell r="D151">
            <v>79499483.870000005</v>
          </cell>
          <cell r="E151">
            <v>105762828.5</v>
          </cell>
          <cell r="F151">
            <v>133765767.14</v>
          </cell>
          <cell r="G151">
            <v>171935699.88999999</v>
          </cell>
          <cell r="H151">
            <v>198269975.84999999</v>
          </cell>
          <cell r="I151">
            <v>225406759.01999998</v>
          </cell>
          <cell r="J151">
            <v>252971793.03999999</v>
          </cell>
          <cell r="K151">
            <v>280011471.80000001</v>
          </cell>
          <cell r="L151">
            <v>306890209.99000001</v>
          </cell>
          <cell r="M151">
            <v>333875375.38999999</v>
          </cell>
          <cell r="N151">
            <v>29524735.350000001</v>
          </cell>
          <cell r="O151">
            <v>70902481.520000011</v>
          </cell>
          <cell r="P151">
            <v>99316514.070000008</v>
          </cell>
          <cell r="Q151">
            <v>131581968.36000001</v>
          </cell>
          <cell r="R151">
            <v>163133112.13000003</v>
          </cell>
          <cell r="S151">
            <v>214092397.73000002</v>
          </cell>
          <cell r="T151">
            <v>253910684.63000003</v>
          </cell>
          <cell r="U151">
            <v>288870128.16000003</v>
          </cell>
          <cell r="V151">
            <v>324253743.72000003</v>
          </cell>
          <cell r="W151">
            <v>365703005.05000001</v>
          </cell>
          <cell r="X151">
            <v>407694367.67000002</v>
          </cell>
          <cell r="Y151">
            <v>467038728.38999999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</row>
        <row r="152">
          <cell r="A152" t="str">
            <v>ytd</v>
          </cell>
          <cell r="B152">
            <v>27944764.449999999</v>
          </cell>
          <cell r="C152">
            <v>54041184.759999998</v>
          </cell>
          <cell r="D152">
            <v>79499483.870000005</v>
          </cell>
          <cell r="E152">
            <v>105762828.5</v>
          </cell>
          <cell r="F152">
            <v>133765767.14</v>
          </cell>
          <cell r="G152">
            <v>171935699.88999999</v>
          </cell>
          <cell r="H152">
            <v>198269975.84999999</v>
          </cell>
          <cell r="I152">
            <v>225406759.01999998</v>
          </cell>
          <cell r="J152">
            <v>252971793.03999999</v>
          </cell>
          <cell r="K152">
            <v>280011471.80000001</v>
          </cell>
          <cell r="L152">
            <v>306890209.99000001</v>
          </cell>
          <cell r="M152">
            <v>333875375.38999999</v>
          </cell>
          <cell r="N152">
            <v>363400110.74000001</v>
          </cell>
          <cell r="O152">
            <v>404777856.91000003</v>
          </cell>
          <cell r="P152">
            <v>433191889.46000004</v>
          </cell>
          <cell r="Q152">
            <v>465457343.75000006</v>
          </cell>
          <cell r="R152">
            <v>497008487.52000004</v>
          </cell>
          <cell r="S152">
            <v>547967773.12</v>
          </cell>
          <cell r="T152">
            <v>587786060.01999998</v>
          </cell>
          <cell r="U152">
            <v>622745503.54999995</v>
          </cell>
          <cell r="V152">
            <v>658129119.1099999</v>
          </cell>
          <cell r="W152">
            <v>699578380.43999994</v>
          </cell>
          <cell r="X152">
            <v>741569743.05999994</v>
          </cell>
          <cell r="Y152">
            <v>800914103.77999997</v>
          </cell>
          <cell r="Z152">
            <v>800914103.77999997</v>
          </cell>
          <cell r="AA152">
            <v>800914103.77999997</v>
          </cell>
          <cell r="AB152">
            <v>800914103.77999997</v>
          </cell>
          <cell r="AC152">
            <v>800914103.77999997</v>
          </cell>
          <cell r="AD152">
            <v>800914103.77999997</v>
          </cell>
          <cell r="AE152">
            <v>800914103.77999997</v>
          </cell>
          <cell r="AF152">
            <v>800914103.77999997</v>
          </cell>
          <cell r="AG152">
            <v>800914103.77999997</v>
          </cell>
          <cell r="AH152">
            <v>800914103.77999997</v>
          </cell>
          <cell r="AI152">
            <v>800914103.77999997</v>
          </cell>
          <cell r="AJ152">
            <v>800914103.77999997</v>
          </cell>
          <cell r="AK152">
            <v>800914103.77999997</v>
          </cell>
          <cell r="AL152">
            <v>800914103.77999997</v>
          </cell>
          <cell r="AM152">
            <v>800914103.77999997</v>
          </cell>
          <cell r="AN152">
            <v>800914103.77999997</v>
          </cell>
          <cell r="AO152">
            <v>800914103.77999997</v>
          </cell>
          <cell r="AP152">
            <v>800914103.77999997</v>
          </cell>
          <cell r="AQ152">
            <v>800914103.77999997</v>
          </cell>
          <cell r="AR152">
            <v>800914103.77999997</v>
          </cell>
          <cell r="AS152">
            <v>800914103.77999997</v>
          </cell>
          <cell r="AT152">
            <v>800914103.77999997</v>
          </cell>
          <cell r="AU152">
            <v>800914103.77999997</v>
          </cell>
          <cell r="AV152">
            <v>800914103.77999997</v>
          </cell>
          <cell r="AW152">
            <v>800914103.77999997</v>
          </cell>
          <cell r="AX152">
            <v>800914103.77999997</v>
          </cell>
          <cell r="AY152">
            <v>800914103.77999997</v>
          </cell>
          <cell r="AZ152">
            <v>800914103.77999997</v>
          </cell>
          <cell r="BA152">
            <v>800914103.77999997</v>
          </cell>
          <cell r="BB152">
            <v>800914103.77999997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166592.29999999999</v>
          </cell>
          <cell r="C159">
            <v>157627.98000000001</v>
          </cell>
          <cell r="D159">
            <v>148064.28</v>
          </cell>
          <cell r="E159">
            <v>155063.35</v>
          </cell>
          <cell r="F159">
            <v>165986.65</v>
          </cell>
          <cell r="G159">
            <v>236848.34</v>
          </cell>
          <cell r="H159">
            <v>160325.47</v>
          </cell>
          <cell r="I159">
            <v>180738.93</v>
          </cell>
          <cell r="J159">
            <v>176926.35</v>
          </cell>
          <cell r="K159">
            <v>186317.32</v>
          </cell>
          <cell r="L159">
            <v>247277</v>
          </cell>
          <cell r="M159">
            <v>196185.45</v>
          </cell>
          <cell r="N159">
            <v>184002.49</v>
          </cell>
          <cell r="O159">
            <v>191318.73</v>
          </cell>
          <cell r="P159">
            <v>145805.10999999999</v>
          </cell>
          <cell r="Q159">
            <v>157071.15</v>
          </cell>
          <cell r="R159">
            <v>180069.83</v>
          </cell>
          <cell r="S159">
            <v>175063.37</v>
          </cell>
          <cell r="T159">
            <v>174895.65</v>
          </cell>
          <cell r="U159">
            <v>183427.03</v>
          </cell>
          <cell r="V159">
            <v>178996.41</v>
          </cell>
          <cell r="W159">
            <v>196691.54</v>
          </cell>
          <cell r="X159">
            <v>239442.09</v>
          </cell>
          <cell r="Y159">
            <v>367147.79</v>
          </cell>
        </row>
        <row r="160">
          <cell r="A160" t="str">
            <v>ptd</v>
          </cell>
          <cell r="B160">
            <v>166592.29999999999</v>
          </cell>
          <cell r="C160">
            <v>324220.28000000003</v>
          </cell>
          <cell r="D160">
            <v>472284.56000000006</v>
          </cell>
          <cell r="E160">
            <v>627347.91</v>
          </cell>
          <cell r="F160">
            <v>165986.65</v>
          </cell>
          <cell r="G160">
            <v>402834.99</v>
          </cell>
          <cell r="H160">
            <v>563160.46</v>
          </cell>
          <cell r="I160">
            <v>743899.3899999999</v>
          </cell>
          <cell r="J160">
            <v>176926.35</v>
          </cell>
          <cell r="K160">
            <v>363243.67000000004</v>
          </cell>
          <cell r="L160">
            <v>610520.67000000004</v>
          </cell>
          <cell r="M160">
            <v>806706.12000000011</v>
          </cell>
          <cell r="N160">
            <v>184002.49</v>
          </cell>
          <cell r="O160">
            <v>375321.22</v>
          </cell>
          <cell r="P160">
            <v>521126.32999999996</v>
          </cell>
          <cell r="Q160">
            <v>678197.48</v>
          </cell>
          <cell r="R160">
            <v>180069.83</v>
          </cell>
          <cell r="S160">
            <v>355133.19999999995</v>
          </cell>
          <cell r="T160">
            <v>530028.85</v>
          </cell>
          <cell r="U160">
            <v>713455.88</v>
          </cell>
          <cell r="V160">
            <v>178996.41</v>
          </cell>
          <cell r="W160">
            <v>375687.95</v>
          </cell>
          <cell r="X160">
            <v>615130.04</v>
          </cell>
          <cell r="Y160">
            <v>982277.83000000007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</row>
        <row r="161">
          <cell r="A161" t="str">
            <v>qtd</v>
          </cell>
          <cell r="B161">
            <v>166592.29999999999</v>
          </cell>
          <cell r="C161">
            <v>324220.28000000003</v>
          </cell>
          <cell r="D161">
            <v>472284.56000000006</v>
          </cell>
          <cell r="E161">
            <v>627347.91</v>
          </cell>
          <cell r="F161">
            <v>793334.56</v>
          </cell>
          <cell r="G161">
            <v>1030182.9</v>
          </cell>
          <cell r="H161">
            <v>1190508.3700000001</v>
          </cell>
          <cell r="I161">
            <v>1371247.3</v>
          </cell>
          <cell r="J161">
            <v>1548173.6500000001</v>
          </cell>
          <cell r="K161">
            <v>1734490.9700000002</v>
          </cell>
          <cell r="L161">
            <v>1981767.9700000002</v>
          </cell>
          <cell r="M161">
            <v>2177953.4200000004</v>
          </cell>
          <cell r="N161">
            <v>184002.49</v>
          </cell>
          <cell r="O161">
            <v>375321.22</v>
          </cell>
          <cell r="P161">
            <v>521126.32999999996</v>
          </cell>
          <cell r="Q161">
            <v>678197.48</v>
          </cell>
          <cell r="R161">
            <v>858267.30999999994</v>
          </cell>
          <cell r="S161">
            <v>1033330.6799999999</v>
          </cell>
          <cell r="T161">
            <v>1208226.3299999998</v>
          </cell>
          <cell r="U161">
            <v>1391653.3599999999</v>
          </cell>
          <cell r="V161">
            <v>1570649.7699999998</v>
          </cell>
          <cell r="W161">
            <v>1767341.3099999998</v>
          </cell>
          <cell r="X161">
            <v>2006783.4</v>
          </cell>
          <cell r="Y161">
            <v>2373931.19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</row>
        <row r="162">
          <cell r="A162" t="str">
            <v>ytd</v>
          </cell>
          <cell r="B162">
            <v>166592.29999999999</v>
          </cell>
          <cell r="C162">
            <v>324220.28000000003</v>
          </cell>
          <cell r="D162">
            <v>472284.56000000006</v>
          </cell>
          <cell r="E162">
            <v>627347.91</v>
          </cell>
          <cell r="F162">
            <v>793334.56</v>
          </cell>
          <cell r="G162">
            <v>1030182.9</v>
          </cell>
          <cell r="H162">
            <v>1190508.3700000001</v>
          </cell>
          <cell r="I162">
            <v>1371247.3</v>
          </cell>
          <cell r="J162">
            <v>1548173.6500000001</v>
          </cell>
          <cell r="K162">
            <v>1734490.9700000002</v>
          </cell>
          <cell r="L162">
            <v>1981767.9700000002</v>
          </cell>
          <cell r="M162">
            <v>2177953.4200000004</v>
          </cell>
          <cell r="N162">
            <v>2361955.91</v>
          </cell>
          <cell r="O162">
            <v>2553274.64</v>
          </cell>
          <cell r="P162">
            <v>2699079.75</v>
          </cell>
          <cell r="Q162">
            <v>2856150.9</v>
          </cell>
          <cell r="R162">
            <v>3036220.73</v>
          </cell>
          <cell r="S162">
            <v>3211284.1</v>
          </cell>
          <cell r="T162">
            <v>3386179.75</v>
          </cell>
          <cell r="U162">
            <v>3569606.78</v>
          </cell>
          <cell r="V162">
            <v>3748603.19</v>
          </cell>
          <cell r="W162">
            <v>3945294.73</v>
          </cell>
          <cell r="X162">
            <v>4184736.82</v>
          </cell>
          <cell r="Y162">
            <v>4551884.6099999994</v>
          </cell>
          <cell r="Z162">
            <v>4551884.6099999994</v>
          </cell>
          <cell r="AA162">
            <v>4551884.6099999994</v>
          </cell>
          <cell r="AB162">
            <v>4551884.6099999994</v>
          </cell>
          <cell r="AC162">
            <v>4551884.6099999994</v>
          </cell>
          <cell r="AD162">
            <v>4551884.6099999994</v>
          </cell>
          <cell r="AE162">
            <v>4551884.6099999994</v>
          </cell>
          <cell r="AF162">
            <v>4551884.6099999994</v>
          </cell>
          <cell r="AG162">
            <v>4551884.6099999994</v>
          </cell>
          <cell r="AH162">
            <v>4551884.6099999994</v>
          </cell>
          <cell r="AI162">
            <v>4551884.6099999994</v>
          </cell>
          <cell r="AJ162">
            <v>4551884.6099999994</v>
          </cell>
          <cell r="AK162">
            <v>4551884.6099999994</v>
          </cell>
          <cell r="AL162">
            <v>4551884.6099999994</v>
          </cell>
          <cell r="AM162">
            <v>4551884.6099999994</v>
          </cell>
          <cell r="AN162">
            <v>4551884.6099999994</v>
          </cell>
          <cell r="AO162">
            <v>4551884.6099999994</v>
          </cell>
          <cell r="AP162">
            <v>4551884.6099999994</v>
          </cell>
          <cell r="AQ162">
            <v>4551884.6099999994</v>
          </cell>
          <cell r="AR162">
            <v>4551884.6099999994</v>
          </cell>
          <cell r="AS162">
            <v>4551884.6099999994</v>
          </cell>
          <cell r="AT162">
            <v>4551884.6099999994</v>
          </cell>
          <cell r="AU162">
            <v>4551884.6099999994</v>
          </cell>
          <cell r="AV162">
            <v>4551884.6099999994</v>
          </cell>
          <cell r="AW162">
            <v>4551884.6099999994</v>
          </cell>
          <cell r="AX162">
            <v>4551884.6099999994</v>
          </cell>
          <cell r="AY162">
            <v>4551884.6099999994</v>
          </cell>
          <cell r="AZ162">
            <v>4551884.6099999994</v>
          </cell>
          <cell r="BA162">
            <v>4551884.6099999994</v>
          </cell>
          <cell r="BB162">
            <v>4551884.6099999994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5523.36</v>
          </cell>
          <cell r="C171">
            <v>5670.11</v>
          </cell>
          <cell r="D171">
            <v>5403.79</v>
          </cell>
          <cell r="E171">
            <v>5575.61</v>
          </cell>
          <cell r="F171">
            <v>5383.33</v>
          </cell>
          <cell r="G171">
            <v>5465.44</v>
          </cell>
          <cell r="H171">
            <v>5515.36</v>
          </cell>
          <cell r="I171">
            <v>6343.26</v>
          </cell>
          <cell r="J171">
            <v>6269.47</v>
          </cell>
          <cell r="K171">
            <v>7422.82</v>
          </cell>
          <cell r="L171">
            <v>6018.05</v>
          </cell>
          <cell r="M171">
            <v>5973.77</v>
          </cell>
          <cell r="N171">
            <v>5987.3</v>
          </cell>
          <cell r="O171">
            <v>6317.18</v>
          </cell>
          <cell r="P171">
            <v>3713.07</v>
          </cell>
          <cell r="Q171">
            <v>4820.0200000000004</v>
          </cell>
          <cell r="R171">
            <v>6361.79</v>
          </cell>
          <cell r="S171">
            <v>4644.4799999999996</v>
          </cell>
          <cell r="T171">
            <v>5957.66</v>
          </cell>
          <cell r="U171">
            <v>5559.93</v>
          </cell>
          <cell r="V171">
            <v>5915.53</v>
          </cell>
          <cell r="W171">
            <v>6144.92</v>
          </cell>
          <cell r="X171">
            <v>6539.68</v>
          </cell>
          <cell r="Y171">
            <v>10735.35</v>
          </cell>
        </row>
        <row r="172">
          <cell r="A172" t="str">
            <v>ptd</v>
          </cell>
          <cell r="B172">
            <v>5523.36</v>
          </cell>
          <cell r="C172">
            <v>11193.47</v>
          </cell>
          <cell r="D172">
            <v>16597.259999999998</v>
          </cell>
          <cell r="E172">
            <v>22172.87</v>
          </cell>
          <cell r="F172">
            <v>5383.33</v>
          </cell>
          <cell r="G172">
            <v>10848.77</v>
          </cell>
          <cell r="H172">
            <v>16364.130000000001</v>
          </cell>
          <cell r="I172">
            <v>22707.39</v>
          </cell>
          <cell r="J172">
            <v>6269.47</v>
          </cell>
          <cell r="K172">
            <v>13692.29</v>
          </cell>
          <cell r="L172">
            <v>19710.34</v>
          </cell>
          <cell r="M172">
            <v>25684.11</v>
          </cell>
          <cell r="N172">
            <v>5987.3</v>
          </cell>
          <cell r="O172">
            <v>12304.48</v>
          </cell>
          <cell r="P172">
            <v>16017.55</v>
          </cell>
          <cell r="Q172">
            <v>20837.57</v>
          </cell>
          <cell r="R172">
            <v>6361.79</v>
          </cell>
          <cell r="S172">
            <v>11006.27</v>
          </cell>
          <cell r="T172">
            <v>16963.93</v>
          </cell>
          <cell r="U172">
            <v>22523.86</v>
          </cell>
          <cell r="V172">
            <v>5915.53</v>
          </cell>
          <cell r="W172">
            <v>12060.45</v>
          </cell>
          <cell r="X172">
            <v>18600.13</v>
          </cell>
          <cell r="Y172">
            <v>29335.480000000003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</row>
        <row r="173">
          <cell r="A173" t="str">
            <v>qtd</v>
          </cell>
          <cell r="B173">
            <v>5523.36</v>
          </cell>
          <cell r="C173">
            <v>11193.47</v>
          </cell>
          <cell r="D173">
            <v>16597.259999999998</v>
          </cell>
          <cell r="E173">
            <v>22172.87</v>
          </cell>
          <cell r="F173">
            <v>27556.199999999997</v>
          </cell>
          <cell r="G173">
            <v>33021.64</v>
          </cell>
          <cell r="H173">
            <v>38537</v>
          </cell>
          <cell r="I173">
            <v>44880.26</v>
          </cell>
          <cell r="J173">
            <v>51149.73</v>
          </cell>
          <cell r="K173">
            <v>58572.55</v>
          </cell>
          <cell r="L173">
            <v>64590.600000000006</v>
          </cell>
          <cell r="M173">
            <v>70564.37000000001</v>
          </cell>
          <cell r="N173">
            <v>5987.3</v>
          </cell>
          <cell r="O173">
            <v>12304.48</v>
          </cell>
          <cell r="P173">
            <v>16017.55</v>
          </cell>
          <cell r="Q173">
            <v>20837.57</v>
          </cell>
          <cell r="R173">
            <v>27199.360000000001</v>
          </cell>
          <cell r="S173">
            <v>31843.84</v>
          </cell>
          <cell r="T173">
            <v>37801.5</v>
          </cell>
          <cell r="U173">
            <v>43361.43</v>
          </cell>
          <cell r="V173">
            <v>49276.959999999999</v>
          </cell>
          <cell r="W173">
            <v>55421.88</v>
          </cell>
          <cell r="X173">
            <v>61961.56</v>
          </cell>
          <cell r="Y173">
            <v>72696.91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</row>
        <row r="174">
          <cell r="A174" t="str">
            <v>ytd</v>
          </cell>
          <cell r="B174">
            <v>5523.36</v>
          </cell>
          <cell r="C174">
            <v>11193.47</v>
          </cell>
          <cell r="D174">
            <v>16597.259999999998</v>
          </cell>
          <cell r="E174">
            <v>22172.87</v>
          </cell>
          <cell r="F174">
            <v>27556.199999999997</v>
          </cell>
          <cell r="G174">
            <v>33021.64</v>
          </cell>
          <cell r="H174">
            <v>38537</v>
          </cell>
          <cell r="I174">
            <v>44880.26</v>
          </cell>
          <cell r="J174">
            <v>51149.73</v>
          </cell>
          <cell r="K174">
            <v>58572.55</v>
          </cell>
          <cell r="L174">
            <v>64590.600000000006</v>
          </cell>
          <cell r="M174">
            <v>70564.37000000001</v>
          </cell>
          <cell r="N174">
            <v>76551.670000000013</v>
          </cell>
          <cell r="O174">
            <v>82868.850000000006</v>
          </cell>
          <cell r="P174">
            <v>86581.920000000013</v>
          </cell>
          <cell r="Q174">
            <v>91401.940000000017</v>
          </cell>
          <cell r="R174">
            <v>97763.73000000001</v>
          </cell>
          <cell r="S174">
            <v>102408.21</v>
          </cell>
          <cell r="T174">
            <v>108365.87000000001</v>
          </cell>
          <cell r="U174">
            <v>113925.80000000002</v>
          </cell>
          <cell r="V174">
            <v>119841.33000000002</v>
          </cell>
          <cell r="W174">
            <v>125986.25000000001</v>
          </cell>
          <cell r="X174">
            <v>132525.93000000002</v>
          </cell>
          <cell r="Y174">
            <v>143261.28000000003</v>
          </cell>
          <cell r="Z174">
            <v>143261.28000000003</v>
          </cell>
          <cell r="AA174">
            <v>143261.28000000003</v>
          </cell>
          <cell r="AB174">
            <v>143261.28000000003</v>
          </cell>
          <cell r="AC174">
            <v>143261.28000000003</v>
          </cell>
          <cell r="AD174">
            <v>143261.28000000003</v>
          </cell>
          <cell r="AE174">
            <v>143261.28000000003</v>
          </cell>
          <cell r="AF174">
            <v>143261.28000000003</v>
          </cell>
          <cell r="AG174">
            <v>143261.28000000003</v>
          </cell>
          <cell r="AH174">
            <v>143261.28000000003</v>
          </cell>
          <cell r="AI174">
            <v>143261.28000000003</v>
          </cell>
          <cell r="AJ174">
            <v>143261.28000000003</v>
          </cell>
          <cell r="AK174">
            <v>143261.28000000003</v>
          </cell>
          <cell r="AL174">
            <v>143261.28000000003</v>
          </cell>
          <cell r="AM174">
            <v>143261.28000000003</v>
          </cell>
          <cell r="AN174">
            <v>143261.28000000003</v>
          </cell>
          <cell r="AO174">
            <v>143261.28000000003</v>
          </cell>
          <cell r="AP174">
            <v>143261.28000000003</v>
          </cell>
          <cell r="AQ174">
            <v>143261.28000000003</v>
          </cell>
          <cell r="AR174">
            <v>143261.28000000003</v>
          </cell>
          <cell r="AS174">
            <v>143261.28000000003</v>
          </cell>
          <cell r="AT174">
            <v>143261.28000000003</v>
          </cell>
          <cell r="AU174">
            <v>143261.28000000003</v>
          </cell>
          <cell r="AV174">
            <v>143261.28000000003</v>
          </cell>
          <cell r="AW174">
            <v>143261.28000000003</v>
          </cell>
          <cell r="AX174">
            <v>143261.28000000003</v>
          </cell>
          <cell r="AY174">
            <v>143261.28000000003</v>
          </cell>
          <cell r="AZ174">
            <v>143261.28000000003</v>
          </cell>
          <cell r="BA174">
            <v>143261.28000000003</v>
          </cell>
          <cell r="BB174">
            <v>143261.28000000003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172115.65999999997</v>
          </cell>
          <cell r="C187">
            <v>163298.09</v>
          </cell>
          <cell r="D187">
            <v>153468.07</v>
          </cell>
          <cell r="E187">
            <v>160638.96</v>
          </cell>
          <cell r="F187">
            <v>171369.97999999998</v>
          </cell>
          <cell r="G187">
            <v>242313.78</v>
          </cell>
          <cell r="H187">
            <v>165840.82999999999</v>
          </cell>
          <cell r="I187">
            <v>187082.19</v>
          </cell>
          <cell r="J187">
            <v>183195.82</v>
          </cell>
          <cell r="K187">
            <v>193740.14</v>
          </cell>
          <cell r="L187">
            <v>253295.05</v>
          </cell>
          <cell r="M187">
            <v>202159.22</v>
          </cell>
          <cell r="N187">
            <v>189989.78999999998</v>
          </cell>
          <cell r="O187">
            <v>197635.91</v>
          </cell>
          <cell r="P187">
            <v>149518.18</v>
          </cell>
          <cell r="Q187">
            <v>161891.16999999998</v>
          </cell>
          <cell r="R187">
            <v>186431.62</v>
          </cell>
          <cell r="S187">
            <v>179707.85</v>
          </cell>
          <cell r="T187">
            <v>180853.31</v>
          </cell>
          <cell r="U187">
            <v>188986.96</v>
          </cell>
          <cell r="V187">
            <v>184911.94</v>
          </cell>
          <cell r="W187">
            <v>202836.46000000002</v>
          </cell>
          <cell r="X187">
            <v>245981.77</v>
          </cell>
          <cell r="Y187">
            <v>377883.13999999996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</row>
        <row r="188">
          <cell r="A188" t="str">
            <v>ptd</v>
          </cell>
          <cell r="B188">
            <v>172115.65999999997</v>
          </cell>
          <cell r="C188">
            <v>335413.75</v>
          </cell>
          <cell r="D188">
            <v>488881.82000000007</v>
          </cell>
          <cell r="E188">
            <v>649520.78</v>
          </cell>
          <cell r="F188">
            <v>171369.97999999998</v>
          </cell>
          <cell r="G188">
            <v>413683.76</v>
          </cell>
          <cell r="H188">
            <v>579524.59</v>
          </cell>
          <cell r="I188">
            <v>766606.77999999991</v>
          </cell>
          <cell r="J188">
            <v>183195.82</v>
          </cell>
          <cell r="K188">
            <v>376935.96</v>
          </cell>
          <cell r="L188">
            <v>630231.01</v>
          </cell>
          <cell r="M188">
            <v>832390.2300000001</v>
          </cell>
          <cell r="N188">
            <v>189989.78999999998</v>
          </cell>
          <cell r="O188">
            <v>387625.69999999995</v>
          </cell>
          <cell r="P188">
            <v>537143.88</v>
          </cell>
          <cell r="Q188">
            <v>699035.04999999993</v>
          </cell>
          <cell r="R188">
            <v>186431.62</v>
          </cell>
          <cell r="S188">
            <v>366139.47</v>
          </cell>
          <cell r="T188">
            <v>546992.78</v>
          </cell>
          <cell r="U188">
            <v>735979.74</v>
          </cell>
          <cell r="V188">
            <v>184911.94</v>
          </cell>
          <cell r="W188">
            <v>387748.4</v>
          </cell>
          <cell r="X188">
            <v>633730.17000000004</v>
          </cell>
          <cell r="Y188">
            <v>1011613.31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</row>
        <row r="189">
          <cell r="A189" t="str">
            <v>qtd</v>
          </cell>
          <cell r="B189">
            <v>172115.65999999997</v>
          </cell>
          <cell r="C189">
            <v>335413.75</v>
          </cell>
          <cell r="D189">
            <v>488881.82000000007</v>
          </cell>
          <cell r="E189">
            <v>649520.78</v>
          </cell>
          <cell r="F189">
            <v>820890.76</v>
          </cell>
          <cell r="G189">
            <v>1063204.54</v>
          </cell>
          <cell r="H189">
            <v>1229045.3700000001</v>
          </cell>
          <cell r="I189">
            <v>1416127.56</v>
          </cell>
          <cell r="J189">
            <v>1599323.3800000001</v>
          </cell>
          <cell r="K189">
            <v>1793063.5200000003</v>
          </cell>
          <cell r="L189">
            <v>2046358.5700000003</v>
          </cell>
          <cell r="M189">
            <v>2248517.7900000005</v>
          </cell>
          <cell r="N189">
            <v>189989.78999999998</v>
          </cell>
          <cell r="O189">
            <v>387625.69999999995</v>
          </cell>
          <cell r="P189">
            <v>537143.88</v>
          </cell>
          <cell r="Q189">
            <v>699035.04999999993</v>
          </cell>
          <cell r="R189">
            <v>885466.66999999993</v>
          </cell>
          <cell r="S189">
            <v>1065174.52</v>
          </cell>
          <cell r="T189">
            <v>1246027.8299999998</v>
          </cell>
          <cell r="U189">
            <v>1435014.7899999998</v>
          </cell>
          <cell r="V189">
            <v>1619926.7299999997</v>
          </cell>
          <cell r="W189">
            <v>1822763.1899999997</v>
          </cell>
          <cell r="X189">
            <v>2068744.96</v>
          </cell>
          <cell r="Y189">
            <v>2446628.1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</row>
        <row r="190">
          <cell r="A190" t="str">
            <v>ytd</v>
          </cell>
          <cell r="B190">
            <v>172115.65999999997</v>
          </cell>
          <cell r="C190">
            <v>335413.75</v>
          </cell>
          <cell r="D190">
            <v>488881.82000000007</v>
          </cell>
          <cell r="E190">
            <v>649520.78</v>
          </cell>
          <cell r="F190">
            <v>820890.76</v>
          </cell>
          <cell r="G190">
            <v>1063204.54</v>
          </cell>
          <cell r="H190">
            <v>1229045.3700000001</v>
          </cell>
          <cell r="I190">
            <v>1416127.56</v>
          </cell>
          <cell r="J190">
            <v>1599323.3800000001</v>
          </cell>
          <cell r="K190">
            <v>1793063.5200000003</v>
          </cell>
          <cell r="L190">
            <v>2046358.5700000003</v>
          </cell>
          <cell r="M190">
            <v>2248517.7900000005</v>
          </cell>
          <cell r="N190">
            <v>2438507.58</v>
          </cell>
          <cell r="O190">
            <v>2636143.4900000002</v>
          </cell>
          <cell r="P190">
            <v>2785661.67</v>
          </cell>
          <cell r="Q190">
            <v>2947552.84</v>
          </cell>
          <cell r="R190">
            <v>3133984.46</v>
          </cell>
          <cell r="S190">
            <v>3313692.31</v>
          </cell>
          <cell r="T190">
            <v>3494545.62</v>
          </cell>
          <cell r="U190">
            <v>3683532.5799999996</v>
          </cell>
          <cell r="V190">
            <v>3868444.52</v>
          </cell>
          <cell r="W190">
            <v>4071280.98</v>
          </cell>
          <cell r="X190">
            <v>4317262.75</v>
          </cell>
          <cell r="Y190">
            <v>4695145.8899999997</v>
          </cell>
          <cell r="Z190">
            <v>4695145.8899999997</v>
          </cell>
          <cell r="AA190">
            <v>4695145.8899999997</v>
          </cell>
          <cell r="AB190">
            <v>4695145.8899999997</v>
          </cell>
          <cell r="AC190">
            <v>4695145.8899999997</v>
          </cell>
          <cell r="AD190">
            <v>4695145.8899999997</v>
          </cell>
          <cell r="AE190">
            <v>4695145.8899999997</v>
          </cell>
          <cell r="AF190">
            <v>4695145.8899999997</v>
          </cell>
          <cell r="AG190">
            <v>4695145.8899999997</v>
          </cell>
          <cell r="AH190">
            <v>4695145.8899999997</v>
          </cell>
          <cell r="AI190">
            <v>4695145.8899999997</v>
          </cell>
          <cell r="AJ190">
            <v>4695145.8899999997</v>
          </cell>
          <cell r="AK190">
            <v>4695145.8899999997</v>
          </cell>
          <cell r="AL190">
            <v>4695145.8899999997</v>
          </cell>
          <cell r="AM190">
            <v>4695145.8899999997</v>
          </cell>
          <cell r="AN190">
            <v>4695145.8899999997</v>
          </cell>
          <cell r="AO190">
            <v>4695145.8899999997</v>
          </cell>
          <cell r="AP190">
            <v>4695145.8899999997</v>
          </cell>
          <cell r="AQ190">
            <v>4695145.8899999997</v>
          </cell>
          <cell r="AR190">
            <v>4695145.8899999997</v>
          </cell>
          <cell r="AS190">
            <v>4695145.8899999997</v>
          </cell>
          <cell r="AT190">
            <v>4695145.8899999997</v>
          </cell>
          <cell r="AU190">
            <v>4695145.8899999997</v>
          </cell>
          <cell r="AV190">
            <v>4695145.8899999997</v>
          </cell>
          <cell r="AW190">
            <v>4695145.8899999997</v>
          </cell>
          <cell r="AX190">
            <v>4695145.8899999997</v>
          </cell>
          <cell r="AY190">
            <v>4695145.8899999997</v>
          </cell>
          <cell r="AZ190">
            <v>4695145.8899999997</v>
          </cell>
          <cell r="BA190">
            <v>4695145.8899999997</v>
          </cell>
          <cell r="BB190">
            <v>4695145.8899999997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248246.03</v>
          </cell>
          <cell r="C235">
            <v>215921.61</v>
          </cell>
          <cell r="D235">
            <v>221094.97</v>
          </cell>
          <cell r="E235">
            <v>191413.43</v>
          </cell>
          <cell r="F235">
            <v>214079.4</v>
          </cell>
          <cell r="G235">
            <v>253854.24</v>
          </cell>
          <cell r="H235">
            <v>242115.46</v>
          </cell>
          <cell r="I235">
            <v>274747.28000000003</v>
          </cell>
          <cell r="J235">
            <v>261332.4</v>
          </cell>
          <cell r="K235">
            <v>280963.24</v>
          </cell>
          <cell r="L235">
            <v>289281.37</v>
          </cell>
          <cell r="M235">
            <v>279456.78000000003</v>
          </cell>
          <cell r="N235">
            <v>300676.81</v>
          </cell>
          <cell r="O235">
            <v>308911.39</v>
          </cell>
          <cell r="P235">
            <v>275838.95</v>
          </cell>
          <cell r="Q235">
            <v>272322.33</v>
          </cell>
          <cell r="R235">
            <v>330346.39</v>
          </cell>
          <cell r="S235">
            <v>534369.34</v>
          </cell>
          <cell r="T235">
            <v>342926</v>
          </cell>
          <cell r="U235">
            <v>349452.19</v>
          </cell>
          <cell r="V235">
            <v>382834.17</v>
          </cell>
          <cell r="W235">
            <v>477709.91</v>
          </cell>
          <cell r="X235">
            <v>413831.28</v>
          </cell>
          <cell r="Y235">
            <v>364656.7</v>
          </cell>
        </row>
        <row r="236">
          <cell r="A236" t="str">
            <v>ptd</v>
          </cell>
          <cell r="B236">
            <v>248246.03</v>
          </cell>
          <cell r="C236">
            <v>464167.64</v>
          </cell>
          <cell r="D236">
            <v>685262.61</v>
          </cell>
          <cell r="E236">
            <v>876676.04</v>
          </cell>
          <cell r="F236">
            <v>214079.4</v>
          </cell>
          <cell r="G236">
            <v>467933.64</v>
          </cell>
          <cell r="H236">
            <v>710049.1</v>
          </cell>
          <cell r="I236">
            <v>984796.38</v>
          </cell>
          <cell r="J236">
            <v>261332.4</v>
          </cell>
          <cell r="K236">
            <v>542295.64</v>
          </cell>
          <cell r="L236">
            <v>831577.01</v>
          </cell>
          <cell r="M236">
            <v>1111033.79</v>
          </cell>
          <cell r="N236">
            <v>300676.81</v>
          </cell>
          <cell r="O236">
            <v>609588.19999999995</v>
          </cell>
          <cell r="P236">
            <v>885427.14999999991</v>
          </cell>
          <cell r="Q236">
            <v>1157749.48</v>
          </cell>
          <cell r="R236">
            <v>330346.39</v>
          </cell>
          <cell r="S236">
            <v>864715.73</v>
          </cell>
          <cell r="T236">
            <v>1207641.73</v>
          </cell>
          <cell r="U236">
            <v>1557093.92</v>
          </cell>
          <cell r="V236">
            <v>382834.17</v>
          </cell>
          <cell r="W236">
            <v>860544.08</v>
          </cell>
          <cell r="X236">
            <v>1274375.3599999999</v>
          </cell>
          <cell r="Y236">
            <v>1639032.0599999998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</row>
        <row r="237">
          <cell r="A237" t="str">
            <v>qtd</v>
          </cell>
          <cell r="B237">
            <v>248246.03</v>
          </cell>
          <cell r="C237">
            <v>464167.64</v>
          </cell>
          <cell r="D237">
            <v>685262.61</v>
          </cell>
          <cell r="E237">
            <v>876676.04</v>
          </cell>
          <cell r="F237">
            <v>1090755.44</v>
          </cell>
          <cell r="G237">
            <v>1344609.68</v>
          </cell>
          <cell r="H237">
            <v>1586725.14</v>
          </cell>
          <cell r="I237">
            <v>1861472.42</v>
          </cell>
          <cell r="J237">
            <v>2122804.8199999998</v>
          </cell>
          <cell r="K237">
            <v>2403768.0599999996</v>
          </cell>
          <cell r="L237">
            <v>2693049.4299999997</v>
          </cell>
          <cell r="M237">
            <v>2972506.21</v>
          </cell>
          <cell r="N237">
            <v>300676.81</v>
          </cell>
          <cell r="O237">
            <v>609588.19999999995</v>
          </cell>
          <cell r="P237">
            <v>885427.14999999991</v>
          </cell>
          <cell r="Q237">
            <v>1157749.48</v>
          </cell>
          <cell r="R237">
            <v>1488095.87</v>
          </cell>
          <cell r="S237">
            <v>2022465.21</v>
          </cell>
          <cell r="T237">
            <v>2365391.21</v>
          </cell>
          <cell r="U237">
            <v>2714843.4</v>
          </cell>
          <cell r="V237">
            <v>3097677.57</v>
          </cell>
          <cell r="W237">
            <v>3575387.48</v>
          </cell>
          <cell r="X237">
            <v>3989218.76</v>
          </cell>
          <cell r="Y237">
            <v>4353875.46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</row>
        <row r="238">
          <cell r="A238" t="str">
            <v>ytd</v>
          </cell>
          <cell r="B238">
            <v>248246.03</v>
          </cell>
          <cell r="C238">
            <v>464167.64</v>
          </cell>
          <cell r="D238">
            <v>685262.61</v>
          </cell>
          <cell r="E238">
            <v>876676.04</v>
          </cell>
          <cell r="F238">
            <v>1090755.44</v>
          </cell>
          <cell r="G238">
            <v>1344609.68</v>
          </cell>
          <cell r="H238">
            <v>1586725.14</v>
          </cell>
          <cell r="I238">
            <v>1861472.42</v>
          </cell>
          <cell r="J238">
            <v>2122804.8199999998</v>
          </cell>
          <cell r="K238">
            <v>2403768.0599999996</v>
          </cell>
          <cell r="L238">
            <v>2693049.4299999997</v>
          </cell>
          <cell r="M238">
            <v>2972506.21</v>
          </cell>
          <cell r="N238">
            <v>3273183.02</v>
          </cell>
          <cell r="O238">
            <v>3582094.41</v>
          </cell>
          <cell r="P238">
            <v>3857933.3600000003</v>
          </cell>
          <cell r="Q238">
            <v>4130255.6900000004</v>
          </cell>
          <cell r="R238">
            <v>4460602.08</v>
          </cell>
          <cell r="S238">
            <v>4994971.42</v>
          </cell>
          <cell r="T238">
            <v>5337897.42</v>
          </cell>
          <cell r="U238">
            <v>5687349.6100000003</v>
          </cell>
          <cell r="V238">
            <v>6070183.7800000003</v>
          </cell>
          <cell r="W238">
            <v>6547893.6900000004</v>
          </cell>
          <cell r="X238">
            <v>6961724.9700000007</v>
          </cell>
          <cell r="Y238">
            <v>7326381.6700000009</v>
          </cell>
          <cell r="Z238">
            <v>7326381.6700000009</v>
          </cell>
          <cell r="AA238">
            <v>7326381.6700000009</v>
          </cell>
          <cell r="AB238">
            <v>7326381.6700000009</v>
          </cell>
          <cell r="AC238">
            <v>7326381.6700000009</v>
          </cell>
          <cell r="AD238">
            <v>7326381.6700000009</v>
          </cell>
          <cell r="AE238">
            <v>7326381.6700000009</v>
          </cell>
          <cell r="AF238">
            <v>7326381.6700000009</v>
          </cell>
          <cell r="AG238">
            <v>7326381.6700000009</v>
          </cell>
          <cell r="AH238">
            <v>7326381.6700000009</v>
          </cell>
          <cell r="AI238">
            <v>7326381.6700000009</v>
          </cell>
          <cell r="AJ238">
            <v>7326381.6700000009</v>
          </cell>
          <cell r="AK238">
            <v>7326381.6700000009</v>
          </cell>
          <cell r="AL238">
            <v>7326381.6700000009</v>
          </cell>
          <cell r="AM238">
            <v>7326381.6700000009</v>
          </cell>
          <cell r="AN238">
            <v>7326381.6700000009</v>
          </cell>
          <cell r="AO238">
            <v>7326381.6700000009</v>
          </cell>
          <cell r="AP238">
            <v>7326381.6700000009</v>
          </cell>
          <cell r="AQ238">
            <v>7326381.6700000009</v>
          </cell>
          <cell r="AR238">
            <v>7326381.6700000009</v>
          </cell>
          <cell r="AS238">
            <v>7326381.6700000009</v>
          </cell>
          <cell r="AT238">
            <v>7326381.6700000009</v>
          </cell>
          <cell r="AU238">
            <v>7326381.6700000009</v>
          </cell>
          <cell r="AV238">
            <v>7326381.6700000009</v>
          </cell>
          <cell r="AW238">
            <v>7326381.6700000009</v>
          </cell>
          <cell r="AX238">
            <v>7326381.6700000009</v>
          </cell>
          <cell r="AY238">
            <v>7326381.6700000009</v>
          </cell>
          <cell r="AZ238">
            <v>7326381.6700000009</v>
          </cell>
          <cell r="BA238">
            <v>7326381.6700000009</v>
          </cell>
          <cell r="BB238">
            <v>7326381.6700000009</v>
          </cell>
        </row>
        <row r="239">
          <cell r="A239" t="str">
            <v>PRED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234552.09</v>
          </cell>
          <cell r="C243">
            <v>194430.67</v>
          </cell>
          <cell r="D243">
            <v>189524.04</v>
          </cell>
          <cell r="E243">
            <v>159410</v>
          </cell>
          <cell r="F243">
            <v>191174.64</v>
          </cell>
          <cell r="G243">
            <v>212561.84</v>
          </cell>
          <cell r="H243">
            <v>218004.91</v>
          </cell>
          <cell r="I243">
            <v>260561.9</v>
          </cell>
          <cell r="J243">
            <v>214374.19</v>
          </cell>
          <cell r="K243">
            <v>217462.9</v>
          </cell>
          <cell r="L243">
            <v>241831.64</v>
          </cell>
          <cell r="M243">
            <v>226548.98</v>
          </cell>
          <cell r="N243">
            <v>242696.13</v>
          </cell>
          <cell r="O243">
            <v>247553.73</v>
          </cell>
          <cell r="P243">
            <v>232211.45</v>
          </cell>
          <cell r="Q243">
            <v>224960.38</v>
          </cell>
          <cell r="R243">
            <v>272878.69</v>
          </cell>
          <cell r="S243">
            <v>387818.13</v>
          </cell>
          <cell r="T243">
            <v>285627.65999999997</v>
          </cell>
          <cell r="U243">
            <v>287728.56</v>
          </cell>
          <cell r="V243">
            <v>302315.93</v>
          </cell>
          <cell r="W243">
            <v>339095.9</v>
          </cell>
          <cell r="X243">
            <v>293348.84999999998</v>
          </cell>
          <cell r="Y243">
            <v>324550.21000000002</v>
          </cell>
        </row>
        <row r="244">
          <cell r="A244" t="str">
            <v>ptd</v>
          </cell>
          <cell r="B244">
            <v>234552.09</v>
          </cell>
          <cell r="C244">
            <v>428982.76</v>
          </cell>
          <cell r="D244">
            <v>618506.80000000005</v>
          </cell>
          <cell r="E244">
            <v>777916.8</v>
          </cell>
          <cell r="F244">
            <v>191174.64</v>
          </cell>
          <cell r="G244">
            <v>403736.48</v>
          </cell>
          <cell r="H244">
            <v>621741.39</v>
          </cell>
          <cell r="I244">
            <v>882303.29</v>
          </cell>
          <cell r="J244">
            <v>214374.19</v>
          </cell>
          <cell r="K244">
            <v>431837.08999999997</v>
          </cell>
          <cell r="L244">
            <v>673668.73</v>
          </cell>
          <cell r="M244">
            <v>900217.71</v>
          </cell>
          <cell r="N244">
            <v>242696.13</v>
          </cell>
          <cell r="O244">
            <v>490249.86</v>
          </cell>
          <cell r="P244">
            <v>722461.31</v>
          </cell>
          <cell r="Q244">
            <v>947421.69000000006</v>
          </cell>
          <cell r="R244">
            <v>272878.69</v>
          </cell>
          <cell r="S244">
            <v>660696.82000000007</v>
          </cell>
          <cell r="T244">
            <v>946324.47999999998</v>
          </cell>
          <cell r="U244">
            <v>1234053.04</v>
          </cell>
          <cell r="V244">
            <v>302315.93</v>
          </cell>
          <cell r="W244">
            <v>641411.83000000007</v>
          </cell>
          <cell r="X244">
            <v>934760.68</v>
          </cell>
          <cell r="Y244">
            <v>1259310.8900000001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</row>
        <row r="245">
          <cell r="A245" t="str">
            <v>qtd</v>
          </cell>
          <cell r="B245">
            <v>234552.09</v>
          </cell>
          <cell r="C245">
            <v>428982.76</v>
          </cell>
          <cell r="D245">
            <v>618506.80000000005</v>
          </cell>
          <cell r="E245">
            <v>777916.8</v>
          </cell>
          <cell r="F245">
            <v>969091.44000000006</v>
          </cell>
          <cell r="G245">
            <v>1181653.28</v>
          </cell>
          <cell r="H245">
            <v>1399658.19</v>
          </cell>
          <cell r="I245">
            <v>1660220.0899999999</v>
          </cell>
          <cell r="J245">
            <v>1874594.2799999998</v>
          </cell>
          <cell r="K245">
            <v>2092057.1799999997</v>
          </cell>
          <cell r="L245">
            <v>2333888.8199999998</v>
          </cell>
          <cell r="M245">
            <v>2560437.7999999998</v>
          </cell>
          <cell r="N245">
            <v>242696.13</v>
          </cell>
          <cell r="O245">
            <v>490249.86</v>
          </cell>
          <cell r="P245">
            <v>722461.31</v>
          </cell>
          <cell r="Q245">
            <v>947421.69000000006</v>
          </cell>
          <cell r="R245">
            <v>1220300.3800000001</v>
          </cell>
          <cell r="S245">
            <v>1608118.5100000002</v>
          </cell>
          <cell r="T245">
            <v>1893746.1700000002</v>
          </cell>
          <cell r="U245">
            <v>2181474.73</v>
          </cell>
          <cell r="V245">
            <v>2483790.66</v>
          </cell>
          <cell r="W245">
            <v>2822886.56</v>
          </cell>
          <cell r="X245">
            <v>3116235.41</v>
          </cell>
          <cell r="Y245">
            <v>3440785.62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</row>
        <row r="246">
          <cell r="A246" t="str">
            <v>ytd</v>
          </cell>
          <cell r="B246">
            <v>234552.09</v>
          </cell>
          <cell r="C246">
            <v>428982.76</v>
          </cell>
          <cell r="D246">
            <v>618506.80000000005</v>
          </cell>
          <cell r="E246">
            <v>777916.8</v>
          </cell>
          <cell r="F246">
            <v>969091.44000000006</v>
          </cell>
          <cell r="G246">
            <v>1181653.28</v>
          </cell>
          <cell r="H246">
            <v>1399658.19</v>
          </cell>
          <cell r="I246">
            <v>1660220.0899999999</v>
          </cell>
          <cell r="J246">
            <v>1874594.2799999998</v>
          </cell>
          <cell r="K246">
            <v>2092057.1799999997</v>
          </cell>
          <cell r="L246">
            <v>2333888.8199999998</v>
          </cell>
          <cell r="M246">
            <v>2560437.7999999998</v>
          </cell>
          <cell r="N246">
            <v>2803133.9299999997</v>
          </cell>
          <cell r="O246">
            <v>3050687.6599999997</v>
          </cell>
          <cell r="P246">
            <v>3282899.11</v>
          </cell>
          <cell r="Q246">
            <v>3507859.4899999998</v>
          </cell>
          <cell r="R246">
            <v>3780738.1799999997</v>
          </cell>
          <cell r="S246">
            <v>4168556.3099999996</v>
          </cell>
          <cell r="T246">
            <v>4454183.97</v>
          </cell>
          <cell r="U246">
            <v>4741912.5299999993</v>
          </cell>
          <cell r="V246">
            <v>5044228.459999999</v>
          </cell>
          <cell r="W246">
            <v>5383324.3599999994</v>
          </cell>
          <cell r="X246">
            <v>5676673.209999999</v>
          </cell>
          <cell r="Y246">
            <v>6001223.419999999</v>
          </cell>
          <cell r="Z246">
            <v>6001223.419999999</v>
          </cell>
          <cell r="AA246">
            <v>6001223.419999999</v>
          </cell>
          <cell r="AB246">
            <v>6001223.419999999</v>
          </cell>
          <cell r="AC246">
            <v>6001223.419999999</v>
          </cell>
          <cell r="AD246">
            <v>6001223.419999999</v>
          </cell>
          <cell r="AE246">
            <v>6001223.419999999</v>
          </cell>
          <cell r="AF246">
            <v>6001223.419999999</v>
          </cell>
          <cell r="AG246">
            <v>6001223.419999999</v>
          </cell>
          <cell r="AH246">
            <v>6001223.419999999</v>
          </cell>
          <cell r="AI246">
            <v>6001223.419999999</v>
          </cell>
          <cell r="AJ246">
            <v>6001223.419999999</v>
          </cell>
          <cell r="AK246">
            <v>6001223.419999999</v>
          </cell>
          <cell r="AL246">
            <v>6001223.419999999</v>
          </cell>
          <cell r="AM246">
            <v>6001223.419999999</v>
          </cell>
          <cell r="AN246">
            <v>6001223.419999999</v>
          </cell>
          <cell r="AO246">
            <v>6001223.419999999</v>
          </cell>
          <cell r="AP246">
            <v>6001223.419999999</v>
          </cell>
          <cell r="AQ246">
            <v>6001223.419999999</v>
          </cell>
          <cell r="AR246">
            <v>6001223.419999999</v>
          </cell>
          <cell r="AS246">
            <v>6001223.419999999</v>
          </cell>
          <cell r="AT246">
            <v>6001223.419999999</v>
          </cell>
          <cell r="AU246">
            <v>6001223.419999999</v>
          </cell>
          <cell r="AV246">
            <v>6001223.419999999</v>
          </cell>
          <cell r="AW246">
            <v>6001223.419999999</v>
          </cell>
          <cell r="AX246">
            <v>6001223.419999999</v>
          </cell>
          <cell r="AY246">
            <v>6001223.419999999</v>
          </cell>
          <cell r="AZ246">
            <v>6001223.419999999</v>
          </cell>
          <cell r="BA246">
            <v>6001223.419999999</v>
          </cell>
          <cell r="BB246">
            <v>6001223.419999999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85.52</v>
          </cell>
          <cell r="C251">
            <v>82.79</v>
          </cell>
          <cell r="D251">
            <v>49.57</v>
          </cell>
          <cell r="E251">
            <v>59.45</v>
          </cell>
          <cell r="F251">
            <v>38.46</v>
          </cell>
          <cell r="G251">
            <v>10.130000000000001</v>
          </cell>
          <cell r="H251">
            <v>40.520000000000003</v>
          </cell>
          <cell r="I251">
            <v>40.520000000000003</v>
          </cell>
          <cell r="J251">
            <v>50.65</v>
          </cell>
          <cell r="K251">
            <v>50.65</v>
          </cell>
          <cell r="L251">
            <v>60.78</v>
          </cell>
          <cell r="M251">
            <v>40.520000000000003</v>
          </cell>
          <cell r="N251">
            <v>53.24</v>
          </cell>
          <cell r="O251">
            <v>42.57</v>
          </cell>
          <cell r="P251">
            <v>32.590000000000003</v>
          </cell>
          <cell r="Q251">
            <v>64.72</v>
          </cell>
          <cell r="R251">
            <v>43</v>
          </cell>
          <cell r="S251">
            <v>123.49</v>
          </cell>
          <cell r="T251">
            <v>68.66</v>
          </cell>
          <cell r="U251">
            <v>80.86</v>
          </cell>
          <cell r="V251">
            <v>58.69</v>
          </cell>
          <cell r="W251">
            <v>47.95</v>
          </cell>
          <cell r="X251">
            <v>60.15</v>
          </cell>
          <cell r="Y251">
            <v>59.68</v>
          </cell>
        </row>
        <row r="252">
          <cell r="A252" t="str">
            <v>ptd</v>
          </cell>
          <cell r="B252">
            <v>85.52</v>
          </cell>
          <cell r="C252">
            <v>168.31</v>
          </cell>
          <cell r="D252">
            <v>217.88</v>
          </cell>
          <cell r="E252">
            <v>277.33</v>
          </cell>
          <cell r="F252">
            <v>38.46</v>
          </cell>
          <cell r="G252">
            <v>48.59</v>
          </cell>
          <cell r="H252">
            <v>89.110000000000014</v>
          </cell>
          <cell r="I252">
            <v>129.63000000000002</v>
          </cell>
          <cell r="J252">
            <v>50.65</v>
          </cell>
          <cell r="K252">
            <v>101.3</v>
          </cell>
          <cell r="L252">
            <v>162.07999999999998</v>
          </cell>
          <cell r="M252">
            <v>202.6</v>
          </cell>
          <cell r="N252">
            <v>53.24</v>
          </cell>
          <cell r="O252">
            <v>95.81</v>
          </cell>
          <cell r="P252">
            <v>128.4</v>
          </cell>
          <cell r="Q252">
            <v>193.12</v>
          </cell>
          <cell r="R252">
            <v>43</v>
          </cell>
          <cell r="S252">
            <v>166.49</v>
          </cell>
          <cell r="T252">
            <v>235.15</v>
          </cell>
          <cell r="U252">
            <v>316.01</v>
          </cell>
          <cell r="V252">
            <v>58.69</v>
          </cell>
          <cell r="W252">
            <v>106.64</v>
          </cell>
          <cell r="X252">
            <v>166.79</v>
          </cell>
          <cell r="Y252">
            <v>226.47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</row>
        <row r="253">
          <cell r="A253" t="str">
            <v>qtd</v>
          </cell>
          <cell r="B253">
            <v>85.52</v>
          </cell>
          <cell r="C253">
            <v>168.31</v>
          </cell>
          <cell r="D253">
            <v>217.88</v>
          </cell>
          <cell r="E253">
            <v>277.33</v>
          </cell>
          <cell r="F253">
            <v>315.78999999999996</v>
          </cell>
          <cell r="G253">
            <v>325.91999999999996</v>
          </cell>
          <cell r="H253">
            <v>366.43999999999994</v>
          </cell>
          <cell r="I253">
            <v>406.95999999999992</v>
          </cell>
          <cell r="J253">
            <v>457.6099999999999</v>
          </cell>
          <cell r="K253">
            <v>508.25999999999988</v>
          </cell>
          <cell r="L253">
            <v>569.03999999999985</v>
          </cell>
          <cell r="M253">
            <v>609.55999999999983</v>
          </cell>
          <cell r="N253">
            <v>53.24</v>
          </cell>
          <cell r="O253">
            <v>95.81</v>
          </cell>
          <cell r="P253">
            <v>128.4</v>
          </cell>
          <cell r="Q253">
            <v>193.12</v>
          </cell>
          <cell r="R253">
            <v>236.12</v>
          </cell>
          <cell r="S253">
            <v>359.61</v>
          </cell>
          <cell r="T253">
            <v>428.27</v>
          </cell>
          <cell r="U253">
            <v>509.13</v>
          </cell>
          <cell r="V253">
            <v>567.81999999999994</v>
          </cell>
          <cell r="W253">
            <v>615.77</v>
          </cell>
          <cell r="X253">
            <v>675.92</v>
          </cell>
          <cell r="Y253">
            <v>735.59999999999991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</row>
        <row r="254">
          <cell r="A254" t="str">
            <v>ytd</v>
          </cell>
          <cell r="B254">
            <v>85.52</v>
          </cell>
          <cell r="C254">
            <v>168.31</v>
          </cell>
          <cell r="D254">
            <v>217.88</v>
          </cell>
          <cell r="E254">
            <v>277.33</v>
          </cell>
          <cell r="F254">
            <v>315.78999999999996</v>
          </cell>
          <cell r="G254">
            <v>325.91999999999996</v>
          </cell>
          <cell r="H254">
            <v>366.43999999999994</v>
          </cell>
          <cell r="I254">
            <v>406.95999999999992</v>
          </cell>
          <cell r="J254">
            <v>457.6099999999999</v>
          </cell>
          <cell r="K254">
            <v>508.25999999999988</v>
          </cell>
          <cell r="L254">
            <v>569.03999999999985</v>
          </cell>
          <cell r="M254">
            <v>609.55999999999983</v>
          </cell>
          <cell r="N254">
            <v>662.79999999999984</v>
          </cell>
          <cell r="O254">
            <v>705.36999999999989</v>
          </cell>
          <cell r="P254">
            <v>737.95999999999992</v>
          </cell>
          <cell r="Q254">
            <v>802.68</v>
          </cell>
          <cell r="R254">
            <v>845.68</v>
          </cell>
          <cell r="S254">
            <v>969.17</v>
          </cell>
          <cell r="T254">
            <v>1037.83</v>
          </cell>
          <cell r="U254">
            <v>1118.6899999999998</v>
          </cell>
          <cell r="V254">
            <v>1177.3799999999999</v>
          </cell>
          <cell r="W254">
            <v>1225.33</v>
          </cell>
          <cell r="X254">
            <v>1285.48</v>
          </cell>
          <cell r="Y254">
            <v>1345.16</v>
          </cell>
          <cell r="Z254">
            <v>1345.16</v>
          </cell>
          <cell r="AA254">
            <v>1345.16</v>
          </cell>
          <cell r="AB254">
            <v>1345.16</v>
          </cell>
          <cell r="AC254">
            <v>1345.16</v>
          </cell>
          <cell r="AD254">
            <v>1345.16</v>
          </cell>
          <cell r="AE254">
            <v>1345.16</v>
          </cell>
          <cell r="AF254">
            <v>1345.16</v>
          </cell>
          <cell r="AG254">
            <v>1345.16</v>
          </cell>
          <cell r="AH254">
            <v>1345.16</v>
          </cell>
          <cell r="AI254">
            <v>1345.16</v>
          </cell>
          <cell r="AJ254">
            <v>1345.16</v>
          </cell>
          <cell r="AK254">
            <v>1345.16</v>
          </cell>
          <cell r="AL254">
            <v>1345.16</v>
          </cell>
          <cell r="AM254">
            <v>1345.16</v>
          </cell>
          <cell r="AN254">
            <v>1345.16</v>
          </cell>
          <cell r="AO254">
            <v>1345.16</v>
          </cell>
          <cell r="AP254">
            <v>1345.16</v>
          </cell>
          <cell r="AQ254">
            <v>1345.16</v>
          </cell>
          <cell r="AR254">
            <v>1345.16</v>
          </cell>
          <cell r="AS254">
            <v>1345.16</v>
          </cell>
          <cell r="AT254">
            <v>1345.16</v>
          </cell>
          <cell r="AU254">
            <v>1345.16</v>
          </cell>
          <cell r="AV254">
            <v>1345.16</v>
          </cell>
          <cell r="AW254">
            <v>1345.16</v>
          </cell>
          <cell r="AX254">
            <v>1345.16</v>
          </cell>
          <cell r="AY254">
            <v>1345.16</v>
          </cell>
          <cell r="AZ254">
            <v>1345.16</v>
          </cell>
          <cell r="BA254">
            <v>1345.16</v>
          </cell>
          <cell r="BB254">
            <v>1345.16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482883.64</v>
          </cell>
          <cell r="C263">
            <v>410435.07</v>
          </cell>
          <cell r="D263">
            <v>410668.58</v>
          </cell>
          <cell r="E263">
            <v>350882.88</v>
          </cell>
          <cell r="F263">
            <v>405292.5</v>
          </cell>
          <cell r="G263">
            <v>466426.20999999996</v>
          </cell>
          <cell r="H263">
            <v>460160.89</v>
          </cell>
          <cell r="I263">
            <v>535349.69999999995</v>
          </cell>
          <cell r="J263">
            <v>475757.24</v>
          </cell>
          <cell r="K263">
            <v>498476.79</v>
          </cell>
          <cell r="L263">
            <v>531173.79</v>
          </cell>
          <cell r="M263">
            <v>506046.28</v>
          </cell>
          <cell r="N263">
            <v>543426.17999999993</v>
          </cell>
          <cell r="O263">
            <v>556507.69000000006</v>
          </cell>
          <cell r="P263">
            <v>508082.99</v>
          </cell>
          <cell r="Q263">
            <v>497347.43000000005</v>
          </cell>
          <cell r="R263">
            <v>603268.08000000007</v>
          </cell>
          <cell r="S263">
            <v>922310.96</v>
          </cell>
          <cell r="T263">
            <v>628622.31999999995</v>
          </cell>
          <cell r="U263">
            <v>637261.61</v>
          </cell>
          <cell r="V263">
            <v>685208.79</v>
          </cell>
          <cell r="W263">
            <v>816853.76</v>
          </cell>
          <cell r="X263">
            <v>707240.28</v>
          </cell>
          <cell r="Y263">
            <v>689266.59000000008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</row>
        <row r="264">
          <cell r="A264" t="str">
            <v>ptd</v>
          </cell>
          <cell r="B264">
            <v>482883.64</v>
          </cell>
          <cell r="C264">
            <v>893318.71</v>
          </cell>
          <cell r="D264">
            <v>1303987.29</v>
          </cell>
          <cell r="E264">
            <v>1654870.17</v>
          </cell>
          <cell r="F264">
            <v>405292.5</v>
          </cell>
          <cell r="G264">
            <v>871718.71</v>
          </cell>
          <cell r="H264">
            <v>1331879.6000000001</v>
          </cell>
          <cell r="I264">
            <v>1867229.3</v>
          </cell>
          <cell r="J264">
            <v>475757.24</v>
          </cell>
          <cell r="K264">
            <v>974234.03</v>
          </cell>
          <cell r="L264">
            <v>1505407.8199999998</v>
          </cell>
          <cell r="M264">
            <v>2011454.1</v>
          </cell>
          <cell r="N264">
            <v>543426.17999999993</v>
          </cell>
          <cell r="O264">
            <v>1099933.8699999999</v>
          </cell>
          <cell r="P264">
            <v>1608016.8599999999</v>
          </cell>
          <cell r="Q264">
            <v>2105364.29</v>
          </cell>
          <cell r="R264">
            <v>603268.08000000007</v>
          </cell>
          <cell r="S264">
            <v>1525579.04</v>
          </cell>
          <cell r="T264">
            <v>2154201.36</v>
          </cell>
          <cell r="U264">
            <v>2791462.9699999997</v>
          </cell>
          <cell r="V264">
            <v>685208.79</v>
          </cell>
          <cell r="W264">
            <v>1502062.55</v>
          </cell>
          <cell r="X264">
            <v>2209302.83</v>
          </cell>
          <cell r="Y264">
            <v>2898569.42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</row>
        <row r="265">
          <cell r="A265" t="str">
            <v>qtd</v>
          </cell>
          <cell r="B265">
            <v>482883.64</v>
          </cell>
          <cell r="C265">
            <v>893318.71</v>
          </cell>
          <cell r="D265">
            <v>1303987.29</v>
          </cell>
          <cell r="E265">
            <v>1654870.17</v>
          </cell>
          <cell r="F265">
            <v>2060162.67</v>
          </cell>
          <cell r="G265">
            <v>2526588.88</v>
          </cell>
          <cell r="H265">
            <v>2986749.7699999996</v>
          </cell>
          <cell r="I265">
            <v>3522099.4699999997</v>
          </cell>
          <cell r="J265">
            <v>3997856.71</v>
          </cell>
          <cell r="K265">
            <v>4496333.4999999991</v>
          </cell>
          <cell r="L265">
            <v>5027507.2899999991</v>
          </cell>
          <cell r="M265">
            <v>5533553.5700000003</v>
          </cell>
          <cell r="N265">
            <v>543426.17999999993</v>
          </cell>
          <cell r="O265">
            <v>1099933.8699999999</v>
          </cell>
          <cell r="P265">
            <v>1608016.8599999999</v>
          </cell>
          <cell r="Q265">
            <v>2105364.29</v>
          </cell>
          <cell r="R265">
            <v>2708632.37</v>
          </cell>
          <cell r="S265">
            <v>3630943.33</v>
          </cell>
          <cell r="T265">
            <v>4259565.6500000004</v>
          </cell>
          <cell r="U265">
            <v>4896827.26</v>
          </cell>
          <cell r="V265">
            <v>5582036.0499999998</v>
          </cell>
          <cell r="W265">
            <v>6398889.8100000005</v>
          </cell>
          <cell r="X265">
            <v>7106130.0899999999</v>
          </cell>
          <cell r="Y265">
            <v>7795396.6799999997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</row>
        <row r="266">
          <cell r="A266" t="str">
            <v>ytd</v>
          </cell>
          <cell r="B266">
            <v>482883.64</v>
          </cell>
          <cell r="C266">
            <v>893318.71</v>
          </cell>
          <cell r="D266">
            <v>1303987.29</v>
          </cell>
          <cell r="E266">
            <v>1654870.17</v>
          </cell>
          <cell r="F266">
            <v>2060162.67</v>
          </cell>
          <cell r="G266">
            <v>2526588.88</v>
          </cell>
          <cell r="H266">
            <v>2986749.7699999996</v>
          </cell>
          <cell r="I266">
            <v>3522099.4699999997</v>
          </cell>
          <cell r="J266">
            <v>3997856.71</v>
          </cell>
          <cell r="K266">
            <v>4496333.4999999991</v>
          </cell>
          <cell r="L266">
            <v>5027507.2899999991</v>
          </cell>
          <cell r="M266">
            <v>5533553.5700000003</v>
          </cell>
          <cell r="N266">
            <v>6076979.75</v>
          </cell>
          <cell r="O266">
            <v>6633487.4399999995</v>
          </cell>
          <cell r="P266">
            <v>7141570.4299999997</v>
          </cell>
          <cell r="Q266">
            <v>7638917.8600000003</v>
          </cell>
          <cell r="R266">
            <v>8242185.9399999995</v>
          </cell>
          <cell r="S266">
            <v>9164496.8999999985</v>
          </cell>
          <cell r="T266">
            <v>9793119.2199999988</v>
          </cell>
          <cell r="U266">
            <v>10430380.83</v>
          </cell>
          <cell r="V266">
            <v>11115589.619999999</v>
          </cell>
          <cell r="W266">
            <v>11932443.379999999</v>
          </cell>
          <cell r="X266">
            <v>12639683.66</v>
          </cell>
          <cell r="Y266">
            <v>13328950.25</v>
          </cell>
          <cell r="Z266">
            <v>13328950.25</v>
          </cell>
          <cell r="AA266">
            <v>13328950.25</v>
          </cell>
          <cell r="AB266">
            <v>13328950.25</v>
          </cell>
          <cell r="AC266">
            <v>13328950.25</v>
          </cell>
          <cell r="AD266">
            <v>13328950.25</v>
          </cell>
          <cell r="AE266">
            <v>13328950.25</v>
          </cell>
          <cell r="AF266">
            <v>13328950.25</v>
          </cell>
          <cell r="AG266">
            <v>13328950.25</v>
          </cell>
          <cell r="AH266">
            <v>13328950.25</v>
          </cell>
          <cell r="AI266">
            <v>13328950.25</v>
          </cell>
          <cell r="AJ266">
            <v>13328950.25</v>
          </cell>
          <cell r="AK266">
            <v>13328950.25</v>
          </cell>
          <cell r="AL266">
            <v>13328950.25</v>
          </cell>
          <cell r="AM266">
            <v>13328950.25</v>
          </cell>
          <cell r="AN266">
            <v>13328950.25</v>
          </cell>
          <cell r="AO266">
            <v>13328950.25</v>
          </cell>
          <cell r="AP266">
            <v>13328950.25</v>
          </cell>
          <cell r="AQ266">
            <v>13328950.25</v>
          </cell>
          <cell r="AR266">
            <v>13328950.25</v>
          </cell>
          <cell r="AS266">
            <v>13328950.25</v>
          </cell>
          <cell r="AT266">
            <v>13328950.25</v>
          </cell>
          <cell r="AU266">
            <v>13328950.25</v>
          </cell>
          <cell r="AV266">
            <v>13328950.25</v>
          </cell>
          <cell r="AW266">
            <v>13328950.25</v>
          </cell>
          <cell r="AX266">
            <v>13328950.25</v>
          </cell>
          <cell r="AY266">
            <v>13328950.25</v>
          </cell>
          <cell r="AZ266">
            <v>13328950.25</v>
          </cell>
          <cell r="BA266">
            <v>13328950.25</v>
          </cell>
          <cell r="BB266">
            <v>13328950.25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31644.19</v>
          </cell>
          <cell r="C273">
            <v>23273.79</v>
          </cell>
          <cell r="D273">
            <v>24107.64</v>
          </cell>
          <cell r="E273">
            <v>25278.28</v>
          </cell>
          <cell r="F273">
            <v>22140.28</v>
          </cell>
          <cell r="G273">
            <v>34678.99</v>
          </cell>
          <cell r="H273">
            <v>22712.48</v>
          </cell>
          <cell r="I273">
            <v>23269.16</v>
          </cell>
          <cell r="J273">
            <v>26048.01</v>
          </cell>
          <cell r="K273">
            <v>25485.62</v>
          </cell>
          <cell r="L273">
            <v>22943.85</v>
          </cell>
          <cell r="M273">
            <v>22917.02</v>
          </cell>
          <cell r="N273">
            <v>26684.46</v>
          </cell>
          <cell r="O273">
            <v>32187.89</v>
          </cell>
          <cell r="P273">
            <v>25144.560000000001</v>
          </cell>
          <cell r="Q273">
            <v>25388.560000000001</v>
          </cell>
          <cell r="R273">
            <v>25709.4</v>
          </cell>
          <cell r="S273">
            <v>27558.48</v>
          </cell>
          <cell r="T273">
            <v>31731.41</v>
          </cell>
          <cell r="U273">
            <v>30192.86</v>
          </cell>
          <cell r="V273">
            <v>47495.74</v>
          </cell>
          <cell r="W273">
            <v>93291.21</v>
          </cell>
          <cell r="X273">
            <v>48922.73</v>
          </cell>
          <cell r="Y273">
            <v>53121.120000000003</v>
          </cell>
        </row>
        <row r="274">
          <cell r="A274" t="str">
            <v>ptd</v>
          </cell>
          <cell r="B274">
            <v>31644.19</v>
          </cell>
          <cell r="C274">
            <v>54917.979999999996</v>
          </cell>
          <cell r="D274">
            <v>79025.62</v>
          </cell>
          <cell r="E274">
            <v>104303.9</v>
          </cell>
          <cell r="F274">
            <v>22140.28</v>
          </cell>
          <cell r="G274">
            <v>56819.27</v>
          </cell>
          <cell r="H274">
            <v>79531.75</v>
          </cell>
          <cell r="I274">
            <v>102800.91</v>
          </cell>
          <cell r="J274">
            <v>26048.01</v>
          </cell>
          <cell r="K274">
            <v>51533.63</v>
          </cell>
          <cell r="L274">
            <v>74477.48</v>
          </cell>
          <cell r="M274">
            <v>97394.5</v>
          </cell>
          <cell r="N274">
            <v>26684.46</v>
          </cell>
          <cell r="O274">
            <v>58872.35</v>
          </cell>
          <cell r="P274">
            <v>84016.91</v>
          </cell>
          <cell r="Q274">
            <v>109405.47</v>
          </cell>
          <cell r="R274">
            <v>25709.4</v>
          </cell>
          <cell r="S274">
            <v>53267.880000000005</v>
          </cell>
          <cell r="T274">
            <v>84999.290000000008</v>
          </cell>
          <cell r="U274">
            <v>115192.15000000001</v>
          </cell>
          <cell r="V274">
            <v>47495.74</v>
          </cell>
          <cell r="W274">
            <v>140786.95000000001</v>
          </cell>
          <cell r="X274">
            <v>189709.68000000002</v>
          </cell>
          <cell r="Y274">
            <v>242830.80000000002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</row>
        <row r="275">
          <cell r="A275" t="str">
            <v>qtd</v>
          </cell>
          <cell r="B275">
            <v>31644.19</v>
          </cell>
          <cell r="C275">
            <v>54917.979999999996</v>
          </cell>
          <cell r="D275">
            <v>79025.62</v>
          </cell>
          <cell r="E275">
            <v>104303.9</v>
          </cell>
          <cell r="F275">
            <v>126444.18</v>
          </cell>
          <cell r="G275">
            <v>161123.16999999998</v>
          </cell>
          <cell r="H275">
            <v>183835.65</v>
          </cell>
          <cell r="I275">
            <v>207104.81</v>
          </cell>
          <cell r="J275">
            <v>233152.82</v>
          </cell>
          <cell r="K275">
            <v>258638.44</v>
          </cell>
          <cell r="L275">
            <v>281582.28999999998</v>
          </cell>
          <cell r="M275">
            <v>304499.31</v>
          </cell>
          <cell r="N275">
            <v>26684.46</v>
          </cell>
          <cell r="O275">
            <v>58872.35</v>
          </cell>
          <cell r="P275">
            <v>84016.91</v>
          </cell>
          <cell r="Q275">
            <v>109405.47</v>
          </cell>
          <cell r="R275">
            <v>135114.87</v>
          </cell>
          <cell r="S275">
            <v>162673.35</v>
          </cell>
          <cell r="T275">
            <v>194404.76</v>
          </cell>
          <cell r="U275">
            <v>224597.62</v>
          </cell>
          <cell r="V275">
            <v>272093.36</v>
          </cell>
          <cell r="W275">
            <v>365384.57</v>
          </cell>
          <cell r="X275">
            <v>414307.3</v>
          </cell>
          <cell r="Y275">
            <v>467428.42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</row>
        <row r="276">
          <cell r="A276" t="str">
            <v>ytd</v>
          </cell>
          <cell r="B276">
            <v>31644.19</v>
          </cell>
          <cell r="C276">
            <v>54917.979999999996</v>
          </cell>
          <cell r="D276">
            <v>79025.62</v>
          </cell>
          <cell r="E276">
            <v>104303.9</v>
          </cell>
          <cell r="F276">
            <v>126444.18</v>
          </cell>
          <cell r="G276">
            <v>161123.16999999998</v>
          </cell>
          <cell r="H276">
            <v>183835.65</v>
          </cell>
          <cell r="I276">
            <v>207104.81</v>
          </cell>
          <cell r="J276">
            <v>233152.82</v>
          </cell>
          <cell r="K276">
            <v>258638.44</v>
          </cell>
          <cell r="L276">
            <v>281582.28999999998</v>
          </cell>
          <cell r="M276">
            <v>304499.31</v>
          </cell>
          <cell r="N276">
            <v>331183.77</v>
          </cell>
          <cell r="O276">
            <v>363371.66000000003</v>
          </cell>
          <cell r="P276">
            <v>388516.22000000003</v>
          </cell>
          <cell r="Q276">
            <v>413904.78</v>
          </cell>
          <cell r="R276">
            <v>439614.18000000005</v>
          </cell>
          <cell r="S276">
            <v>467172.66000000003</v>
          </cell>
          <cell r="T276">
            <v>498904.07</v>
          </cell>
          <cell r="U276">
            <v>529096.93000000005</v>
          </cell>
          <cell r="V276">
            <v>576592.67000000004</v>
          </cell>
          <cell r="W276">
            <v>669883.88</v>
          </cell>
          <cell r="X276">
            <v>718806.61</v>
          </cell>
          <cell r="Y276">
            <v>771927.73</v>
          </cell>
          <cell r="Z276">
            <v>771927.73</v>
          </cell>
          <cell r="AA276">
            <v>771927.73</v>
          </cell>
          <cell r="AB276">
            <v>771927.73</v>
          </cell>
          <cell r="AC276">
            <v>771927.73</v>
          </cell>
          <cell r="AD276">
            <v>771927.73</v>
          </cell>
          <cell r="AE276">
            <v>771927.73</v>
          </cell>
          <cell r="AF276">
            <v>771927.73</v>
          </cell>
          <cell r="AG276">
            <v>771927.73</v>
          </cell>
          <cell r="AH276">
            <v>771927.73</v>
          </cell>
          <cell r="AI276">
            <v>771927.73</v>
          </cell>
          <cell r="AJ276">
            <v>771927.73</v>
          </cell>
          <cell r="AK276">
            <v>771927.73</v>
          </cell>
          <cell r="AL276">
            <v>771927.73</v>
          </cell>
          <cell r="AM276">
            <v>771927.73</v>
          </cell>
          <cell r="AN276">
            <v>771927.73</v>
          </cell>
          <cell r="AO276">
            <v>771927.73</v>
          </cell>
          <cell r="AP276">
            <v>771927.73</v>
          </cell>
          <cell r="AQ276">
            <v>771927.73</v>
          </cell>
          <cell r="AR276">
            <v>771927.73</v>
          </cell>
          <cell r="AS276">
            <v>771927.73</v>
          </cell>
          <cell r="AT276">
            <v>771927.73</v>
          </cell>
          <cell r="AU276">
            <v>771927.73</v>
          </cell>
          <cell r="AV276">
            <v>771927.73</v>
          </cell>
          <cell r="AW276">
            <v>771927.73</v>
          </cell>
          <cell r="AX276">
            <v>771927.73</v>
          </cell>
          <cell r="AY276">
            <v>771927.73</v>
          </cell>
          <cell r="AZ276">
            <v>771927.73</v>
          </cell>
          <cell r="BA276">
            <v>771927.73</v>
          </cell>
          <cell r="BB276">
            <v>771927.73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31644.19</v>
          </cell>
          <cell r="C301">
            <v>23273.79</v>
          </cell>
          <cell r="D301">
            <v>24107.64</v>
          </cell>
          <cell r="E301">
            <v>25278.28</v>
          </cell>
          <cell r="F301">
            <v>22140.28</v>
          </cell>
          <cell r="G301">
            <v>34678.99</v>
          </cell>
          <cell r="H301">
            <v>22712.48</v>
          </cell>
          <cell r="I301">
            <v>23269.16</v>
          </cell>
          <cell r="J301">
            <v>26048.01</v>
          </cell>
          <cell r="K301">
            <v>25485.62</v>
          </cell>
          <cell r="L301">
            <v>22943.85</v>
          </cell>
          <cell r="M301">
            <v>22917.02</v>
          </cell>
          <cell r="N301">
            <v>26684.46</v>
          </cell>
          <cell r="O301">
            <v>32187.89</v>
          </cell>
          <cell r="P301">
            <v>25144.560000000001</v>
          </cell>
          <cell r="Q301">
            <v>25388.560000000001</v>
          </cell>
          <cell r="R301">
            <v>25709.4</v>
          </cell>
          <cell r="S301">
            <v>27558.48</v>
          </cell>
          <cell r="T301">
            <v>31731.41</v>
          </cell>
          <cell r="U301">
            <v>30192.86</v>
          </cell>
          <cell r="V301">
            <v>47495.74</v>
          </cell>
          <cell r="W301">
            <v>93291.21</v>
          </cell>
          <cell r="X301">
            <v>48922.73</v>
          </cell>
          <cell r="Y301">
            <v>53121.120000000003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</row>
        <row r="302">
          <cell r="A302" t="str">
            <v>ptd</v>
          </cell>
          <cell r="B302">
            <v>31644.19</v>
          </cell>
          <cell r="C302">
            <v>54917.979999999996</v>
          </cell>
          <cell r="D302">
            <v>79025.62</v>
          </cell>
          <cell r="E302">
            <v>104303.9</v>
          </cell>
          <cell r="F302">
            <v>22140.28</v>
          </cell>
          <cell r="G302">
            <v>56819.27</v>
          </cell>
          <cell r="H302">
            <v>79531.75</v>
          </cell>
          <cell r="I302">
            <v>102800.91</v>
          </cell>
          <cell r="J302">
            <v>26048.01</v>
          </cell>
          <cell r="K302">
            <v>51533.63</v>
          </cell>
          <cell r="L302">
            <v>74477.48</v>
          </cell>
          <cell r="M302">
            <v>97394.5</v>
          </cell>
          <cell r="N302">
            <v>26684.46</v>
          </cell>
          <cell r="O302">
            <v>58872.35</v>
          </cell>
          <cell r="P302">
            <v>84016.91</v>
          </cell>
          <cell r="Q302">
            <v>109405.47</v>
          </cell>
          <cell r="R302">
            <v>25709.4</v>
          </cell>
          <cell r="S302">
            <v>53267.880000000005</v>
          </cell>
          <cell r="T302">
            <v>84999.290000000008</v>
          </cell>
          <cell r="U302">
            <v>115192.15000000001</v>
          </cell>
          <cell r="V302">
            <v>47495.74</v>
          </cell>
          <cell r="W302">
            <v>140786.95000000001</v>
          </cell>
          <cell r="X302">
            <v>189709.68000000002</v>
          </cell>
          <cell r="Y302">
            <v>242830.80000000002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</row>
        <row r="303">
          <cell r="A303" t="str">
            <v>qtd</v>
          </cell>
          <cell r="B303">
            <v>31644.19</v>
          </cell>
          <cell r="C303">
            <v>54917.979999999996</v>
          </cell>
          <cell r="D303">
            <v>79025.62</v>
          </cell>
          <cell r="E303">
            <v>104303.9</v>
          </cell>
          <cell r="F303">
            <v>126444.18</v>
          </cell>
          <cell r="G303">
            <v>161123.16999999998</v>
          </cell>
          <cell r="H303">
            <v>183835.65</v>
          </cell>
          <cell r="I303">
            <v>207104.81</v>
          </cell>
          <cell r="J303">
            <v>233152.82</v>
          </cell>
          <cell r="K303">
            <v>258638.44</v>
          </cell>
          <cell r="L303">
            <v>281582.28999999998</v>
          </cell>
          <cell r="M303">
            <v>304499.31</v>
          </cell>
          <cell r="N303">
            <v>26684.46</v>
          </cell>
          <cell r="O303">
            <v>58872.35</v>
          </cell>
          <cell r="P303">
            <v>84016.91</v>
          </cell>
          <cell r="Q303">
            <v>109405.47</v>
          </cell>
          <cell r="R303">
            <v>135114.87</v>
          </cell>
          <cell r="S303">
            <v>162673.35</v>
          </cell>
          <cell r="T303">
            <v>194404.76</v>
          </cell>
          <cell r="U303">
            <v>224597.62</v>
          </cell>
          <cell r="V303">
            <v>272093.36</v>
          </cell>
          <cell r="W303">
            <v>365384.57</v>
          </cell>
          <cell r="X303">
            <v>414307.3</v>
          </cell>
          <cell r="Y303">
            <v>467428.42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</row>
        <row r="304">
          <cell r="A304" t="str">
            <v>ytd</v>
          </cell>
          <cell r="B304">
            <v>31644.19</v>
          </cell>
          <cell r="C304">
            <v>54917.979999999996</v>
          </cell>
          <cell r="D304">
            <v>79025.62</v>
          </cell>
          <cell r="E304">
            <v>104303.9</v>
          </cell>
          <cell r="F304">
            <v>126444.18</v>
          </cell>
          <cell r="G304">
            <v>161123.16999999998</v>
          </cell>
          <cell r="H304">
            <v>183835.65</v>
          </cell>
          <cell r="I304">
            <v>207104.81</v>
          </cell>
          <cell r="J304">
            <v>233152.82</v>
          </cell>
          <cell r="K304">
            <v>258638.44</v>
          </cell>
          <cell r="L304">
            <v>281582.28999999998</v>
          </cell>
          <cell r="M304">
            <v>304499.31</v>
          </cell>
          <cell r="N304">
            <v>331183.77</v>
          </cell>
          <cell r="O304">
            <v>363371.66000000003</v>
          </cell>
          <cell r="P304">
            <v>388516.22000000003</v>
          </cell>
          <cell r="Q304">
            <v>413904.78</v>
          </cell>
          <cell r="R304">
            <v>439614.18000000005</v>
          </cell>
          <cell r="S304">
            <v>467172.66000000003</v>
          </cell>
          <cell r="T304">
            <v>498904.07</v>
          </cell>
          <cell r="U304">
            <v>529096.93000000005</v>
          </cell>
          <cell r="V304">
            <v>576592.67000000004</v>
          </cell>
          <cell r="W304">
            <v>669883.88</v>
          </cell>
          <cell r="X304">
            <v>718806.61</v>
          </cell>
          <cell r="Y304">
            <v>771927.73</v>
          </cell>
          <cell r="Z304">
            <v>771927.73</v>
          </cell>
          <cell r="AA304">
            <v>771927.73</v>
          </cell>
          <cell r="AB304">
            <v>771927.73</v>
          </cell>
          <cell r="AC304">
            <v>771927.73</v>
          </cell>
          <cell r="AD304">
            <v>771927.73</v>
          </cell>
          <cell r="AE304">
            <v>771927.73</v>
          </cell>
          <cell r="AF304">
            <v>771927.73</v>
          </cell>
          <cell r="AG304">
            <v>771927.73</v>
          </cell>
          <cell r="AH304">
            <v>771927.73</v>
          </cell>
          <cell r="AI304">
            <v>771927.73</v>
          </cell>
          <cell r="AJ304">
            <v>771927.73</v>
          </cell>
          <cell r="AK304">
            <v>771927.73</v>
          </cell>
          <cell r="AL304">
            <v>771927.73</v>
          </cell>
          <cell r="AM304">
            <v>771927.73</v>
          </cell>
          <cell r="AN304">
            <v>771927.73</v>
          </cell>
          <cell r="AO304">
            <v>771927.73</v>
          </cell>
          <cell r="AP304">
            <v>771927.73</v>
          </cell>
          <cell r="AQ304">
            <v>771927.73</v>
          </cell>
          <cell r="AR304">
            <v>771927.73</v>
          </cell>
          <cell r="AS304">
            <v>771927.73</v>
          </cell>
          <cell r="AT304">
            <v>771927.73</v>
          </cell>
          <cell r="AU304">
            <v>771927.73</v>
          </cell>
          <cell r="AV304">
            <v>771927.73</v>
          </cell>
          <cell r="AW304">
            <v>771927.73</v>
          </cell>
          <cell r="AX304">
            <v>771927.73</v>
          </cell>
          <cell r="AY304">
            <v>771927.73</v>
          </cell>
          <cell r="AZ304">
            <v>771927.73</v>
          </cell>
          <cell r="BA304">
            <v>771927.73</v>
          </cell>
          <cell r="BB304">
            <v>771927.73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446482.51999999996</v>
          </cell>
          <cell r="C425">
            <v>396823.37999999995</v>
          </cell>
          <cell r="D425">
            <v>393266.89</v>
          </cell>
          <cell r="E425">
            <v>371755.06000000006</v>
          </cell>
          <cell r="F425">
            <v>402206.32999999996</v>
          </cell>
          <cell r="G425">
            <v>525381.56999999995</v>
          </cell>
          <cell r="H425">
            <v>425153.41</v>
          </cell>
          <cell r="I425">
            <v>478755.37</v>
          </cell>
          <cell r="J425">
            <v>464306.76</v>
          </cell>
          <cell r="K425">
            <v>492766.18</v>
          </cell>
          <cell r="L425">
            <v>559502.22</v>
          </cell>
          <cell r="M425">
            <v>498559.25000000006</v>
          </cell>
          <cell r="N425">
            <v>511363.76</v>
          </cell>
          <cell r="O425">
            <v>532418.01</v>
          </cell>
          <cell r="P425">
            <v>446788.62</v>
          </cell>
          <cell r="Q425">
            <v>454782.04</v>
          </cell>
          <cell r="R425">
            <v>536125.62</v>
          </cell>
          <cell r="S425">
            <v>736991.19</v>
          </cell>
          <cell r="T425">
            <v>549553.06000000006</v>
          </cell>
          <cell r="U425">
            <v>563072.07999999996</v>
          </cell>
          <cell r="V425">
            <v>609326.31999999995</v>
          </cell>
          <cell r="W425">
            <v>767692.65999999992</v>
          </cell>
          <cell r="X425">
            <v>702196.1</v>
          </cell>
          <cell r="Y425">
            <v>784925.61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</row>
        <row r="426">
          <cell r="A426" t="str">
            <v>ptd</v>
          </cell>
          <cell r="B426">
            <v>446482.51999999996</v>
          </cell>
          <cell r="C426">
            <v>843305.89999999991</v>
          </cell>
          <cell r="D426">
            <v>1236572.79</v>
          </cell>
          <cell r="E426">
            <v>1608327.85</v>
          </cell>
          <cell r="F426">
            <v>402206.32999999996</v>
          </cell>
          <cell r="G426">
            <v>927587.89999999991</v>
          </cell>
          <cell r="H426">
            <v>1352741.3099999998</v>
          </cell>
          <cell r="I426">
            <v>1831496.6799999997</v>
          </cell>
          <cell r="J426">
            <v>464306.76</v>
          </cell>
          <cell r="K426">
            <v>957072.94</v>
          </cell>
          <cell r="L426">
            <v>1516575.16</v>
          </cell>
          <cell r="M426">
            <v>2015134.41</v>
          </cell>
          <cell r="N426">
            <v>511363.76</v>
          </cell>
          <cell r="O426">
            <v>1043781.77</v>
          </cell>
          <cell r="P426">
            <v>1490570.3900000001</v>
          </cell>
          <cell r="Q426">
            <v>1945352.4300000002</v>
          </cell>
          <cell r="R426">
            <v>536125.62</v>
          </cell>
          <cell r="S426">
            <v>1273116.81</v>
          </cell>
          <cell r="T426">
            <v>1822669.87</v>
          </cell>
          <cell r="U426">
            <v>2385741.9500000002</v>
          </cell>
          <cell r="V426">
            <v>609326.31999999995</v>
          </cell>
          <cell r="W426">
            <v>1377018.98</v>
          </cell>
          <cell r="X426">
            <v>2079215.08</v>
          </cell>
          <cell r="Y426">
            <v>2864140.69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</row>
        <row r="427">
          <cell r="A427" t="str">
            <v>qtd</v>
          </cell>
          <cell r="B427">
            <v>446482.51999999996</v>
          </cell>
          <cell r="C427">
            <v>843305.89999999991</v>
          </cell>
          <cell r="D427">
            <v>1236572.79</v>
          </cell>
          <cell r="E427">
            <v>1608327.85</v>
          </cell>
          <cell r="F427">
            <v>2010534.1800000002</v>
          </cell>
          <cell r="G427">
            <v>2535915.75</v>
          </cell>
          <cell r="H427">
            <v>2961069.16</v>
          </cell>
          <cell r="I427">
            <v>3439824.5300000003</v>
          </cell>
          <cell r="J427">
            <v>3904131.29</v>
          </cell>
          <cell r="K427">
            <v>4396897.47</v>
          </cell>
          <cell r="L427">
            <v>4956399.6899999995</v>
          </cell>
          <cell r="M427">
            <v>5454958.9399999995</v>
          </cell>
          <cell r="N427">
            <v>511363.76</v>
          </cell>
          <cell r="O427">
            <v>1043781.77</v>
          </cell>
          <cell r="P427">
            <v>1490570.3900000001</v>
          </cell>
          <cell r="Q427">
            <v>1945352.4300000002</v>
          </cell>
          <cell r="R427">
            <v>2481478.0500000003</v>
          </cell>
          <cell r="S427">
            <v>3218469.24</v>
          </cell>
          <cell r="T427">
            <v>3768022.3000000003</v>
          </cell>
          <cell r="U427">
            <v>4331094.38</v>
          </cell>
          <cell r="V427">
            <v>4940420.7</v>
          </cell>
          <cell r="W427">
            <v>5708113.3600000003</v>
          </cell>
          <cell r="X427">
            <v>6410309.46</v>
          </cell>
          <cell r="Y427">
            <v>7195235.0700000003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</row>
        <row r="428">
          <cell r="A428" t="str">
            <v>ytd</v>
          </cell>
          <cell r="B428">
            <v>446482.51999999996</v>
          </cell>
          <cell r="C428">
            <v>843305.89999999991</v>
          </cell>
          <cell r="D428">
            <v>1236572.79</v>
          </cell>
          <cell r="E428">
            <v>1608327.85</v>
          </cell>
          <cell r="F428">
            <v>2010534.1800000002</v>
          </cell>
          <cell r="G428">
            <v>2535915.75</v>
          </cell>
          <cell r="H428">
            <v>2961069.16</v>
          </cell>
          <cell r="I428">
            <v>3439824.5300000003</v>
          </cell>
          <cell r="J428">
            <v>3904131.29</v>
          </cell>
          <cell r="K428">
            <v>4396897.47</v>
          </cell>
          <cell r="L428">
            <v>4956399.6899999995</v>
          </cell>
          <cell r="M428">
            <v>5454958.9399999995</v>
          </cell>
          <cell r="N428">
            <v>5966322.6999999993</v>
          </cell>
          <cell r="O428">
            <v>6498740.709999999</v>
          </cell>
          <cell r="P428">
            <v>6945529.3299999991</v>
          </cell>
          <cell r="Q428">
            <v>7400311.3699999992</v>
          </cell>
          <cell r="R428">
            <v>7936436.9899999993</v>
          </cell>
          <cell r="S428">
            <v>8673428.1799999997</v>
          </cell>
          <cell r="T428">
            <v>9222981.2400000002</v>
          </cell>
          <cell r="U428">
            <v>9786053.3200000003</v>
          </cell>
          <cell r="V428">
            <v>10395379.640000001</v>
          </cell>
          <cell r="W428">
            <v>11163072.300000001</v>
          </cell>
          <cell r="X428">
            <v>11865268.4</v>
          </cell>
          <cell r="Y428">
            <v>12650194.01</v>
          </cell>
          <cell r="Z428">
            <v>12650194.01</v>
          </cell>
          <cell r="AA428">
            <v>12650194.01</v>
          </cell>
          <cell r="AB428">
            <v>12650194.01</v>
          </cell>
          <cell r="AC428">
            <v>12650194.01</v>
          </cell>
          <cell r="AD428">
            <v>12650194.01</v>
          </cell>
          <cell r="AE428">
            <v>12650194.01</v>
          </cell>
          <cell r="AF428">
            <v>12650194.01</v>
          </cell>
          <cell r="AG428">
            <v>12650194.01</v>
          </cell>
          <cell r="AH428">
            <v>12650194.01</v>
          </cell>
          <cell r="AI428">
            <v>12650194.01</v>
          </cell>
          <cell r="AJ428">
            <v>12650194.01</v>
          </cell>
          <cell r="AK428">
            <v>12650194.01</v>
          </cell>
          <cell r="AL428">
            <v>12650194.01</v>
          </cell>
          <cell r="AM428">
            <v>12650194.01</v>
          </cell>
          <cell r="AN428">
            <v>12650194.01</v>
          </cell>
          <cell r="AO428">
            <v>12650194.01</v>
          </cell>
          <cell r="AP428">
            <v>12650194.01</v>
          </cell>
          <cell r="AQ428">
            <v>12650194.01</v>
          </cell>
          <cell r="AR428">
            <v>12650194.01</v>
          </cell>
          <cell r="AS428">
            <v>12650194.01</v>
          </cell>
          <cell r="AT428">
            <v>12650194.01</v>
          </cell>
          <cell r="AU428">
            <v>12650194.01</v>
          </cell>
          <cell r="AV428">
            <v>12650194.01</v>
          </cell>
          <cell r="AW428">
            <v>12650194.01</v>
          </cell>
          <cell r="AX428">
            <v>12650194.01</v>
          </cell>
          <cell r="AY428">
            <v>12650194.01</v>
          </cell>
          <cell r="AZ428">
            <v>12650194.01</v>
          </cell>
          <cell r="BA428">
            <v>12650194.01</v>
          </cell>
          <cell r="BB428">
            <v>12650194.01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234552.09</v>
          </cell>
          <cell r="C433">
            <v>194430.67</v>
          </cell>
          <cell r="D433">
            <v>189524.04</v>
          </cell>
          <cell r="E433">
            <v>159410</v>
          </cell>
          <cell r="F433">
            <v>191174.64</v>
          </cell>
          <cell r="G433">
            <v>212561.84</v>
          </cell>
          <cell r="H433">
            <v>218004.91</v>
          </cell>
          <cell r="I433">
            <v>260561.9</v>
          </cell>
          <cell r="J433">
            <v>214374.19</v>
          </cell>
          <cell r="K433">
            <v>217462.9</v>
          </cell>
          <cell r="L433">
            <v>241831.64</v>
          </cell>
          <cell r="M433">
            <v>226548.98</v>
          </cell>
          <cell r="N433">
            <v>242696.13</v>
          </cell>
          <cell r="O433">
            <v>247553.73</v>
          </cell>
          <cell r="P433">
            <v>232211.45</v>
          </cell>
          <cell r="Q433">
            <v>224960.38</v>
          </cell>
          <cell r="R433">
            <v>272878.69</v>
          </cell>
          <cell r="S433">
            <v>387818.13</v>
          </cell>
          <cell r="T433">
            <v>285627.65999999997</v>
          </cell>
          <cell r="U433">
            <v>287728.56</v>
          </cell>
          <cell r="V433">
            <v>302315.93</v>
          </cell>
          <cell r="W433">
            <v>339095.9</v>
          </cell>
          <cell r="X433">
            <v>293348.84999999998</v>
          </cell>
          <cell r="Y433">
            <v>324550.21000000002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</row>
        <row r="434">
          <cell r="A434" t="str">
            <v>ptd</v>
          </cell>
          <cell r="B434">
            <v>234552.09</v>
          </cell>
          <cell r="C434">
            <v>428982.76</v>
          </cell>
          <cell r="D434">
            <v>618506.80000000005</v>
          </cell>
          <cell r="E434">
            <v>777916.8</v>
          </cell>
          <cell r="F434">
            <v>191174.64</v>
          </cell>
          <cell r="G434">
            <v>403736.48</v>
          </cell>
          <cell r="H434">
            <v>621741.39</v>
          </cell>
          <cell r="I434">
            <v>882303.29</v>
          </cell>
          <cell r="J434">
            <v>214374.19</v>
          </cell>
          <cell r="K434">
            <v>431837.08999999997</v>
          </cell>
          <cell r="L434">
            <v>673668.73</v>
          </cell>
          <cell r="M434">
            <v>900217.71</v>
          </cell>
          <cell r="N434">
            <v>242696.13</v>
          </cell>
          <cell r="O434">
            <v>490249.86</v>
          </cell>
          <cell r="P434">
            <v>722461.31</v>
          </cell>
          <cell r="Q434">
            <v>947421.69000000006</v>
          </cell>
          <cell r="R434">
            <v>272878.69</v>
          </cell>
          <cell r="S434">
            <v>660696.82000000007</v>
          </cell>
          <cell r="T434">
            <v>946324.47999999998</v>
          </cell>
          <cell r="U434">
            <v>1234053.04</v>
          </cell>
          <cell r="V434">
            <v>302315.93</v>
          </cell>
          <cell r="W434">
            <v>641411.83000000007</v>
          </cell>
          <cell r="X434">
            <v>934760.68</v>
          </cell>
          <cell r="Y434">
            <v>1259310.8900000001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</row>
        <row r="435">
          <cell r="A435" t="str">
            <v>qtd</v>
          </cell>
          <cell r="B435">
            <v>234552.09</v>
          </cell>
          <cell r="C435">
            <v>428982.76</v>
          </cell>
          <cell r="D435">
            <v>618506.80000000005</v>
          </cell>
          <cell r="E435">
            <v>777916.8</v>
          </cell>
          <cell r="F435">
            <v>969091.44000000006</v>
          </cell>
          <cell r="G435">
            <v>1181653.28</v>
          </cell>
          <cell r="H435">
            <v>1399658.19</v>
          </cell>
          <cell r="I435">
            <v>1660220.0899999999</v>
          </cell>
          <cell r="J435">
            <v>1874594.2799999998</v>
          </cell>
          <cell r="K435">
            <v>2092057.1799999997</v>
          </cell>
          <cell r="L435">
            <v>2333888.8199999998</v>
          </cell>
          <cell r="M435">
            <v>2560437.7999999998</v>
          </cell>
          <cell r="N435">
            <v>242696.13</v>
          </cell>
          <cell r="O435">
            <v>490249.86</v>
          </cell>
          <cell r="P435">
            <v>722461.31</v>
          </cell>
          <cell r="Q435">
            <v>947421.69000000006</v>
          </cell>
          <cell r="R435">
            <v>1220300.3800000001</v>
          </cell>
          <cell r="S435">
            <v>1608118.5100000002</v>
          </cell>
          <cell r="T435">
            <v>1893746.1700000002</v>
          </cell>
          <cell r="U435">
            <v>2181474.73</v>
          </cell>
          <cell r="V435">
            <v>2483790.66</v>
          </cell>
          <cell r="W435">
            <v>2822886.56</v>
          </cell>
          <cell r="X435">
            <v>3116235.41</v>
          </cell>
          <cell r="Y435">
            <v>3440785.62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</row>
        <row r="436">
          <cell r="A436" t="str">
            <v>ytd</v>
          </cell>
          <cell r="B436">
            <v>234552.09</v>
          </cell>
          <cell r="C436">
            <v>428982.76</v>
          </cell>
          <cell r="D436">
            <v>618506.80000000005</v>
          </cell>
          <cell r="E436">
            <v>777916.8</v>
          </cell>
          <cell r="F436">
            <v>969091.44000000006</v>
          </cell>
          <cell r="G436">
            <v>1181653.28</v>
          </cell>
          <cell r="H436">
            <v>1399658.19</v>
          </cell>
          <cell r="I436">
            <v>1660220.0899999999</v>
          </cell>
          <cell r="J436">
            <v>1874594.2799999998</v>
          </cell>
          <cell r="K436">
            <v>2092057.1799999997</v>
          </cell>
          <cell r="L436">
            <v>2333888.8199999998</v>
          </cell>
          <cell r="M436">
            <v>2560437.7999999998</v>
          </cell>
          <cell r="N436">
            <v>2803133.9299999997</v>
          </cell>
          <cell r="O436">
            <v>3050687.6599999997</v>
          </cell>
          <cell r="P436">
            <v>3282899.11</v>
          </cell>
          <cell r="Q436">
            <v>3507859.4899999998</v>
          </cell>
          <cell r="R436">
            <v>3780738.1799999997</v>
          </cell>
          <cell r="S436">
            <v>4168556.3099999996</v>
          </cell>
          <cell r="T436">
            <v>4454183.97</v>
          </cell>
          <cell r="U436">
            <v>4741912.5299999993</v>
          </cell>
          <cell r="V436">
            <v>5044228.459999999</v>
          </cell>
          <cell r="W436">
            <v>5383324.3599999994</v>
          </cell>
          <cell r="X436">
            <v>5676673.209999999</v>
          </cell>
          <cell r="Y436">
            <v>6001223.419999999</v>
          </cell>
          <cell r="Z436">
            <v>6001223.419999999</v>
          </cell>
          <cell r="AA436">
            <v>6001223.419999999</v>
          </cell>
          <cell r="AB436">
            <v>6001223.419999999</v>
          </cell>
          <cell r="AC436">
            <v>6001223.419999999</v>
          </cell>
          <cell r="AD436">
            <v>6001223.419999999</v>
          </cell>
          <cell r="AE436">
            <v>6001223.419999999</v>
          </cell>
          <cell r="AF436">
            <v>6001223.419999999</v>
          </cell>
          <cell r="AG436">
            <v>6001223.419999999</v>
          </cell>
          <cell r="AH436">
            <v>6001223.419999999</v>
          </cell>
          <cell r="AI436">
            <v>6001223.419999999</v>
          </cell>
          <cell r="AJ436">
            <v>6001223.419999999</v>
          </cell>
          <cell r="AK436">
            <v>6001223.419999999</v>
          </cell>
          <cell r="AL436">
            <v>6001223.419999999</v>
          </cell>
          <cell r="AM436">
            <v>6001223.419999999</v>
          </cell>
          <cell r="AN436">
            <v>6001223.419999999</v>
          </cell>
          <cell r="AO436">
            <v>6001223.419999999</v>
          </cell>
          <cell r="AP436">
            <v>6001223.419999999</v>
          </cell>
          <cell r="AQ436">
            <v>6001223.419999999</v>
          </cell>
          <cell r="AR436">
            <v>6001223.419999999</v>
          </cell>
          <cell r="AS436">
            <v>6001223.419999999</v>
          </cell>
          <cell r="AT436">
            <v>6001223.419999999</v>
          </cell>
          <cell r="AU436">
            <v>6001223.419999999</v>
          </cell>
          <cell r="AV436">
            <v>6001223.419999999</v>
          </cell>
          <cell r="AW436">
            <v>6001223.419999999</v>
          </cell>
          <cell r="AX436">
            <v>6001223.419999999</v>
          </cell>
          <cell r="AY436">
            <v>6001223.419999999</v>
          </cell>
          <cell r="AZ436">
            <v>6001223.419999999</v>
          </cell>
          <cell r="BA436">
            <v>6001223.419999999</v>
          </cell>
          <cell r="BB436">
            <v>6001223.419999999</v>
          </cell>
        </row>
        <row r="437">
          <cell r="A437" t="str">
            <v>SPRT</v>
          </cell>
          <cell r="B437">
            <v>5523.36</v>
          </cell>
          <cell r="C437">
            <v>5670.11</v>
          </cell>
          <cell r="D437">
            <v>5403.79</v>
          </cell>
          <cell r="E437">
            <v>5575.61</v>
          </cell>
          <cell r="F437">
            <v>5383.33</v>
          </cell>
          <cell r="G437">
            <v>5465.44</v>
          </cell>
          <cell r="H437">
            <v>5515.36</v>
          </cell>
          <cell r="I437">
            <v>6343.26</v>
          </cell>
          <cell r="J437">
            <v>6269.47</v>
          </cell>
          <cell r="K437">
            <v>7422.82</v>
          </cell>
          <cell r="L437">
            <v>6018.05</v>
          </cell>
          <cell r="M437">
            <v>5973.77</v>
          </cell>
          <cell r="N437">
            <v>5987.3</v>
          </cell>
          <cell r="O437">
            <v>6317.18</v>
          </cell>
          <cell r="P437">
            <v>3713.07</v>
          </cell>
          <cell r="Q437">
            <v>4820.0200000000004</v>
          </cell>
          <cell r="R437">
            <v>6361.79</v>
          </cell>
          <cell r="S437">
            <v>4644.4799999999996</v>
          </cell>
          <cell r="T437">
            <v>5957.66</v>
          </cell>
          <cell r="U437">
            <v>5559.93</v>
          </cell>
          <cell r="V437">
            <v>5915.53</v>
          </cell>
          <cell r="W437">
            <v>6144.92</v>
          </cell>
          <cell r="X437">
            <v>6539.68</v>
          </cell>
          <cell r="Y437">
            <v>10735.35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</row>
        <row r="438">
          <cell r="A438" t="str">
            <v>ptd</v>
          </cell>
          <cell r="B438">
            <v>5523.36</v>
          </cell>
          <cell r="C438">
            <v>11193.47</v>
          </cell>
          <cell r="D438">
            <v>16597.259999999998</v>
          </cell>
          <cell r="E438">
            <v>22172.87</v>
          </cell>
          <cell r="F438">
            <v>5383.33</v>
          </cell>
          <cell r="G438">
            <v>10848.77</v>
          </cell>
          <cell r="H438">
            <v>16364.130000000001</v>
          </cell>
          <cell r="I438">
            <v>22707.39</v>
          </cell>
          <cell r="J438">
            <v>6269.47</v>
          </cell>
          <cell r="K438">
            <v>13692.29</v>
          </cell>
          <cell r="L438">
            <v>19710.34</v>
          </cell>
          <cell r="M438">
            <v>25684.11</v>
          </cell>
          <cell r="N438">
            <v>5987.3</v>
          </cell>
          <cell r="O438">
            <v>12304.48</v>
          </cell>
          <cell r="P438">
            <v>16017.55</v>
          </cell>
          <cell r="Q438">
            <v>20837.57</v>
          </cell>
          <cell r="R438">
            <v>6361.79</v>
          </cell>
          <cell r="S438">
            <v>11006.27</v>
          </cell>
          <cell r="T438">
            <v>16963.93</v>
          </cell>
          <cell r="U438">
            <v>22523.86</v>
          </cell>
          <cell r="V438">
            <v>5915.53</v>
          </cell>
          <cell r="W438">
            <v>12060.45</v>
          </cell>
          <cell r="X438">
            <v>18600.13</v>
          </cell>
          <cell r="Y438">
            <v>29335.480000000003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</row>
        <row r="439">
          <cell r="A439" t="str">
            <v>qtd</v>
          </cell>
          <cell r="B439">
            <v>5523.36</v>
          </cell>
          <cell r="C439">
            <v>11193.47</v>
          </cell>
          <cell r="D439">
            <v>16597.259999999998</v>
          </cell>
          <cell r="E439">
            <v>22172.87</v>
          </cell>
          <cell r="F439">
            <v>27556.199999999997</v>
          </cell>
          <cell r="G439">
            <v>33021.64</v>
          </cell>
          <cell r="H439">
            <v>38537</v>
          </cell>
          <cell r="I439">
            <v>44880.26</v>
          </cell>
          <cell r="J439">
            <v>51149.73</v>
          </cell>
          <cell r="K439">
            <v>58572.55</v>
          </cell>
          <cell r="L439">
            <v>64590.600000000006</v>
          </cell>
          <cell r="M439">
            <v>70564.37000000001</v>
          </cell>
          <cell r="N439">
            <v>5987.3</v>
          </cell>
          <cell r="O439">
            <v>12304.48</v>
          </cell>
          <cell r="P439">
            <v>16017.55</v>
          </cell>
          <cell r="Q439">
            <v>20837.57</v>
          </cell>
          <cell r="R439">
            <v>27199.360000000001</v>
          </cell>
          <cell r="S439">
            <v>31843.84</v>
          </cell>
          <cell r="T439">
            <v>37801.5</v>
          </cell>
          <cell r="U439">
            <v>43361.43</v>
          </cell>
          <cell r="V439">
            <v>49276.959999999999</v>
          </cell>
          <cell r="W439">
            <v>55421.88</v>
          </cell>
          <cell r="X439">
            <v>61961.56</v>
          </cell>
          <cell r="Y439">
            <v>72696.91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</row>
        <row r="440">
          <cell r="A440" t="str">
            <v>ytd</v>
          </cell>
          <cell r="B440">
            <v>5523.36</v>
          </cell>
          <cell r="C440">
            <v>11193.47</v>
          </cell>
          <cell r="D440">
            <v>16597.259999999998</v>
          </cell>
          <cell r="E440">
            <v>22172.87</v>
          </cell>
          <cell r="F440">
            <v>27556.199999999997</v>
          </cell>
          <cell r="G440">
            <v>33021.64</v>
          </cell>
          <cell r="H440">
            <v>38537</v>
          </cell>
          <cell r="I440">
            <v>44880.26</v>
          </cell>
          <cell r="J440">
            <v>51149.73</v>
          </cell>
          <cell r="K440">
            <v>58572.55</v>
          </cell>
          <cell r="L440">
            <v>64590.600000000006</v>
          </cell>
          <cell r="M440">
            <v>70564.37000000001</v>
          </cell>
          <cell r="N440">
            <v>76551.670000000013</v>
          </cell>
          <cell r="O440">
            <v>82868.850000000006</v>
          </cell>
          <cell r="P440">
            <v>86581.920000000013</v>
          </cell>
          <cell r="Q440">
            <v>91401.940000000017</v>
          </cell>
          <cell r="R440">
            <v>97763.73000000001</v>
          </cell>
          <cell r="S440">
            <v>102408.21</v>
          </cell>
          <cell r="T440">
            <v>108365.87000000001</v>
          </cell>
          <cell r="U440">
            <v>113925.80000000002</v>
          </cell>
          <cell r="V440">
            <v>119841.33000000002</v>
          </cell>
          <cell r="W440">
            <v>125986.25000000001</v>
          </cell>
          <cell r="X440">
            <v>132525.93000000002</v>
          </cell>
          <cell r="Y440">
            <v>143261.28000000003</v>
          </cell>
          <cell r="Z440">
            <v>143261.28000000003</v>
          </cell>
          <cell r="AA440">
            <v>143261.28000000003</v>
          </cell>
          <cell r="AB440">
            <v>143261.28000000003</v>
          </cell>
          <cell r="AC440">
            <v>143261.28000000003</v>
          </cell>
          <cell r="AD440">
            <v>143261.28000000003</v>
          </cell>
          <cell r="AE440">
            <v>143261.28000000003</v>
          </cell>
          <cell r="AF440">
            <v>143261.28000000003</v>
          </cell>
          <cell r="AG440">
            <v>143261.28000000003</v>
          </cell>
          <cell r="AH440">
            <v>143261.28000000003</v>
          </cell>
          <cell r="AI440">
            <v>143261.28000000003</v>
          </cell>
          <cell r="AJ440">
            <v>143261.28000000003</v>
          </cell>
          <cell r="AK440">
            <v>143261.28000000003</v>
          </cell>
          <cell r="AL440">
            <v>143261.28000000003</v>
          </cell>
          <cell r="AM440">
            <v>143261.28000000003</v>
          </cell>
          <cell r="AN440">
            <v>143261.28000000003</v>
          </cell>
          <cell r="AO440">
            <v>143261.28000000003</v>
          </cell>
          <cell r="AP440">
            <v>143261.28000000003</v>
          </cell>
          <cell r="AQ440">
            <v>143261.28000000003</v>
          </cell>
          <cell r="AR440">
            <v>143261.28000000003</v>
          </cell>
          <cell r="AS440">
            <v>143261.28000000003</v>
          </cell>
          <cell r="AT440">
            <v>143261.28000000003</v>
          </cell>
          <cell r="AU440">
            <v>143261.28000000003</v>
          </cell>
          <cell r="AV440">
            <v>143261.28000000003</v>
          </cell>
          <cell r="AW440">
            <v>143261.28000000003</v>
          </cell>
          <cell r="AX440">
            <v>143261.28000000003</v>
          </cell>
          <cell r="AY440">
            <v>143261.28000000003</v>
          </cell>
          <cell r="AZ440">
            <v>143261.28000000003</v>
          </cell>
          <cell r="BA440">
            <v>143261.28000000003</v>
          </cell>
          <cell r="BB440">
            <v>143261.28000000003</v>
          </cell>
        </row>
        <row r="441">
          <cell r="A441" t="str">
            <v>TELE</v>
          </cell>
          <cell r="B441">
            <v>85.52</v>
          </cell>
          <cell r="C441">
            <v>82.79</v>
          </cell>
          <cell r="D441">
            <v>49.57</v>
          </cell>
          <cell r="E441">
            <v>59.45</v>
          </cell>
          <cell r="F441">
            <v>38.46</v>
          </cell>
          <cell r="G441">
            <v>10.130000000000001</v>
          </cell>
          <cell r="H441">
            <v>40.520000000000003</v>
          </cell>
          <cell r="I441">
            <v>40.520000000000003</v>
          </cell>
          <cell r="J441">
            <v>50.65</v>
          </cell>
          <cell r="K441">
            <v>50.65</v>
          </cell>
          <cell r="L441">
            <v>60.78</v>
          </cell>
          <cell r="M441">
            <v>40.520000000000003</v>
          </cell>
          <cell r="N441">
            <v>53.24</v>
          </cell>
          <cell r="O441">
            <v>42.57</v>
          </cell>
          <cell r="P441">
            <v>32.590000000000003</v>
          </cell>
          <cell r="Q441">
            <v>64.72</v>
          </cell>
          <cell r="R441">
            <v>43</v>
          </cell>
          <cell r="S441">
            <v>123.49</v>
          </cell>
          <cell r="T441">
            <v>68.66</v>
          </cell>
          <cell r="U441">
            <v>80.86</v>
          </cell>
          <cell r="V441">
            <v>58.69</v>
          </cell>
          <cell r="W441">
            <v>47.95</v>
          </cell>
          <cell r="X441">
            <v>60.15</v>
          </cell>
          <cell r="Y441">
            <v>59.68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</row>
        <row r="442">
          <cell r="A442" t="str">
            <v>ptd</v>
          </cell>
          <cell r="B442">
            <v>85.52</v>
          </cell>
          <cell r="C442">
            <v>168.31</v>
          </cell>
          <cell r="D442">
            <v>217.88</v>
          </cell>
          <cell r="E442">
            <v>277.33</v>
          </cell>
          <cell r="F442">
            <v>38.46</v>
          </cell>
          <cell r="G442">
            <v>48.59</v>
          </cell>
          <cell r="H442">
            <v>89.110000000000014</v>
          </cell>
          <cell r="I442">
            <v>129.63000000000002</v>
          </cell>
          <cell r="J442">
            <v>50.65</v>
          </cell>
          <cell r="K442">
            <v>101.3</v>
          </cell>
          <cell r="L442">
            <v>162.07999999999998</v>
          </cell>
          <cell r="M442">
            <v>202.6</v>
          </cell>
          <cell r="N442">
            <v>53.24</v>
          </cell>
          <cell r="O442">
            <v>95.81</v>
          </cell>
          <cell r="P442">
            <v>128.4</v>
          </cell>
          <cell r="Q442">
            <v>193.12</v>
          </cell>
          <cell r="R442">
            <v>43</v>
          </cell>
          <cell r="S442">
            <v>166.49</v>
          </cell>
          <cell r="T442">
            <v>235.15</v>
          </cell>
          <cell r="U442">
            <v>316.01</v>
          </cell>
          <cell r="V442">
            <v>58.69</v>
          </cell>
          <cell r="W442">
            <v>106.64</v>
          </cell>
          <cell r="X442">
            <v>166.79</v>
          </cell>
          <cell r="Y442">
            <v>226.47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</row>
        <row r="443">
          <cell r="A443" t="str">
            <v>qtd</v>
          </cell>
          <cell r="B443">
            <v>85.52</v>
          </cell>
          <cell r="C443">
            <v>168.31</v>
          </cell>
          <cell r="D443">
            <v>217.88</v>
          </cell>
          <cell r="E443">
            <v>277.33</v>
          </cell>
          <cell r="F443">
            <v>315.78999999999996</v>
          </cell>
          <cell r="G443">
            <v>325.91999999999996</v>
          </cell>
          <cell r="H443">
            <v>366.43999999999994</v>
          </cell>
          <cell r="I443">
            <v>406.95999999999992</v>
          </cell>
          <cell r="J443">
            <v>457.6099999999999</v>
          </cell>
          <cell r="K443">
            <v>508.25999999999988</v>
          </cell>
          <cell r="L443">
            <v>569.03999999999985</v>
          </cell>
          <cell r="M443">
            <v>609.55999999999983</v>
          </cell>
          <cell r="N443">
            <v>53.24</v>
          </cell>
          <cell r="O443">
            <v>95.81</v>
          </cell>
          <cell r="P443">
            <v>128.4</v>
          </cell>
          <cell r="Q443">
            <v>193.12</v>
          </cell>
          <cell r="R443">
            <v>236.12</v>
          </cell>
          <cell r="S443">
            <v>359.61</v>
          </cell>
          <cell r="T443">
            <v>428.27</v>
          </cell>
          <cell r="U443">
            <v>509.13</v>
          </cell>
          <cell r="V443">
            <v>567.81999999999994</v>
          </cell>
          <cell r="W443">
            <v>615.77</v>
          </cell>
          <cell r="X443">
            <v>675.92</v>
          </cell>
          <cell r="Y443">
            <v>735.59999999999991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</row>
        <row r="444">
          <cell r="A444" t="str">
            <v>ytd</v>
          </cell>
          <cell r="B444">
            <v>85.52</v>
          </cell>
          <cell r="C444">
            <v>168.31</v>
          </cell>
          <cell r="D444">
            <v>217.88</v>
          </cell>
          <cell r="E444">
            <v>277.33</v>
          </cell>
          <cell r="F444">
            <v>315.78999999999996</v>
          </cell>
          <cell r="G444">
            <v>325.91999999999996</v>
          </cell>
          <cell r="H444">
            <v>366.43999999999994</v>
          </cell>
          <cell r="I444">
            <v>406.95999999999992</v>
          </cell>
          <cell r="J444">
            <v>457.6099999999999</v>
          </cell>
          <cell r="K444">
            <v>508.25999999999988</v>
          </cell>
          <cell r="L444">
            <v>569.03999999999985</v>
          </cell>
          <cell r="M444">
            <v>609.55999999999983</v>
          </cell>
          <cell r="N444">
            <v>662.79999999999984</v>
          </cell>
          <cell r="O444">
            <v>705.36999999999989</v>
          </cell>
          <cell r="P444">
            <v>737.95999999999992</v>
          </cell>
          <cell r="Q444">
            <v>802.68</v>
          </cell>
          <cell r="R444">
            <v>845.68</v>
          </cell>
          <cell r="S444">
            <v>969.17</v>
          </cell>
          <cell r="T444">
            <v>1037.83</v>
          </cell>
          <cell r="U444">
            <v>1118.6899999999998</v>
          </cell>
          <cell r="V444">
            <v>1177.3799999999999</v>
          </cell>
          <cell r="W444">
            <v>1225.33</v>
          </cell>
          <cell r="X444">
            <v>1285.48</v>
          </cell>
          <cell r="Y444">
            <v>1345.16</v>
          </cell>
          <cell r="Z444">
            <v>1345.16</v>
          </cell>
          <cell r="AA444">
            <v>1345.16</v>
          </cell>
          <cell r="AB444">
            <v>1345.16</v>
          </cell>
          <cell r="AC444">
            <v>1345.16</v>
          </cell>
          <cell r="AD444">
            <v>1345.16</v>
          </cell>
          <cell r="AE444">
            <v>1345.16</v>
          </cell>
          <cell r="AF444">
            <v>1345.16</v>
          </cell>
          <cell r="AG444">
            <v>1345.16</v>
          </cell>
          <cell r="AH444">
            <v>1345.16</v>
          </cell>
          <cell r="AI444">
            <v>1345.16</v>
          </cell>
          <cell r="AJ444">
            <v>1345.16</v>
          </cell>
          <cell r="AK444">
            <v>1345.16</v>
          </cell>
          <cell r="AL444">
            <v>1345.16</v>
          </cell>
          <cell r="AM444">
            <v>1345.16</v>
          </cell>
          <cell r="AN444">
            <v>1345.16</v>
          </cell>
          <cell r="AO444">
            <v>1345.16</v>
          </cell>
          <cell r="AP444">
            <v>1345.16</v>
          </cell>
          <cell r="AQ444">
            <v>1345.16</v>
          </cell>
          <cell r="AR444">
            <v>1345.16</v>
          </cell>
          <cell r="AS444">
            <v>1345.16</v>
          </cell>
          <cell r="AT444">
            <v>1345.16</v>
          </cell>
          <cell r="AU444">
            <v>1345.16</v>
          </cell>
          <cell r="AV444">
            <v>1345.16</v>
          </cell>
          <cell r="AW444">
            <v>1345.16</v>
          </cell>
          <cell r="AX444">
            <v>1345.16</v>
          </cell>
          <cell r="AY444">
            <v>1345.16</v>
          </cell>
          <cell r="AZ444">
            <v>1345.16</v>
          </cell>
          <cell r="BA444">
            <v>1345.16</v>
          </cell>
          <cell r="BB444">
            <v>1345.16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686643.49</v>
          </cell>
          <cell r="C453">
            <v>597006.95000000007</v>
          </cell>
          <cell r="D453">
            <v>588244.29</v>
          </cell>
          <cell r="E453">
            <v>536800.12</v>
          </cell>
          <cell r="F453">
            <v>598802.76</v>
          </cell>
          <cell r="G453">
            <v>743418.98</v>
          </cell>
          <cell r="H453">
            <v>648714.19999999995</v>
          </cell>
          <cell r="I453">
            <v>745701.04999999993</v>
          </cell>
          <cell r="J453">
            <v>685001.07000000007</v>
          </cell>
          <cell r="K453">
            <v>717702.54999999993</v>
          </cell>
          <cell r="L453">
            <v>807412.69000000006</v>
          </cell>
          <cell r="M453">
            <v>731122.52</v>
          </cell>
          <cell r="N453">
            <v>760100.42999999993</v>
          </cell>
          <cell r="O453">
            <v>786331.49000000011</v>
          </cell>
          <cell r="P453">
            <v>682745.73</v>
          </cell>
          <cell r="Q453">
            <v>684627.16000000015</v>
          </cell>
          <cell r="R453">
            <v>815409.10000000009</v>
          </cell>
          <cell r="S453">
            <v>1129577.29</v>
          </cell>
          <cell r="T453">
            <v>841207.03999999992</v>
          </cell>
          <cell r="U453">
            <v>856441.42999999993</v>
          </cell>
          <cell r="V453">
            <v>917616.47</v>
          </cell>
          <cell r="W453">
            <v>1112981.43</v>
          </cell>
          <cell r="X453">
            <v>1002144.78</v>
          </cell>
          <cell r="Y453">
            <v>1120270.8500000001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</row>
        <row r="454">
          <cell r="A454" t="str">
            <v>ptd</v>
          </cell>
          <cell r="B454">
            <v>686643.49</v>
          </cell>
          <cell r="C454">
            <v>1283650.44</v>
          </cell>
          <cell r="D454">
            <v>1871894.73</v>
          </cell>
          <cell r="E454">
            <v>2408694.85</v>
          </cell>
          <cell r="F454">
            <v>598802.76</v>
          </cell>
          <cell r="G454">
            <v>1342221.7399999998</v>
          </cell>
          <cell r="H454">
            <v>1990935.94</v>
          </cell>
          <cell r="I454">
            <v>2736636.9899999998</v>
          </cell>
          <cell r="J454">
            <v>685001.07000000007</v>
          </cell>
          <cell r="K454">
            <v>1402703.6199999999</v>
          </cell>
          <cell r="L454">
            <v>2210116.31</v>
          </cell>
          <cell r="M454">
            <v>2941238.83</v>
          </cell>
          <cell r="N454">
            <v>760100.43</v>
          </cell>
          <cell r="O454">
            <v>1546431.92</v>
          </cell>
          <cell r="P454">
            <v>2229177.6500000004</v>
          </cell>
          <cell r="Q454">
            <v>2913804.81</v>
          </cell>
          <cell r="R454">
            <v>815409.1</v>
          </cell>
          <cell r="S454">
            <v>1944986.3900000001</v>
          </cell>
          <cell r="T454">
            <v>2786193.43</v>
          </cell>
          <cell r="U454">
            <v>3642634.8600000003</v>
          </cell>
          <cell r="V454">
            <v>917616.47</v>
          </cell>
          <cell r="W454">
            <v>2030597.9</v>
          </cell>
          <cell r="X454">
            <v>3032742.68</v>
          </cell>
          <cell r="Y454">
            <v>4153013.5300000003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</row>
        <row r="455">
          <cell r="A455" t="str">
            <v>qtd</v>
          </cell>
          <cell r="B455">
            <v>686643.49</v>
          </cell>
          <cell r="C455">
            <v>1283650.44</v>
          </cell>
          <cell r="D455">
            <v>1871894.73</v>
          </cell>
          <cell r="E455">
            <v>2408694.85</v>
          </cell>
          <cell r="F455">
            <v>3007497.6100000003</v>
          </cell>
          <cell r="G455">
            <v>3750916.59</v>
          </cell>
          <cell r="H455">
            <v>4399630.79</v>
          </cell>
          <cell r="I455">
            <v>5145331.84</v>
          </cell>
          <cell r="J455">
            <v>5830332.9100000001</v>
          </cell>
          <cell r="K455">
            <v>6548035.459999999</v>
          </cell>
          <cell r="L455">
            <v>7355448.1499999994</v>
          </cell>
          <cell r="M455">
            <v>8086570.6699999999</v>
          </cell>
          <cell r="N455">
            <v>760100.43</v>
          </cell>
          <cell r="O455">
            <v>1546431.92</v>
          </cell>
          <cell r="P455">
            <v>2229177.6500000004</v>
          </cell>
          <cell r="Q455">
            <v>2913804.81</v>
          </cell>
          <cell r="R455">
            <v>3729213.91</v>
          </cell>
          <cell r="S455">
            <v>4858791.2</v>
          </cell>
          <cell r="T455">
            <v>5699998.2400000002</v>
          </cell>
          <cell r="U455">
            <v>6556439.6699999999</v>
          </cell>
          <cell r="V455">
            <v>7474056.1400000006</v>
          </cell>
          <cell r="W455">
            <v>8587037.5700000003</v>
          </cell>
          <cell r="X455">
            <v>9589182.3499999996</v>
          </cell>
          <cell r="Y455">
            <v>10709453.199999999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</row>
        <row r="456">
          <cell r="A456" t="str">
            <v>ytd</v>
          </cell>
          <cell r="B456">
            <v>686643.49</v>
          </cell>
          <cell r="C456">
            <v>1283650.44</v>
          </cell>
          <cell r="D456">
            <v>1871894.73</v>
          </cell>
          <cell r="E456">
            <v>2408694.85</v>
          </cell>
          <cell r="F456">
            <v>3007497.6100000003</v>
          </cell>
          <cell r="G456">
            <v>3750916.59</v>
          </cell>
          <cell r="H456">
            <v>4399630.79</v>
          </cell>
          <cell r="I456">
            <v>5145331.84</v>
          </cell>
          <cell r="J456">
            <v>5830332.9100000001</v>
          </cell>
          <cell r="K456">
            <v>6548035.459999999</v>
          </cell>
          <cell r="L456">
            <v>7355448.1499999994</v>
          </cell>
          <cell r="M456">
            <v>8086570.6699999999</v>
          </cell>
          <cell r="N456">
            <v>8846671.0999999996</v>
          </cell>
          <cell r="O456">
            <v>9633002.5899999999</v>
          </cell>
          <cell r="P456">
            <v>10315748.319999998</v>
          </cell>
          <cell r="Q456">
            <v>11000375.479999999</v>
          </cell>
          <cell r="R456">
            <v>11815784.579999998</v>
          </cell>
          <cell r="S456">
            <v>12945361.869999999</v>
          </cell>
          <cell r="T456">
            <v>13786568.91</v>
          </cell>
          <cell r="U456">
            <v>14643010.34</v>
          </cell>
          <cell r="V456">
            <v>15560626.809999999</v>
          </cell>
          <cell r="W456">
            <v>16673608.24</v>
          </cell>
          <cell r="X456">
            <v>17675753.02</v>
          </cell>
          <cell r="Y456">
            <v>18796023.869999997</v>
          </cell>
          <cell r="Z456">
            <v>18796023.869999997</v>
          </cell>
          <cell r="AA456">
            <v>18796023.869999997</v>
          </cell>
          <cell r="AB456">
            <v>18796023.869999997</v>
          </cell>
          <cell r="AC456">
            <v>18796023.869999997</v>
          </cell>
          <cell r="AD456">
            <v>18796023.869999997</v>
          </cell>
          <cell r="AE456">
            <v>18796023.869999997</v>
          </cell>
          <cell r="AF456">
            <v>18796023.869999997</v>
          </cell>
          <cell r="AG456">
            <v>18796023.869999997</v>
          </cell>
          <cell r="AH456">
            <v>18796023.869999997</v>
          </cell>
          <cell r="AI456">
            <v>18796023.869999997</v>
          </cell>
          <cell r="AJ456">
            <v>18796023.869999997</v>
          </cell>
          <cell r="AK456">
            <v>18796023.869999997</v>
          </cell>
          <cell r="AL456">
            <v>18796023.869999997</v>
          </cell>
          <cell r="AM456">
            <v>18796023.869999997</v>
          </cell>
          <cell r="AN456">
            <v>18796023.869999997</v>
          </cell>
          <cell r="AO456">
            <v>18796023.869999997</v>
          </cell>
          <cell r="AP456">
            <v>18796023.869999997</v>
          </cell>
          <cell r="AQ456">
            <v>18796023.869999997</v>
          </cell>
          <cell r="AR456">
            <v>18796023.869999997</v>
          </cell>
          <cell r="AS456">
            <v>18796023.869999997</v>
          </cell>
          <cell r="AT456">
            <v>18796023.869999997</v>
          </cell>
          <cell r="AU456">
            <v>18796023.869999997</v>
          </cell>
          <cell r="AV456">
            <v>18796023.869999997</v>
          </cell>
          <cell r="AW456">
            <v>18796023.869999997</v>
          </cell>
          <cell r="AX456">
            <v>18796023.869999997</v>
          </cell>
          <cell r="AY456">
            <v>18796023.869999997</v>
          </cell>
          <cell r="AZ456">
            <v>18796023.869999997</v>
          </cell>
          <cell r="BA456">
            <v>18796023.869999997</v>
          </cell>
          <cell r="BB456">
            <v>18796023.869999997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572060.29</v>
          </cell>
          <cell r="C460">
            <v>531450.4</v>
          </cell>
          <cell r="D460">
            <v>553098.43999999994</v>
          </cell>
          <cell r="E460">
            <v>553934.97</v>
          </cell>
          <cell r="F460">
            <v>621632.48</v>
          </cell>
          <cell r="G460">
            <v>1065633.8899999999</v>
          </cell>
          <cell r="H460">
            <v>633958.58000000007</v>
          </cell>
          <cell r="I460">
            <v>704999.31</v>
          </cell>
          <cell r="J460">
            <v>694504.19</v>
          </cell>
          <cell r="K460">
            <v>639090.68999999994</v>
          </cell>
          <cell r="L460">
            <v>639554.27</v>
          </cell>
          <cell r="M460">
            <v>638804.90999999992</v>
          </cell>
          <cell r="N460">
            <v>708792.64</v>
          </cell>
          <cell r="O460">
            <v>1184550.1499999999</v>
          </cell>
          <cell r="P460">
            <v>683500.34</v>
          </cell>
          <cell r="Q460">
            <v>794736.31</v>
          </cell>
          <cell r="R460">
            <v>734676.56</v>
          </cell>
          <cell r="S460">
            <v>1402529.24</v>
          </cell>
          <cell r="T460">
            <v>1084807.5900000001</v>
          </cell>
          <cell r="U460">
            <v>910607.73</v>
          </cell>
          <cell r="V460">
            <v>950858.48</v>
          </cell>
          <cell r="W460">
            <v>1106071.6800000002</v>
          </cell>
          <cell r="X460">
            <v>1183735.77</v>
          </cell>
          <cell r="Y460">
            <v>1739237.1800000002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</row>
        <row r="461">
          <cell r="A461" t="str">
            <v>ptd</v>
          </cell>
          <cell r="B461">
            <v>572060.29</v>
          </cell>
          <cell r="C461">
            <v>1103510.69</v>
          </cell>
          <cell r="D461">
            <v>1656609.13</v>
          </cell>
          <cell r="E461">
            <v>2210544.0999999996</v>
          </cell>
          <cell r="F461">
            <v>621632.48</v>
          </cell>
          <cell r="G461">
            <v>1687266.3699999999</v>
          </cell>
          <cell r="H461">
            <v>2321224.9500000002</v>
          </cell>
          <cell r="I461">
            <v>3026224.2600000002</v>
          </cell>
          <cell r="J461">
            <v>694504.19</v>
          </cell>
          <cell r="K461">
            <v>1333594.8799999999</v>
          </cell>
          <cell r="L461">
            <v>1973149.15</v>
          </cell>
          <cell r="M461">
            <v>2611954.0599999996</v>
          </cell>
          <cell r="N461">
            <v>708792.64</v>
          </cell>
          <cell r="O461">
            <v>1893342.79</v>
          </cell>
          <cell r="P461">
            <v>2576843.13</v>
          </cell>
          <cell r="Q461">
            <v>3371579.44</v>
          </cell>
          <cell r="R461">
            <v>734676.56</v>
          </cell>
          <cell r="S461">
            <v>2137205.7999999998</v>
          </cell>
          <cell r="T461">
            <v>3222013.3899999997</v>
          </cell>
          <cell r="U461">
            <v>4132621.1199999996</v>
          </cell>
          <cell r="V461">
            <v>950858.48</v>
          </cell>
          <cell r="W461">
            <v>2056930.1600000001</v>
          </cell>
          <cell r="X461">
            <v>3240665.93</v>
          </cell>
          <cell r="Y461">
            <v>4979903.1100000003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</row>
        <row r="462">
          <cell r="A462" t="str">
            <v>qtd</v>
          </cell>
          <cell r="B462">
            <v>572060.29</v>
          </cell>
          <cell r="C462">
            <v>1103510.69</v>
          </cell>
          <cell r="D462">
            <v>1656609.13</v>
          </cell>
          <cell r="E462">
            <v>2210544.0999999996</v>
          </cell>
          <cell r="F462">
            <v>2832176.5799999996</v>
          </cell>
          <cell r="G462">
            <v>3897810.4699999997</v>
          </cell>
          <cell r="H462">
            <v>4531769.05</v>
          </cell>
          <cell r="I462">
            <v>5236768.3599999994</v>
          </cell>
          <cell r="J462">
            <v>5931272.5499999989</v>
          </cell>
          <cell r="K462">
            <v>6570363.2399999984</v>
          </cell>
          <cell r="L462">
            <v>7209917.5099999979</v>
          </cell>
          <cell r="M462">
            <v>7848722.4199999981</v>
          </cell>
          <cell r="N462">
            <v>708792.64</v>
          </cell>
          <cell r="O462">
            <v>1893342.79</v>
          </cell>
          <cell r="P462">
            <v>2576843.13</v>
          </cell>
          <cell r="Q462">
            <v>3371579.44</v>
          </cell>
          <cell r="R462">
            <v>4106256</v>
          </cell>
          <cell r="S462">
            <v>5508785.2400000002</v>
          </cell>
          <cell r="T462">
            <v>6593592.8300000001</v>
          </cell>
          <cell r="U462">
            <v>7504200.5600000005</v>
          </cell>
          <cell r="V462">
            <v>8455059.040000001</v>
          </cell>
          <cell r="W462">
            <v>9561130.7200000007</v>
          </cell>
          <cell r="X462">
            <v>10744866.49</v>
          </cell>
          <cell r="Y462">
            <v>12484103.67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</row>
        <row r="463">
          <cell r="A463" t="str">
            <v>ytd</v>
          </cell>
          <cell r="B463">
            <v>572060.29</v>
          </cell>
          <cell r="C463">
            <v>1103510.69</v>
          </cell>
          <cell r="D463">
            <v>1656609.13</v>
          </cell>
          <cell r="E463">
            <v>2210544.0999999996</v>
          </cell>
          <cell r="F463">
            <v>2832176.5799999996</v>
          </cell>
          <cell r="G463">
            <v>3897810.4699999997</v>
          </cell>
          <cell r="H463">
            <v>4531769.05</v>
          </cell>
          <cell r="I463">
            <v>5236768.3599999994</v>
          </cell>
          <cell r="J463">
            <v>5931272.5499999989</v>
          </cell>
          <cell r="K463">
            <v>6570363.2399999984</v>
          </cell>
          <cell r="L463">
            <v>7209917.5099999979</v>
          </cell>
          <cell r="M463">
            <v>7848722.4199999981</v>
          </cell>
          <cell r="N463">
            <v>8557515.0599999987</v>
          </cell>
          <cell r="O463">
            <v>9742065.209999999</v>
          </cell>
          <cell r="P463">
            <v>10425565.549999999</v>
          </cell>
          <cell r="Q463">
            <v>11220301.859999999</v>
          </cell>
          <cell r="R463">
            <v>11954978.42</v>
          </cell>
          <cell r="S463">
            <v>13357507.66</v>
          </cell>
          <cell r="T463">
            <v>14442315.25</v>
          </cell>
          <cell r="U463">
            <v>15352922.98</v>
          </cell>
          <cell r="V463">
            <v>16303781.460000001</v>
          </cell>
          <cell r="W463">
            <v>17409853.140000001</v>
          </cell>
          <cell r="X463">
            <v>18593588.91</v>
          </cell>
          <cell r="Y463">
            <v>20332826.09</v>
          </cell>
          <cell r="Z463">
            <v>20332826.09</v>
          </cell>
          <cell r="AA463">
            <v>20332826.09</v>
          </cell>
          <cell r="AB463">
            <v>20332826.09</v>
          </cell>
          <cell r="AC463">
            <v>20332826.09</v>
          </cell>
          <cell r="AD463">
            <v>20332826.09</v>
          </cell>
          <cell r="AE463">
            <v>20332826.09</v>
          </cell>
          <cell r="AF463">
            <v>20332826.09</v>
          </cell>
          <cell r="AG463">
            <v>20332826.09</v>
          </cell>
          <cell r="AH463">
            <v>20332826.09</v>
          </cell>
          <cell r="AI463">
            <v>20332826.09</v>
          </cell>
          <cell r="AJ463">
            <v>20332826.09</v>
          </cell>
          <cell r="AK463">
            <v>20332826.09</v>
          </cell>
          <cell r="AL463">
            <v>20332826.09</v>
          </cell>
          <cell r="AM463">
            <v>20332826.09</v>
          </cell>
          <cell r="AN463">
            <v>20332826.09</v>
          </cell>
          <cell r="AO463">
            <v>20332826.09</v>
          </cell>
          <cell r="AP463">
            <v>20332826.09</v>
          </cell>
          <cell r="AQ463">
            <v>20332826.09</v>
          </cell>
          <cell r="AR463">
            <v>20332826.09</v>
          </cell>
          <cell r="AS463">
            <v>20332826.09</v>
          </cell>
          <cell r="AT463">
            <v>20332826.09</v>
          </cell>
          <cell r="AU463">
            <v>20332826.09</v>
          </cell>
          <cell r="AV463">
            <v>20332826.09</v>
          </cell>
          <cell r="AW463">
            <v>20332826.09</v>
          </cell>
          <cell r="AX463">
            <v>20332826.09</v>
          </cell>
          <cell r="AY463">
            <v>20332826.09</v>
          </cell>
          <cell r="AZ463">
            <v>20332826.09</v>
          </cell>
          <cell r="BA463">
            <v>20332826.09</v>
          </cell>
          <cell r="BB463">
            <v>20332826.09</v>
          </cell>
        </row>
        <row r="464">
          <cell r="A464" t="str">
            <v>PART</v>
          </cell>
          <cell r="B464">
            <v>26740807.210000001</v>
          </cell>
          <cell r="C464">
            <v>25248980.580000002</v>
          </cell>
          <cell r="D464">
            <v>24797546.490000002</v>
          </cell>
          <cell r="E464">
            <v>25085852.509999998</v>
          </cell>
          <cell r="F464">
            <v>26995658.25</v>
          </cell>
          <cell r="G464">
            <v>40471648.910000004</v>
          </cell>
          <cell r="H464">
            <v>27744934.59</v>
          </cell>
          <cell r="I464">
            <v>29679615.739999998</v>
          </cell>
          <cell r="J464">
            <v>30580112.949999999</v>
          </cell>
          <cell r="K464">
            <v>28241943.490000002</v>
          </cell>
          <cell r="L464">
            <v>28536508.519999996</v>
          </cell>
          <cell r="M464">
            <v>28860631.109999999</v>
          </cell>
          <cell r="N464">
            <v>32138972.470000003</v>
          </cell>
          <cell r="O464">
            <v>46741490.949999996</v>
          </cell>
          <cell r="P464">
            <v>30339903.540000003</v>
          </cell>
          <cell r="Q464">
            <v>35217155.939999998</v>
          </cell>
          <cell r="R464">
            <v>35006372.839999996</v>
          </cell>
          <cell r="S464">
            <v>58587442.149999999</v>
          </cell>
          <cell r="T464">
            <v>43681811.730000004</v>
          </cell>
          <cell r="U464">
            <v>37931576.57</v>
          </cell>
          <cell r="V464">
            <v>38454852.759999998</v>
          </cell>
          <cell r="W464">
            <v>43596389.329999998</v>
          </cell>
          <cell r="X464">
            <v>44092787.130000003</v>
          </cell>
          <cell r="Y464">
            <v>65511666.569999993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</row>
        <row r="465">
          <cell r="A465" t="str">
            <v>ptd</v>
          </cell>
          <cell r="B465">
            <v>26740807.210000001</v>
          </cell>
          <cell r="C465">
            <v>51989787.790000007</v>
          </cell>
          <cell r="D465">
            <v>76787334.280000001</v>
          </cell>
          <cell r="E465">
            <v>101873186.78999999</v>
          </cell>
          <cell r="F465">
            <v>26995658.25</v>
          </cell>
          <cell r="G465">
            <v>67467307.159999996</v>
          </cell>
          <cell r="H465">
            <v>95212241.75</v>
          </cell>
          <cell r="I465">
            <v>124891857.48999999</v>
          </cell>
          <cell r="J465">
            <v>30580112.949999999</v>
          </cell>
          <cell r="K465">
            <v>58822056.439999998</v>
          </cell>
          <cell r="L465">
            <v>87358564.959999993</v>
          </cell>
          <cell r="M465">
            <v>116219196.06999999</v>
          </cell>
          <cell r="N465">
            <v>32138972.470000003</v>
          </cell>
          <cell r="O465">
            <v>78880463.420000002</v>
          </cell>
          <cell r="P465">
            <v>109220366.96000001</v>
          </cell>
          <cell r="Q465">
            <v>144437522.90000001</v>
          </cell>
          <cell r="R465">
            <v>35006372.839999996</v>
          </cell>
          <cell r="S465">
            <v>93593814.989999995</v>
          </cell>
          <cell r="T465">
            <v>137275626.72</v>
          </cell>
          <cell r="U465">
            <v>175207203.28999999</v>
          </cell>
          <cell r="V465">
            <v>38454852.759999998</v>
          </cell>
          <cell r="W465">
            <v>82051242.090000004</v>
          </cell>
          <cell r="X465">
            <v>126144029.22</v>
          </cell>
          <cell r="Y465">
            <v>191655695.78999999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</row>
        <row r="466">
          <cell r="A466" t="str">
            <v>qtd</v>
          </cell>
          <cell r="B466">
            <v>26740807.210000001</v>
          </cell>
          <cell r="C466">
            <v>51989787.790000007</v>
          </cell>
          <cell r="D466">
            <v>76787334.280000001</v>
          </cell>
          <cell r="E466">
            <v>101873186.78999999</v>
          </cell>
          <cell r="F466">
            <v>128868845.03999999</v>
          </cell>
          <cell r="G466">
            <v>169340493.94999999</v>
          </cell>
          <cell r="H466">
            <v>197085428.53999999</v>
          </cell>
          <cell r="I466">
            <v>226765044.28</v>
          </cell>
          <cell r="J466">
            <v>257345157.22999999</v>
          </cell>
          <cell r="K466">
            <v>285587100.71999997</v>
          </cell>
          <cell r="L466">
            <v>314123609.23999995</v>
          </cell>
          <cell r="M466">
            <v>342984240.34999996</v>
          </cell>
          <cell r="N466">
            <v>32138972.470000003</v>
          </cell>
          <cell r="O466">
            <v>78880463.420000002</v>
          </cell>
          <cell r="P466">
            <v>109220366.96000001</v>
          </cell>
          <cell r="Q466">
            <v>144437522.90000001</v>
          </cell>
          <cell r="R466">
            <v>179443895.74000001</v>
          </cell>
          <cell r="S466">
            <v>238031337.89000002</v>
          </cell>
          <cell r="T466">
            <v>281713149.62</v>
          </cell>
          <cell r="U466">
            <v>319644726.19</v>
          </cell>
          <cell r="V466">
            <v>358099578.94999999</v>
          </cell>
          <cell r="W466">
            <v>401695968.27999997</v>
          </cell>
          <cell r="X466">
            <v>445788755.40999997</v>
          </cell>
          <cell r="Y466">
            <v>511300421.97999996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</row>
        <row r="467">
          <cell r="A467" t="str">
            <v>ytd</v>
          </cell>
          <cell r="B467">
            <v>26740807.210000001</v>
          </cell>
          <cell r="C467">
            <v>51989787.790000007</v>
          </cell>
          <cell r="D467">
            <v>76787334.280000001</v>
          </cell>
          <cell r="E467">
            <v>101873186.78999999</v>
          </cell>
          <cell r="F467">
            <v>128868845.03999999</v>
          </cell>
          <cell r="G467">
            <v>169340493.94999999</v>
          </cell>
          <cell r="H467">
            <v>197085428.53999999</v>
          </cell>
          <cell r="I467">
            <v>226765044.28</v>
          </cell>
          <cell r="J467">
            <v>257345157.22999999</v>
          </cell>
          <cell r="K467">
            <v>285587100.71999997</v>
          </cell>
          <cell r="L467">
            <v>314123609.23999995</v>
          </cell>
          <cell r="M467">
            <v>342984240.34999996</v>
          </cell>
          <cell r="N467">
            <v>375123212.81999999</v>
          </cell>
          <cell r="O467">
            <v>421864703.76999998</v>
          </cell>
          <cell r="P467">
            <v>452204607.31</v>
          </cell>
          <cell r="Q467">
            <v>487421763.25</v>
          </cell>
          <cell r="R467">
            <v>522428136.08999997</v>
          </cell>
          <cell r="S467">
            <v>581015578.24000001</v>
          </cell>
          <cell r="T467">
            <v>624697389.97000003</v>
          </cell>
          <cell r="U467">
            <v>662628966.54000008</v>
          </cell>
          <cell r="V467">
            <v>701083819.30000007</v>
          </cell>
          <cell r="W467">
            <v>744680208.63000011</v>
          </cell>
          <cell r="X467">
            <v>788772995.76000011</v>
          </cell>
          <cell r="Y467">
            <v>854284662.33000016</v>
          </cell>
          <cell r="Z467">
            <v>854284662.33000016</v>
          </cell>
          <cell r="AA467">
            <v>854284662.33000016</v>
          </cell>
          <cell r="AB467">
            <v>854284662.33000016</v>
          </cell>
          <cell r="AC467">
            <v>854284662.33000016</v>
          </cell>
          <cell r="AD467">
            <v>854284662.33000016</v>
          </cell>
          <cell r="AE467">
            <v>854284662.33000016</v>
          </cell>
          <cell r="AF467">
            <v>854284662.33000016</v>
          </cell>
          <cell r="AG467">
            <v>854284662.33000016</v>
          </cell>
          <cell r="AH467">
            <v>854284662.33000016</v>
          </cell>
          <cell r="AI467">
            <v>854284662.33000016</v>
          </cell>
          <cell r="AJ467">
            <v>854284662.33000016</v>
          </cell>
          <cell r="AK467">
            <v>854284662.33000016</v>
          </cell>
          <cell r="AL467">
            <v>854284662.33000016</v>
          </cell>
          <cell r="AM467">
            <v>854284662.33000016</v>
          </cell>
          <cell r="AN467">
            <v>854284662.33000016</v>
          </cell>
          <cell r="AO467">
            <v>854284662.33000016</v>
          </cell>
          <cell r="AP467">
            <v>854284662.33000016</v>
          </cell>
          <cell r="AQ467">
            <v>854284662.33000016</v>
          </cell>
          <cell r="AR467">
            <v>854284662.33000016</v>
          </cell>
          <cell r="AS467">
            <v>854284662.33000016</v>
          </cell>
          <cell r="AT467">
            <v>854284662.33000016</v>
          </cell>
          <cell r="AU467">
            <v>854284662.33000016</v>
          </cell>
          <cell r="AV467">
            <v>854284662.33000016</v>
          </cell>
          <cell r="AW467">
            <v>854284662.33000016</v>
          </cell>
          <cell r="AX467">
            <v>854284662.33000016</v>
          </cell>
          <cell r="AY467">
            <v>854284662.33000016</v>
          </cell>
          <cell r="AZ467">
            <v>854284662.33000016</v>
          </cell>
          <cell r="BA467">
            <v>854284662.33000016</v>
          </cell>
          <cell r="BB467">
            <v>854284662.33000016</v>
          </cell>
        </row>
        <row r="468">
          <cell r="A468" t="str">
            <v>PRED</v>
          </cell>
          <cell r="B468">
            <v>2548326.3999999999</v>
          </cell>
          <cell r="C468">
            <v>2503833.7200000002</v>
          </cell>
          <cell r="D468">
            <v>2507841.7000000002</v>
          </cell>
          <cell r="E468">
            <v>2550895.27</v>
          </cell>
          <cell r="F468">
            <v>2694149.33</v>
          </cell>
          <cell r="G468">
            <v>2532734.1</v>
          </cell>
          <cell r="H468">
            <v>2388485.33</v>
          </cell>
          <cell r="I468">
            <v>2620768.1199999996</v>
          </cell>
          <cell r="J468">
            <v>2596608.2400000002</v>
          </cell>
          <cell r="K468">
            <v>2449526.0499999998</v>
          </cell>
          <cell r="L468">
            <v>2557727.9500000002</v>
          </cell>
          <cell r="M468">
            <v>2259278.46</v>
          </cell>
          <cell r="N468">
            <v>2595618.88</v>
          </cell>
          <cell r="O468">
            <v>2363727.4500000002</v>
          </cell>
          <cell r="P468">
            <v>2286193.5699999998</v>
          </cell>
          <cell r="Q468">
            <v>2305695.7799999998</v>
          </cell>
          <cell r="R468">
            <v>2483816.12</v>
          </cell>
          <cell r="S468">
            <v>2374633.2800000003</v>
          </cell>
          <cell r="T468">
            <v>2220700.63</v>
          </cell>
          <cell r="U468">
            <v>2358894.8899999997</v>
          </cell>
          <cell r="V468">
            <v>2110328.39</v>
          </cell>
          <cell r="W468">
            <v>2559031.21</v>
          </cell>
          <cell r="X468">
            <v>2337685.11</v>
          </cell>
          <cell r="Y468">
            <v>2459554.23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</row>
        <row r="469">
          <cell r="A469" t="str">
            <v>ptd</v>
          </cell>
          <cell r="B469">
            <v>2548326.3999999999</v>
          </cell>
          <cell r="C469">
            <v>5052160.12</v>
          </cell>
          <cell r="D469">
            <v>7560001.8200000003</v>
          </cell>
          <cell r="E469">
            <v>10110897.09</v>
          </cell>
          <cell r="F469">
            <v>2694149.33</v>
          </cell>
          <cell r="G469">
            <v>5226883.43</v>
          </cell>
          <cell r="H469">
            <v>7615368.7599999998</v>
          </cell>
          <cell r="I469">
            <v>10236136.879999999</v>
          </cell>
          <cell r="J469">
            <v>2596608.2400000002</v>
          </cell>
          <cell r="K469">
            <v>5046134.29</v>
          </cell>
          <cell r="L469">
            <v>7603862.2400000002</v>
          </cell>
          <cell r="M469">
            <v>9863140.6999999993</v>
          </cell>
          <cell r="N469">
            <v>2595618.88</v>
          </cell>
          <cell r="O469">
            <v>4959346.33</v>
          </cell>
          <cell r="P469">
            <v>7245539.9000000004</v>
          </cell>
          <cell r="Q469">
            <v>9551235.6799999997</v>
          </cell>
          <cell r="R469">
            <v>2483816.12</v>
          </cell>
          <cell r="S469">
            <v>4858449.4000000004</v>
          </cell>
          <cell r="T469">
            <v>7079150.0300000003</v>
          </cell>
          <cell r="U469">
            <v>9438044.9199999999</v>
          </cell>
          <cell r="V469">
            <v>2110328.39</v>
          </cell>
          <cell r="W469">
            <v>4669359.5999999996</v>
          </cell>
          <cell r="X469">
            <v>7007044.709999999</v>
          </cell>
          <cell r="Y469">
            <v>9466598.9399999995</v>
          </cell>
          <cell r="Z469">
            <v>0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</row>
        <row r="470">
          <cell r="A470" t="str">
            <v>qtd</v>
          </cell>
          <cell r="B470">
            <v>2548326.3999999999</v>
          </cell>
          <cell r="C470">
            <v>5052160.12</v>
          </cell>
          <cell r="D470">
            <v>7560001.8200000003</v>
          </cell>
          <cell r="E470">
            <v>10110897.09</v>
          </cell>
          <cell r="F470">
            <v>12805046.42</v>
          </cell>
          <cell r="G470">
            <v>15337780.52</v>
          </cell>
          <cell r="H470">
            <v>17726265.850000001</v>
          </cell>
          <cell r="I470">
            <v>20347033.970000003</v>
          </cell>
          <cell r="J470">
            <v>22943642.210000001</v>
          </cell>
          <cell r="K470">
            <v>25393168.260000002</v>
          </cell>
          <cell r="L470">
            <v>27950896.210000001</v>
          </cell>
          <cell r="M470">
            <v>30210174.670000002</v>
          </cell>
          <cell r="N470">
            <v>2595618.88</v>
          </cell>
          <cell r="O470">
            <v>4959346.33</v>
          </cell>
          <cell r="P470">
            <v>7245539.9000000004</v>
          </cell>
          <cell r="Q470">
            <v>9551235.6799999997</v>
          </cell>
          <cell r="R470">
            <v>12035051.800000001</v>
          </cell>
          <cell r="S470">
            <v>14409685.080000002</v>
          </cell>
          <cell r="T470">
            <v>16630385.710000001</v>
          </cell>
          <cell r="U470">
            <v>18989280.600000001</v>
          </cell>
          <cell r="V470">
            <v>21099608.990000002</v>
          </cell>
          <cell r="W470">
            <v>23658640.200000003</v>
          </cell>
          <cell r="X470">
            <v>25996325.310000002</v>
          </cell>
          <cell r="Y470">
            <v>28455879.540000003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</row>
        <row r="471">
          <cell r="A471" t="str">
            <v>ytd</v>
          </cell>
          <cell r="B471">
            <v>2548326.3999999999</v>
          </cell>
          <cell r="C471">
            <v>5052160.12</v>
          </cell>
          <cell r="D471">
            <v>7560001.8200000003</v>
          </cell>
          <cell r="E471">
            <v>10110897.09</v>
          </cell>
          <cell r="F471">
            <v>12805046.42</v>
          </cell>
          <cell r="G471">
            <v>15337780.52</v>
          </cell>
          <cell r="H471">
            <v>17726265.850000001</v>
          </cell>
          <cell r="I471">
            <v>20347033.970000003</v>
          </cell>
          <cell r="J471">
            <v>22943642.210000001</v>
          </cell>
          <cell r="K471">
            <v>25393168.260000002</v>
          </cell>
          <cell r="L471">
            <v>27950896.210000001</v>
          </cell>
          <cell r="M471">
            <v>30210174.670000002</v>
          </cell>
          <cell r="N471">
            <v>32805793.550000001</v>
          </cell>
          <cell r="O471">
            <v>35169521</v>
          </cell>
          <cell r="P471">
            <v>37455714.57</v>
          </cell>
          <cell r="Q471">
            <v>39761410.350000001</v>
          </cell>
          <cell r="R471">
            <v>42245226.469999999</v>
          </cell>
          <cell r="S471">
            <v>44619859.75</v>
          </cell>
          <cell r="T471">
            <v>46840560.380000003</v>
          </cell>
          <cell r="U471">
            <v>49199455.270000003</v>
          </cell>
          <cell r="V471">
            <v>51309783.660000004</v>
          </cell>
          <cell r="W471">
            <v>53868814.870000005</v>
          </cell>
          <cell r="X471">
            <v>56206499.980000004</v>
          </cell>
          <cell r="Y471">
            <v>58666054.210000001</v>
          </cell>
          <cell r="Z471">
            <v>58666054.210000001</v>
          </cell>
          <cell r="AA471">
            <v>58666054.210000001</v>
          </cell>
          <cell r="AB471">
            <v>58666054.210000001</v>
          </cell>
          <cell r="AC471">
            <v>58666054.210000001</v>
          </cell>
          <cell r="AD471">
            <v>58666054.210000001</v>
          </cell>
          <cell r="AE471">
            <v>58666054.210000001</v>
          </cell>
          <cell r="AF471">
            <v>58666054.210000001</v>
          </cell>
          <cell r="AG471">
            <v>58666054.210000001</v>
          </cell>
          <cell r="AH471">
            <v>58666054.210000001</v>
          </cell>
          <cell r="AI471">
            <v>58666054.210000001</v>
          </cell>
          <cell r="AJ471">
            <v>58666054.210000001</v>
          </cell>
          <cell r="AK471">
            <v>58666054.210000001</v>
          </cell>
          <cell r="AL471">
            <v>58666054.210000001</v>
          </cell>
          <cell r="AM471">
            <v>58666054.210000001</v>
          </cell>
          <cell r="AN471">
            <v>58666054.210000001</v>
          </cell>
          <cell r="AO471">
            <v>58666054.210000001</v>
          </cell>
          <cell r="AP471">
            <v>58666054.210000001</v>
          </cell>
          <cell r="AQ471">
            <v>58666054.210000001</v>
          </cell>
          <cell r="AR471">
            <v>58666054.210000001</v>
          </cell>
          <cell r="AS471">
            <v>58666054.210000001</v>
          </cell>
          <cell r="AT471">
            <v>58666054.210000001</v>
          </cell>
          <cell r="AU471">
            <v>58666054.210000001</v>
          </cell>
          <cell r="AV471">
            <v>58666054.210000001</v>
          </cell>
          <cell r="AW471">
            <v>58666054.210000001</v>
          </cell>
          <cell r="AX471">
            <v>58666054.210000001</v>
          </cell>
          <cell r="AY471">
            <v>58666054.210000001</v>
          </cell>
          <cell r="AZ471">
            <v>58666054.210000001</v>
          </cell>
          <cell r="BA471">
            <v>58666054.210000001</v>
          </cell>
          <cell r="BB471">
            <v>58666054.210000001</v>
          </cell>
        </row>
        <row r="472">
          <cell r="A472" t="str">
            <v>PREG</v>
          </cell>
          <cell r="B472">
            <v>11039873.039999999</v>
          </cell>
          <cell r="C472">
            <v>10333866.810000001</v>
          </cell>
          <cell r="D472">
            <v>9844797.7499999981</v>
          </cell>
          <cell r="E472">
            <v>9903384.9800000004</v>
          </cell>
          <cell r="F472">
            <v>9993094.4600000009</v>
          </cell>
          <cell r="G472">
            <v>11467972.459999999</v>
          </cell>
          <cell r="H472">
            <v>9463379.7200000007</v>
          </cell>
          <cell r="I472">
            <v>10076714.16</v>
          </cell>
          <cell r="J472">
            <v>10212375.629999999</v>
          </cell>
          <cell r="K472">
            <v>9928087.959999999</v>
          </cell>
          <cell r="L472">
            <v>9633535.5899999999</v>
          </cell>
          <cell r="M472">
            <v>9487420.6799999997</v>
          </cell>
          <cell r="N472">
            <v>9940004.7100000009</v>
          </cell>
          <cell r="O472">
            <v>11083751.760000002</v>
          </cell>
          <cell r="P472">
            <v>9272398.0499999989</v>
          </cell>
          <cell r="Q472">
            <v>10799378.58</v>
          </cell>
          <cell r="R472">
            <v>10205436.539999999</v>
          </cell>
          <cell r="S472">
            <v>14603231.060000001</v>
          </cell>
          <cell r="T472">
            <v>12840798.470000001</v>
          </cell>
          <cell r="U472">
            <v>12303630.4</v>
          </cell>
          <cell r="V472">
            <v>12045435.779999999</v>
          </cell>
          <cell r="W472">
            <v>14173147.92</v>
          </cell>
          <cell r="X472">
            <v>14391074.379999999</v>
          </cell>
          <cell r="Y472">
            <v>15960310.220000003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</row>
        <row r="473">
          <cell r="A473" t="str">
            <v>ptd</v>
          </cell>
          <cell r="B473">
            <v>11039873.039999999</v>
          </cell>
          <cell r="C473">
            <v>21373739.850000001</v>
          </cell>
          <cell r="D473">
            <v>31218537.600000001</v>
          </cell>
          <cell r="E473">
            <v>41121922.579999998</v>
          </cell>
          <cell r="F473">
            <v>9993094.4600000009</v>
          </cell>
          <cell r="G473">
            <v>21461066.920000002</v>
          </cell>
          <cell r="H473">
            <v>30924446.640000001</v>
          </cell>
          <cell r="I473">
            <v>41001160.799999997</v>
          </cell>
          <cell r="J473">
            <v>10212375.629999999</v>
          </cell>
          <cell r="K473">
            <v>20140463.589999996</v>
          </cell>
          <cell r="L473">
            <v>29773999.179999996</v>
          </cell>
          <cell r="M473">
            <v>39261419.859999999</v>
          </cell>
          <cell r="N473">
            <v>9940004.7100000009</v>
          </cell>
          <cell r="O473">
            <v>21023756.470000003</v>
          </cell>
          <cell r="P473">
            <v>30296154.520000003</v>
          </cell>
          <cell r="Q473">
            <v>41095533.100000001</v>
          </cell>
          <cell r="R473">
            <v>10205436.539999999</v>
          </cell>
          <cell r="S473">
            <v>24808667.600000001</v>
          </cell>
          <cell r="T473">
            <v>37649466.07</v>
          </cell>
          <cell r="U473">
            <v>49953096.469999999</v>
          </cell>
          <cell r="V473">
            <v>12045435.779999999</v>
          </cell>
          <cell r="W473">
            <v>26218583.699999999</v>
          </cell>
          <cell r="X473">
            <v>40609658.079999998</v>
          </cell>
          <cell r="Y473">
            <v>56569968.299999997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</row>
        <row r="474">
          <cell r="A474" t="str">
            <v>qtd</v>
          </cell>
          <cell r="B474">
            <v>11039873.039999999</v>
          </cell>
          <cell r="C474">
            <v>21373739.850000001</v>
          </cell>
          <cell r="D474">
            <v>31218537.600000001</v>
          </cell>
          <cell r="E474">
            <v>41121922.579999998</v>
          </cell>
          <cell r="F474">
            <v>51115017.039999999</v>
          </cell>
          <cell r="G474">
            <v>62582989.5</v>
          </cell>
          <cell r="H474">
            <v>72046369.219999999</v>
          </cell>
          <cell r="I474">
            <v>82123083.379999995</v>
          </cell>
          <cell r="J474">
            <v>92335459.00999999</v>
          </cell>
          <cell r="K474">
            <v>102263546.96999998</v>
          </cell>
          <cell r="L474">
            <v>111897082.55999999</v>
          </cell>
          <cell r="M474">
            <v>121384503.23999998</v>
          </cell>
          <cell r="N474">
            <v>9940004.7100000009</v>
          </cell>
          <cell r="O474">
            <v>21023756.470000003</v>
          </cell>
          <cell r="P474">
            <v>30296154.520000003</v>
          </cell>
          <cell r="Q474">
            <v>41095533.100000001</v>
          </cell>
          <cell r="R474">
            <v>51300969.640000001</v>
          </cell>
          <cell r="S474">
            <v>65904200.700000003</v>
          </cell>
          <cell r="T474">
            <v>78744999.170000002</v>
          </cell>
          <cell r="U474">
            <v>91048629.570000008</v>
          </cell>
          <cell r="V474">
            <v>103094065.35000001</v>
          </cell>
          <cell r="W474">
            <v>117267213.27000001</v>
          </cell>
          <cell r="X474">
            <v>131658287.65000001</v>
          </cell>
          <cell r="Y474">
            <v>147618597.87</v>
          </cell>
          <cell r="Z474">
            <v>0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</row>
        <row r="475">
          <cell r="A475" t="str">
            <v>ytd</v>
          </cell>
          <cell r="B475">
            <v>11039873.039999999</v>
          </cell>
          <cell r="C475">
            <v>21373739.850000001</v>
          </cell>
          <cell r="D475">
            <v>31218537.600000001</v>
          </cell>
          <cell r="E475">
            <v>41121922.579999998</v>
          </cell>
          <cell r="F475">
            <v>51115017.039999999</v>
          </cell>
          <cell r="G475">
            <v>62582989.5</v>
          </cell>
          <cell r="H475">
            <v>72046369.219999999</v>
          </cell>
          <cell r="I475">
            <v>82123083.379999995</v>
          </cell>
          <cell r="J475">
            <v>92335459.00999999</v>
          </cell>
          <cell r="K475">
            <v>102263546.96999998</v>
          </cell>
          <cell r="L475">
            <v>111897082.55999999</v>
          </cell>
          <cell r="M475">
            <v>121384503.23999998</v>
          </cell>
          <cell r="N475">
            <v>131324507.94999999</v>
          </cell>
          <cell r="O475">
            <v>142408259.70999998</v>
          </cell>
          <cell r="P475">
            <v>151680657.75999999</v>
          </cell>
          <cell r="Q475">
            <v>162480036.34</v>
          </cell>
          <cell r="R475">
            <v>172685472.88</v>
          </cell>
          <cell r="S475">
            <v>187288703.94</v>
          </cell>
          <cell r="T475">
            <v>200129502.41</v>
          </cell>
          <cell r="U475">
            <v>212433132.81</v>
          </cell>
          <cell r="V475">
            <v>224478568.59</v>
          </cell>
          <cell r="W475">
            <v>238651716.50999999</v>
          </cell>
          <cell r="X475">
            <v>253042790.88999999</v>
          </cell>
          <cell r="Y475">
            <v>269003101.11000001</v>
          </cell>
          <cell r="Z475">
            <v>269003101.11000001</v>
          </cell>
          <cell r="AA475">
            <v>269003101.11000001</v>
          </cell>
          <cell r="AB475">
            <v>269003101.11000001</v>
          </cell>
          <cell r="AC475">
            <v>269003101.11000001</v>
          </cell>
          <cell r="AD475">
            <v>269003101.11000001</v>
          </cell>
          <cell r="AE475">
            <v>269003101.11000001</v>
          </cell>
          <cell r="AF475">
            <v>269003101.11000001</v>
          </cell>
          <cell r="AG475">
            <v>269003101.11000001</v>
          </cell>
          <cell r="AH475">
            <v>269003101.11000001</v>
          </cell>
          <cell r="AI475">
            <v>269003101.11000001</v>
          </cell>
          <cell r="AJ475">
            <v>269003101.11000001</v>
          </cell>
          <cell r="AK475">
            <v>269003101.11000001</v>
          </cell>
          <cell r="AL475">
            <v>269003101.11000001</v>
          </cell>
          <cell r="AM475">
            <v>269003101.11000001</v>
          </cell>
          <cell r="AN475">
            <v>269003101.11000001</v>
          </cell>
          <cell r="AO475">
            <v>269003101.11000001</v>
          </cell>
          <cell r="AP475">
            <v>269003101.11000001</v>
          </cell>
          <cell r="AQ475">
            <v>269003101.11000001</v>
          </cell>
          <cell r="AR475">
            <v>269003101.11000001</v>
          </cell>
          <cell r="AS475">
            <v>269003101.11000001</v>
          </cell>
          <cell r="AT475">
            <v>269003101.11000001</v>
          </cell>
          <cell r="AU475">
            <v>269003101.11000001</v>
          </cell>
          <cell r="AV475">
            <v>269003101.11000001</v>
          </cell>
          <cell r="AW475">
            <v>269003101.11000001</v>
          </cell>
          <cell r="AX475">
            <v>269003101.11000001</v>
          </cell>
          <cell r="AY475">
            <v>269003101.11000001</v>
          </cell>
          <cell r="AZ475">
            <v>269003101.11000001</v>
          </cell>
          <cell r="BA475">
            <v>269003101.11000001</v>
          </cell>
          <cell r="BB475">
            <v>269003101.11000001</v>
          </cell>
        </row>
        <row r="476">
          <cell r="A476" t="str">
            <v>SPRT</v>
          </cell>
          <cell r="B476">
            <v>219979.84999999998</v>
          </cell>
          <cell r="C476">
            <v>210188.65</v>
          </cell>
          <cell r="D476">
            <v>185399.87000000002</v>
          </cell>
          <cell r="E476">
            <v>214559.37999999998</v>
          </cell>
          <cell r="F476">
            <v>205904.44999999998</v>
          </cell>
          <cell r="G476">
            <v>326755.87</v>
          </cell>
          <cell r="H476">
            <v>203602.84999999998</v>
          </cell>
          <cell r="I476">
            <v>226383.06</v>
          </cell>
          <cell r="J476">
            <v>237748.78</v>
          </cell>
          <cell r="K476">
            <v>223163.43</v>
          </cell>
          <cell r="L476">
            <v>220758.74</v>
          </cell>
          <cell r="M476">
            <v>356827.32999999996</v>
          </cell>
          <cell r="N476">
            <v>512155.31</v>
          </cell>
          <cell r="O476">
            <v>431704.33</v>
          </cell>
          <cell r="P476">
            <v>317205.68</v>
          </cell>
          <cell r="Q476">
            <v>475186.19</v>
          </cell>
          <cell r="R476">
            <v>270981.33999999997</v>
          </cell>
          <cell r="S476">
            <v>327166.20999999996</v>
          </cell>
          <cell r="T476">
            <v>342603.31999999995</v>
          </cell>
          <cell r="U476">
            <v>292618.23999999999</v>
          </cell>
          <cell r="V476">
            <v>302806.96000000002</v>
          </cell>
          <cell r="W476">
            <v>339057.54</v>
          </cell>
          <cell r="X476">
            <v>357427.04</v>
          </cell>
          <cell r="Y476">
            <v>646233.86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</row>
        <row r="477">
          <cell r="A477" t="str">
            <v>ptd</v>
          </cell>
          <cell r="B477">
            <v>219979.84999999998</v>
          </cell>
          <cell r="C477">
            <v>430168.5</v>
          </cell>
          <cell r="D477">
            <v>615568.37</v>
          </cell>
          <cell r="E477">
            <v>830127.75</v>
          </cell>
          <cell r="F477">
            <v>205904.44999999998</v>
          </cell>
          <cell r="G477">
            <v>532660.31999999995</v>
          </cell>
          <cell r="H477">
            <v>736263.16999999993</v>
          </cell>
          <cell r="I477">
            <v>962646.23</v>
          </cell>
          <cell r="J477">
            <v>237748.78</v>
          </cell>
          <cell r="K477">
            <v>460912.20999999996</v>
          </cell>
          <cell r="L477">
            <v>681670.95</v>
          </cell>
          <cell r="M477">
            <v>1038498.2799999999</v>
          </cell>
          <cell r="N477">
            <v>512155.31</v>
          </cell>
          <cell r="O477">
            <v>943859.64</v>
          </cell>
          <cell r="P477">
            <v>1261065.32</v>
          </cell>
          <cell r="Q477">
            <v>1736251.51</v>
          </cell>
          <cell r="R477">
            <v>270981.33999999997</v>
          </cell>
          <cell r="S477">
            <v>598147.54999999993</v>
          </cell>
          <cell r="T477">
            <v>940750.86999999988</v>
          </cell>
          <cell r="U477">
            <v>1233369.1099999999</v>
          </cell>
          <cell r="V477">
            <v>302806.96000000002</v>
          </cell>
          <cell r="W477">
            <v>641864.5</v>
          </cell>
          <cell r="X477">
            <v>999291.54</v>
          </cell>
          <cell r="Y477">
            <v>1645525.4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</row>
        <row r="478">
          <cell r="A478" t="str">
            <v>qtd</v>
          </cell>
          <cell r="B478">
            <v>219979.84999999998</v>
          </cell>
          <cell r="C478">
            <v>430168.5</v>
          </cell>
          <cell r="D478">
            <v>615568.37</v>
          </cell>
          <cell r="E478">
            <v>830127.75</v>
          </cell>
          <cell r="F478">
            <v>1036032.2</v>
          </cell>
          <cell r="G478">
            <v>1362788.0699999998</v>
          </cell>
          <cell r="H478">
            <v>1566390.92</v>
          </cell>
          <cell r="I478">
            <v>1792773.98</v>
          </cell>
          <cell r="J478">
            <v>2030522.76</v>
          </cell>
          <cell r="K478">
            <v>2253686.19</v>
          </cell>
          <cell r="L478">
            <v>2474444.9299999997</v>
          </cell>
          <cell r="M478">
            <v>2831272.26</v>
          </cell>
          <cell r="N478">
            <v>512155.31</v>
          </cell>
          <cell r="O478">
            <v>943859.64</v>
          </cell>
          <cell r="P478">
            <v>1261065.32</v>
          </cell>
          <cell r="Q478">
            <v>1736251.51</v>
          </cell>
          <cell r="R478">
            <v>2007232.85</v>
          </cell>
          <cell r="S478">
            <v>2334399.06</v>
          </cell>
          <cell r="T478">
            <v>2677002.38</v>
          </cell>
          <cell r="U478">
            <v>2969620.62</v>
          </cell>
          <cell r="V478">
            <v>3272427.58</v>
          </cell>
          <cell r="W478">
            <v>3611485.12</v>
          </cell>
          <cell r="X478">
            <v>3968912.16</v>
          </cell>
          <cell r="Y478">
            <v>4615146.0200000005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</row>
        <row r="479">
          <cell r="A479" t="str">
            <v>ytd</v>
          </cell>
          <cell r="B479">
            <v>219979.84999999998</v>
          </cell>
          <cell r="C479">
            <v>430168.5</v>
          </cell>
          <cell r="D479">
            <v>615568.37</v>
          </cell>
          <cell r="E479">
            <v>830127.75</v>
          </cell>
          <cell r="F479">
            <v>1036032.2</v>
          </cell>
          <cell r="G479">
            <v>1362788.0699999998</v>
          </cell>
          <cell r="H479">
            <v>1566390.92</v>
          </cell>
          <cell r="I479">
            <v>1792773.98</v>
          </cell>
          <cell r="J479">
            <v>2030522.76</v>
          </cell>
          <cell r="K479">
            <v>2253686.19</v>
          </cell>
          <cell r="L479">
            <v>2474444.9299999997</v>
          </cell>
          <cell r="M479">
            <v>2831272.26</v>
          </cell>
          <cell r="N479">
            <v>3343427.57</v>
          </cell>
          <cell r="O479">
            <v>3775131.9</v>
          </cell>
          <cell r="P479">
            <v>4092337.58</v>
          </cell>
          <cell r="Q479">
            <v>4567523.7700000005</v>
          </cell>
          <cell r="R479">
            <v>4838505.1100000003</v>
          </cell>
          <cell r="S479">
            <v>5165671.32</v>
          </cell>
          <cell r="T479">
            <v>5508274.6400000006</v>
          </cell>
          <cell r="U479">
            <v>5800892.8800000008</v>
          </cell>
          <cell r="V479">
            <v>6103699.8400000008</v>
          </cell>
          <cell r="W479">
            <v>6442757.3800000008</v>
          </cell>
          <cell r="X479">
            <v>6800184.4200000009</v>
          </cell>
          <cell r="Y479">
            <v>7446418.2800000012</v>
          </cell>
          <cell r="Z479">
            <v>7446418.2800000012</v>
          </cell>
          <cell r="AA479">
            <v>7446418.2800000012</v>
          </cell>
          <cell r="AB479">
            <v>7446418.2800000012</v>
          </cell>
          <cell r="AC479">
            <v>7446418.2800000012</v>
          </cell>
          <cell r="AD479">
            <v>7446418.2800000012</v>
          </cell>
          <cell r="AE479">
            <v>7446418.2800000012</v>
          </cell>
          <cell r="AF479">
            <v>7446418.2800000012</v>
          </cell>
          <cell r="AG479">
            <v>7446418.2800000012</v>
          </cell>
          <cell r="AH479">
            <v>7446418.2800000012</v>
          </cell>
          <cell r="AI479">
            <v>7446418.2800000012</v>
          </cell>
          <cell r="AJ479">
            <v>7446418.2800000012</v>
          </cell>
          <cell r="AK479">
            <v>7446418.2800000012</v>
          </cell>
          <cell r="AL479">
            <v>7446418.2800000012</v>
          </cell>
          <cell r="AM479">
            <v>7446418.2800000012</v>
          </cell>
          <cell r="AN479">
            <v>7446418.2800000012</v>
          </cell>
          <cell r="AO479">
            <v>7446418.2800000012</v>
          </cell>
          <cell r="AP479">
            <v>7446418.2800000012</v>
          </cell>
          <cell r="AQ479">
            <v>7446418.2800000012</v>
          </cell>
          <cell r="AR479">
            <v>7446418.2800000012</v>
          </cell>
          <cell r="AS479">
            <v>7446418.2800000012</v>
          </cell>
          <cell r="AT479">
            <v>7446418.2800000012</v>
          </cell>
          <cell r="AU479">
            <v>7446418.2800000012</v>
          </cell>
          <cell r="AV479">
            <v>7446418.2800000012</v>
          </cell>
          <cell r="AW479">
            <v>7446418.2800000012</v>
          </cell>
          <cell r="AX479">
            <v>7446418.2800000012</v>
          </cell>
          <cell r="AY479">
            <v>7446418.2800000012</v>
          </cell>
          <cell r="AZ479">
            <v>7446418.2800000012</v>
          </cell>
          <cell r="BA479">
            <v>7446418.2800000012</v>
          </cell>
          <cell r="BB479">
            <v>7446418.2800000012</v>
          </cell>
        </row>
        <row r="480">
          <cell r="A480" t="str">
            <v>TELE</v>
          </cell>
          <cell r="B480">
            <v>5703122.2599999988</v>
          </cell>
          <cell r="C480">
            <v>5468332.6200000001</v>
          </cell>
          <cell r="D480">
            <v>5561272.7100000009</v>
          </cell>
          <cell r="E480">
            <v>6010920.0100000007</v>
          </cell>
          <cell r="F480">
            <v>6455032.9699999997</v>
          </cell>
          <cell r="G480">
            <v>6052567.2999999998</v>
          </cell>
          <cell r="H480">
            <v>5800736.0999999996</v>
          </cell>
          <cell r="I480">
            <v>6019182.2399999993</v>
          </cell>
          <cell r="J480">
            <v>6238092.3400000008</v>
          </cell>
          <cell r="K480">
            <v>5668073.3200000003</v>
          </cell>
          <cell r="L480">
            <v>5505923.3300000001</v>
          </cell>
          <cell r="M480">
            <v>5391044.3199999994</v>
          </cell>
          <cell r="N480">
            <v>6126854.8100000005</v>
          </cell>
          <cell r="O480">
            <v>5781940.3799999999</v>
          </cell>
          <cell r="P480">
            <v>5472590.8200000003</v>
          </cell>
          <cell r="Q480">
            <v>5529424.6099999994</v>
          </cell>
          <cell r="R480">
            <v>6147344.54</v>
          </cell>
          <cell r="S480">
            <v>6231905.7000000002</v>
          </cell>
          <cell r="T480">
            <v>5992601.8499999996</v>
          </cell>
          <cell r="U480">
            <v>5935134.3099999996</v>
          </cell>
          <cell r="V480">
            <v>5762208.3700000001</v>
          </cell>
          <cell r="W480">
            <v>7445140.6200000001</v>
          </cell>
          <cell r="X480">
            <v>7776566.0200000005</v>
          </cell>
          <cell r="Y480">
            <v>7110411.5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</row>
        <row r="481">
          <cell r="A481" t="str">
            <v>ptd</v>
          </cell>
          <cell r="B481">
            <v>5703122.2599999988</v>
          </cell>
          <cell r="C481">
            <v>11171454.879999999</v>
          </cell>
          <cell r="D481">
            <v>16732727.59</v>
          </cell>
          <cell r="E481">
            <v>22743647.600000001</v>
          </cell>
          <cell r="F481">
            <v>6455032.9699999997</v>
          </cell>
          <cell r="G481">
            <v>12507600.27</v>
          </cell>
          <cell r="H481">
            <v>18308336.369999997</v>
          </cell>
          <cell r="I481">
            <v>24327518.609999996</v>
          </cell>
          <cell r="J481">
            <v>6238092.3400000008</v>
          </cell>
          <cell r="K481">
            <v>11906165.66</v>
          </cell>
          <cell r="L481">
            <v>17412088.990000002</v>
          </cell>
          <cell r="M481">
            <v>22803133.310000002</v>
          </cell>
          <cell r="N481">
            <v>6126854.8100000005</v>
          </cell>
          <cell r="O481">
            <v>11908795.190000001</v>
          </cell>
          <cell r="P481">
            <v>17381386.010000002</v>
          </cell>
          <cell r="Q481">
            <v>22910810.620000001</v>
          </cell>
          <cell r="R481">
            <v>6147344.54</v>
          </cell>
          <cell r="S481">
            <v>12379250.24</v>
          </cell>
          <cell r="T481">
            <v>18371852.09</v>
          </cell>
          <cell r="U481">
            <v>24306986.399999999</v>
          </cell>
          <cell r="V481">
            <v>5762208.3700000001</v>
          </cell>
          <cell r="W481">
            <v>13207348.99</v>
          </cell>
          <cell r="X481">
            <v>20983915.010000002</v>
          </cell>
          <cell r="Y481">
            <v>28094326.510000002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</row>
        <row r="482">
          <cell r="A482" t="str">
            <v>qtd</v>
          </cell>
          <cell r="B482">
            <v>5703122.2599999988</v>
          </cell>
          <cell r="C482">
            <v>11171454.879999999</v>
          </cell>
          <cell r="D482">
            <v>16732727.59</v>
          </cell>
          <cell r="E482">
            <v>22743647.600000001</v>
          </cell>
          <cell r="F482">
            <v>29198680.57</v>
          </cell>
          <cell r="G482">
            <v>35251247.869999997</v>
          </cell>
          <cell r="H482">
            <v>41051983.969999999</v>
          </cell>
          <cell r="I482">
            <v>47071166.210000001</v>
          </cell>
          <cell r="J482">
            <v>53309258.550000004</v>
          </cell>
          <cell r="K482">
            <v>58977331.870000005</v>
          </cell>
          <cell r="L482">
            <v>64483255.200000003</v>
          </cell>
          <cell r="M482">
            <v>69874299.519999996</v>
          </cell>
          <cell r="N482">
            <v>6126854.8100000005</v>
          </cell>
          <cell r="O482">
            <v>11908795.190000001</v>
          </cell>
          <cell r="P482">
            <v>17381386.010000002</v>
          </cell>
          <cell r="Q482">
            <v>22910810.620000001</v>
          </cell>
          <cell r="R482">
            <v>29058155.16</v>
          </cell>
          <cell r="S482">
            <v>35290060.859999999</v>
          </cell>
          <cell r="T482">
            <v>41282662.710000001</v>
          </cell>
          <cell r="U482">
            <v>47217797.020000003</v>
          </cell>
          <cell r="V482">
            <v>52980005.390000001</v>
          </cell>
          <cell r="W482">
            <v>60425146.009999998</v>
          </cell>
          <cell r="X482">
            <v>68201712.030000001</v>
          </cell>
          <cell r="Y482">
            <v>75312123.530000001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</row>
        <row r="483">
          <cell r="A483" t="str">
            <v>ytd</v>
          </cell>
          <cell r="B483">
            <v>5703122.2599999988</v>
          </cell>
          <cell r="C483">
            <v>11171454.879999999</v>
          </cell>
          <cell r="D483">
            <v>16732727.59</v>
          </cell>
          <cell r="E483">
            <v>22743647.600000001</v>
          </cell>
          <cell r="F483">
            <v>29198680.57</v>
          </cell>
          <cell r="G483">
            <v>35251247.869999997</v>
          </cell>
          <cell r="H483">
            <v>41051983.969999999</v>
          </cell>
          <cell r="I483">
            <v>47071166.210000001</v>
          </cell>
          <cell r="J483">
            <v>53309258.550000004</v>
          </cell>
          <cell r="K483">
            <v>58977331.870000005</v>
          </cell>
          <cell r="L483">
            <v>64483255.200000003</v>
          </cell>
          <cell r="M483">
            <v>69874299.519999996</v>
          </cell>
          <cell r="N483">
            <v>76001154.329999998</v>
          </cell>
          <cell r="O483">
            <v>81783094.709999993</v>
          </cell>
          <cell r="P483">
            <v>87255685.530000001</v>
          </cell>
          <cell r="Q483">
            <v>92785110.140000001</v>
          </cell>
          <cell r="R483">
            <v>98932454.680000007</v>
          </cell>
          <cell r="S483">
            <v>105164360.38000001</v>
          </cell>
          <cell r="T483">
            <v>111156962.23</v>
          </cell>
          <cell r="U483">
            <v>117092096.54000001</v>
          </cell>
          <cell r="V483">
            <v>122854304.91000001</v>
          </cell>
          <cell r="W483">
            <v>130299445.53000002</v>
          </cell>
          <cell r="X483">
            <v>138076011.55000001</v>
          </cell>
          <cell r="Y483">
            <v>145186423.05000001</v>
          </cell>
          <cell r="Z483">
            <v>145186423.05000001</v>
          </cell>
          <cell r="AA483">
            <v>145186423.05000001</v>
          </cell>
          <cell r="AB483">
            <v>145186423.05000001</v>
          </cell>
          <cell r="AC483">
            <v>145186423.05000001</v>
          </cell>
          <cell r="AD483">
            <v>145186423.05000001</v>
          </cell>
          <cell r="AE483">
            <v>145186423.05000001</v>
          </cell>
          <cell r="AF483">
            <v>145186423.05000001</v>
          </cell>
          <cell r="AG483">
            <v>145186423.05000001</v>
          </cell>
          <cell r="AH483">
            <v>145186423.05000001</v>
          </cell>
          <cell r="AI483">
            <v>145186423.05000001</v>
          </cell>
          <cell r="AJ483">
            <v>145186423.05000001</v>
          </cell>
          <cell r="AK483">
            <v>145186423.05000001</v>
          </cell>
          <cell r="AL483">
            <v>145186423.05000001</v>
          </cell>
          <cell r="AM483">
            <v>145186423.05000001</v>
          </cell>
          <cell r="AN483">
            <v>145186423.05000001</v>
          </cell>
          <cell r="AO483">
            <v>145186423.05000001</v>
          </cell>
          <cell r="AP483">
            <v>145186423.05000001</v>
          </cell>
          <cell r="AQ483">
            <v>145186423.05000001</v>
          </cell>
          <cell r="AR483">
            <v>145186423.05000001</v>
          </cell>
          <cell r="AS483">
            <v>145186423.05000001</v>
          </cell>
          <cell r="AT483">
            <v>145186423.05000001</v>
          </cell>
          <cell r="AU483">
            <v>145186423.05000001</v>
          </cell>
          <cell r="AV483">
            <v>145186423.05000001</v>
          </cell>
          <cell r="AW483">
            <v>145186423.05000001</v>
          </cell>
          <cell r="AX483">
            <v>145186423.05000001</v>
          </cell>
          <cell r="AY483">
            <v>145186423.05000001</v>
          </cell>
          <cell r="AZ483">
            <v>145186423.05000001</v>
          </cell>
          <cell r="BA483">
            <v>145186423.05000001</v>
          </cell>
          <cell r="BB483">
            <v>145186423.05000001</v>
          </cell>
        </row>
        <row r="484">
          <cell r="A484" t="str">
            <v>TICK</v>
          </cell>
          <cell r="B484">
            <v>203938.84</v>
          </cell>
          <cell r="C484">
            <v>328673.83999999997</v>
          </cell>
          <cell r="D484">
            <v>321103.45</v>
          </cell>
          <cell r="E484">
            <v>396709.19</v>
          </cell>
          <cell r="F484">
            <v>381879.16000000003</v>
          </cell>
          <cell r="G484">
            <v>663207.89999999991</v>
          </cell>
          <cell r="H484">
            <v>694161.63</v>
          </cell>
          <cell r="I484">
            <v>624760.85</v>
          </cell>
          <cell r="J484">
            <v>651641.77</v>
          </cell>
          <cell r="K484">
            <v>729001.26</v>
          </cell>
          <cell r="L484">
            <v>890480.1</v>
          </cell>
          <cell r="M484">
            <v>960925.66</v>
          </cell>
          <cell r="N484">
            <v>972408.69</v>
          </cell>
          <cell r="O484">
            <v>1304447.1299999999</v>
          </cell>
          <cell r="P484">
            <v>1062467.06</v>
          </cell>
          <cell r="Q484">
            <v>968285.41</v>
          </cell>
          <cell r="R484">
            <v>739318.76</v>
          </cell>
          <cell r="S484">
            <v>746612.05</v>
          </cell>
          <cell r="T484">
            <v>869319.75</v>
          </cell>
          <cell r="U484">
            <v>1328162.76</v>
          </cell>
          <cell r="V484">
            <v>1432946.0299999998</v>
          </cell>
          <cell r="W484">
            <v>1468025.54</v>
          </cell>
          <cell r="X484">
            <v>1721296.38</v>
          </cell>
          <cell r="Y484">
            <v>1968713.22</v>
          </cell>
          <cell r="Z484">
            <v>0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</row>
        <row r="485">
          <cell r="A485" t="str">
            <v>ptd</v>
          </cell>
          <cell r="B485">
            <v>203938.84</v>
          </cell>
          <cell r="C485">
            <v>532612.67999999993</v>
          </cell>
          <cell r="D485">
            <v>853716.12999999989</v>
          </cell>
          <cell r="E485">
            <v>1250425.3199999998</v>
          </cell>
          <cell r="F485">
            <v>381879.16000000003</v>
          </cell>
          <cell r="G485">
            <v>1045087.0599999999</v>
          </cell>
          <cell r="H485">
            <v>1739248.69</v>
          </cell>
          <cell r="I485">
            <v>2364009.54</v>
          </cell>
          <cell r="J485">
            <v>651641.77</v>
          </cell>
          <cell r="K485">
            <v>1380643.03</v>
          </cell>
          <cell r="L485">
            <v>2271123.13</v>
          </cell>
          <cell r="M485">
            <v>3232048.79</v>
          </cell>
          <cell r="N485">
            <v>972408.69</v>
          </cell>
          <cell r="O485">
            <v>2276855.8199999998</v>
          </cell>
          <cell r="P485">
            <v>3339322.88</v>
          </cell>
          <cell r="Q485">
            <v>4307608.29</v>
          </cell>
          <cell r="R485">
            <v>739318.76</v>
          </cell>
          <cell r="S485">
            <v>1485930.81</v>
          </cell>
          <cell r="T485">
            <v>2355250.56</v>
          </cell>
          <cell r="U485">
            <v>3683413.3200000003</v>
          </cell>
          <cell r="V485">
            <v>1432946.0299999998</v>
          </cell>
          <cell r="W485">
            <v>2900971.57</v>
          </cell>
          <cell r="X485">
            <v>4622267.9499999993</v>
          </cell>
          <cell r="Y485">
            <v>6590981.169999999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</row>
        <row r="486">
          <cell r="A486" t="str">
            <v>qtd</v>
          </cell>
          <cell r="B486">
            <v>203938.84</v>
          </cell>
          <cell r="C486">
            <v>532612.67999999993</v>
          </cell>
          <cell r="D486">
            <v>853716.12999999989</v>
          </cell>
          <cell r="E486">
            <v>1250425.3199999998</v>
          </cell>
          <cell r="F486">
            <v>1632304.48</v>
          </cell>
          <cell r="G486">
            <v>2295512.38</v>
          </cell>
          <cell r="H486">
            <v>2989674.01</v>
          </cell>
          <cell r="I486">
            <v>3614434.86</v>
          </cell>
          <cell r="J486">
            <v>4266076.63</v>
          </cell>
          <cell r="K486">
            <v>4995077.8899999997</v>
          </cell>
          <cell r="L486">
            <v>5885557.9899999993</v>
          </cell>
          <cell r="M486">
            <v>6846483.6499999994</v>
          </cell>
          <cell r="N486">
            <v>972408.69</v>
          </cell>
          <cell r="O486">
            <v>2276855.8199999998</v>
          </cell>
          <cell r="P486">
            <v>3339322.88</v>
          </cell>
          <cell r="Q486">
            <v>4307608.29</v>
          </cell>
          <cell r="R486">
            <v>5046927.05</v>
          </cell>
          <cell r="S486">
            <v>5793539.0999999996</v>
          </cell>
          <cell r="T486">
            <v>6662858.8499999996</v>
          </cell>
          <cell r="U486">
            <v>7991021.6099999994</v>
          </cell>
          <cell r="V486">
            <v>9423967.6399999987</v>
          </cell>
          <cell r="W486">
            <v>10891993.18</v>
          </cell>
          <cell r="X486">
            <v>12613289.559999999</v>
          </cell>
          <cell r="Y486">
            <v>14582002.779999999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</row>
        <row r="487">
          <cell r="A487" t="str">
            <v>ytd</v>
          </cell>
          <cell r="B487">
            <v>203938.84</v>
          </cell>
          <cell r="C487">
            <v>532612.67999999993</v>
          </cell>
          <cell r="D487">
            <v>853716.12999999989</v>
          </cell>
          <cell r="E487">
            <v>1250425.3199999998</v>
          </cell>
          <cell r="F487">
            <v>1632304.48</v>
          </cell>
          <cell r="G487">
            <v>2295512.38</v>
          </cell>
          <cell r="H487">
            <v>2989674.01</v>
          </cell>
          <cell r="I487">
            <v>3614434.86</v>
          </cell>
          <cell r="J487">
            <v>4266076.63</v>
          </cell>
          <cell r="K487">
            <v>4995077.8899999997</v>
          </cell>
          <cell r="L487">
            <v>5885557.9899999993</v>
          </cell>
          <cell r="M487">
            <v>6846483.6499999994</v>
          </cell>
          <cell r="N487">
            <v>7818892.3399999999</v>
          </cell>
          <cell r="O487">
            <v>9123339.4699999988</v>
          </cell>
          <cell r="P487">
            <v>10185806.529999999</v>
          </cell>
          <cell r="Q487">
            <v>11154091.939999999</v>
          </cell>
          <cell r="R487">
            <v>11893410.699999999</v>
          </cell>
          <cell r="S487">
            <v>12640022.75</v>
          </cell>
          <cell r="T487">
            <v>13509342.5</v>
          </cell>
          <cell r="U487">
            <v>14837505.26</v>
          </cell>
          <cell r="V487">
            <v>16270451.289999999</v>
          </cell>
          <cell r="W487">
            <v>17738476.829999998</v>
          </cell>
          <cell r="X487">
            <v>19459773.209999997</v>
          </cell>
          <cell r="Y487">
            <v>21428486.429999996</v>
          </cell>
          <cell r="Z487">
            <v>21428486.429999996</v>
          </cell>
          <cell r="AA487">
            <v>21428486.429999996</v>
          </cell>
          <cell r="AB487">
            <v>21428486.429999996</v>
          </cell>
          <cell r="AC487">
            <v>21428486.429999996</v>
          </cell>
          <cell r="AD487">
            <v>21428486.429999996</v>
          </cell>
          <cell r="AE487">
            <v>21428486.429999996</v>
          </cell>
          <cell r="AF487">
            <v>21428486.429999996</v>
          </cell>
          <cell r="AG487">
            <v>21428486.429999996</v>
          </cell>
          <cell r="AH487">
            <v>21428486.429999996</v>
          </cell>
          <cell r="AI487">
            <v>21428486.429999996</v>
          </cell>
          <cell r="AJ487">
            <v>21428486.429999996</v>
          </cell>
          <cell r="AK487">
            <v>21428486.429999996</v>
          </cell>
          <cell r="AL487">
            <v>21428486.429999996</v>
          </cell>
          <cell r="AM487">
            <v>21428486.429999996</v>
          </cell>
          <cell r="AN487">
            <v>21428486.429999996</v>
          </cell>
          <cell r="AO487">
            <v>21428486.429999996</v>
          </cell>
          <cell r="AP487">
            <v>21428486.429999996</v>
          </cell>
          <cell r="AQ487">
            <v>21428486.429999996</v>
          </cell>
          <cell r="AR487">
            <v>21428486.429999996</v>
          </cell>
          <cell r="AS487">
            <v>21428486.429999996</v>
          </cell>
          <cell r="AT487">
            <v>21428486.429999996</v>
          </cell>
          <cell r="AU487">
            <v>21428486.429999996</v>
          </cell>
          <cell r="AV487">
            <v>21428486.429999996</v>
          </cell>
          <cell r="AW487">
            <v>21428486.429999996</v>
          </cell>
          <cell r="AX487">
            <v>21428486.429999996</v>
          </cell>
          <cell r="AY487">
            <v>21428486.429999996</v>
          </cell>
          <cell r="AZ487">
            <v>21428486.429999996</v>
          </cell>
          <cell r="BA487">
            <v>21428486.429999996</v>
          </cell>
          <cell r="BB487">
            <v>21428486.429999996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25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30</v>
          </cell>
          <cell r="U488">
            <v>20</v>
          </cell>
          <cell r="V488">
            <v>40</v>
          </cell>
          <cell r="W488">
            <v>765</v>
          </cell>
          <cell r="X488">
            <v>5425</v>
          </cell>
          <cell r="Y488">
            <v>13155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25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30</v>
          </cell>
          <cell r="U489">
            <v>50</v>
          </cell>
          <cell r="V489">
            <v>40</v>
          </cell>
          <cell r="W489">
            <v>805</v>
          </cell>
          <cell r="X489">
            <v>6230</v>
          </cell>
          <cell r="Y489">
            <v>19385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25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30</v>
          </cell>
          <cell r="U490">
            <v>50</v>
          </cell>
          <cell r="V490">
            <v>90</v>
          </cell>
          <cell r="W490">
            <v>855</v>
          </cell>
          <cell r="X490">
            <v>6280</v>
          </cell>
          <cell r="Y490">
            <v>19435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25</v>
          </cell>
          <cell r="N491">
            <v>25</v>
          </cell>
          <cell r="O491">
            <v>25</v>
          </cell>
          <cell r="P491">
            <v>25</v>
          </cell>
          <cell r="Q491">
            <v>25</v>
          </cell>
          <cell r="R491">
            <v>25</v>
          </cell>
          <cell r="S491">
            <v>25</v>
          </cell>
          <cell r="T491">
            <v>55</v>
          </cell>
          <cell r="U491">
            <v>75</v>
          </cell>
          <cell r="V491">
            <v>115</v>
          </cell>
          <cell r="W491">
            <v>880</v>
          </cell>
          <cell r="X491">
            <v>6305</v>
          </cell>
          <cell r="Y491">
            <v>19460</v>
          </cell>
          <cell r="Z491">
            <v>19460</v>
          </cell>
          <cell r="AA491">
            <v>19460</v>
          </cell>
          <cell r="AB491">
            <v>19460</v>
          </cell>
          <cell r="AC491">
            <v>19460</v>
          </cell>
          <cell r="AD491">
            <v>19460</v>
          </cell>
          <cell r="AE491">
            <v>19460</v>
          </cell>
          <cell r="AF491">
            <v>19460</v>
          </cell>
          <cell r="AG491">
            <v>19460</v>
          </cell>
          <cell r="AH491">
            <v>19460</v>
          </cell>
          <cell r="AI491">
            <v>19460</v>
          </cell>
          <cell r="AJ491">
            <v>19460</v>
          </cell>
          <cell r="AK491">
            <v>19460</v>
          </cell>
          <cell r="AL491">
            <v>19460</v>
          </cell>
          <cell r="AM491">
            <v>19460</v>
          </cell>
          <cell r="AN491">
            <v>19460</v>
          </cell>
          <cell r="AO491">
            <v>19460</v>
          </cell>
          <cell r="AP491">
            <v>19460</v>
          </cell>
          <cell r="AQ491">
            <v>19460</v>
          </cell>
          <cell r="AR491">
            <v>19460</v>
          </cell>
          <cell r="AS491">
            <v>19460</v>
          </cell>
          <cell r="AT491">
            <v>19460</v>
          </cell>
          <cell r="AU491">
            <v>19460</v>
          </cell>
          <cell r="AV491">
            <v>19460</v>
          </cell>
          <cell r="AW491">
            <v>19460</v>
          </cell>
          <cell r="AX491">
            <v>19460</v>
          </cell>
          <cell r="AY491">
            <v>19460</v>
          </cell>
          <cell r="AZ491">
            <v>19460</v>
          </cell>
          <cell r="BA491">
            <v>19460</v>
          </cell>
          <cell r="BB491">
            <v>19460</v>
          </cell>
        </row>
        <row r="492">
          <cell r="A492" t="str">
            <v>TOTAL</v>
          </cell>
          <cell r="B492">
            <v>47028107.890000008</v>
          </cell>
          <cell r="C492">
            <v>44625326.620000005</v>
          </cell>
          <cell r="D492">
            <v>43771060.409999996</v>
          </cell>
          <cell r="E492">
            <v>44716256.309999995</v>
          </cell>
          <cell r="F492">
            <v>47347351.100000001</v>
          </cell>
          <cell r="G492">
            <v>62580520.43</v>
          </cell>
          <cell r="H492">
            <v>46929258.800000004</v>
          </cell>
          <cell r="I492">
            <v>49952423.479999989</v>
          </cell>
          <cell r="J492">
            <v>51211083.899999999</v>
          </cell>
          <cell r="K492">
            <v>47878886.199999996</v>
          </cell>
          <cell r="L492">
            <v>47984488.499999993</v>
          </cell>
          <cell r="M492">
            <v>47954957.470000006</v>
          </cell>
          <cell r="N492">
            <v>52994807.509999998</v>
          </cell>
          <cell r="O492">
            <v>68891612.149999991</v>
          </cell>
          <cell r="P492">
            <v>49434259.059999995</v>
          </cell>
          <cell r="Q492">
            <v>56089862.819999993</v>
          </cell>
          <cell r="R492">
            <v>55587946.700000003</v>
          </cell>
          <cell r="S492">
            <v>84273519.690000013</v>
          </cell>
          <cell r="T492">
            <v>67032673.339999996</v>
          </cell>
          <cell r="U492">
            <v>61060644.899999999</v>
          </cell>
          <cell r="V492">
            <v>61059476.769999996</v>
          </cell>
          <cell r="W492">
            <v>70687628.840000018</v>
          </cell>
          <cell r="X492">
            <v>71865996.829999998</v>
          </cell>
          <cell r="Y492">
            <v>95409281.779999986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</row>
        <row r="493">
          <cell r="A493" t="str">
            <v>ptd</v>
          </cell>
          <cell r="B493">
            <v>47028107.889999993</v>
          </cell>
          <cell r="C493">
            <v>91653434.510000005</v>
          </cell>
          <cell r="D493">
            <v>135424494.91999999</v>
          </cell>
          <cell r="E493">
            <v>180140751.22999999</v>
          </cell>
          <cell r="F493">
            <v>47347351.099999994</v>
          </cell>
          <cell r="G493">
            <v>109927871.53</v>
          </cell>
          <cell r="H493">
            <v>156857130.32999998</v>
          </cell>
          <cell r="I493">
            <v>206809553.80999997</v>
          </cell>
          <cell r="J493">
            <v>51211083.899999991</v>
          </cell>
          <cell r="K493">
            <v>99089970.099999994</v>
          </cell>
          <cell r="L493">
            <v>147074458.59999999</v>
          </cell>
          <cell r="M493">
            <v>195029416.06999999</v>
          </cell>
          <cell r="N493">
            <v>52994807.510000005</v>
          </cell>
          <cell r="O493">
            <v>121886419.66000001</v>
          </cell>
          <cell r="P493">
            <v>171320678.72</v>
          </cell>
          <cell r="Q493">
            <v>227410541.54000002</v>
          </cell>
          <cell r="R493">
            <v>55587946.700000003</v>
          </cell>
          <cell r="S493">
            <v>139861466.39000002</v>
          </cell>
          <cell r="T493">
            <v>206894139.72999999</v>
          </cell>
          <cell r="U493">
            <v>267954784.63</v>
          </cell>
          <cell r="V493">
            <v>61059476.769999996</v>
          </cell>
          <cell r="W493">
            <v>131747105.61</v>
          </cell>
          <cell r="X493">
            <v>203613102.44</v>
          </cell>
          <cell r="Y493">
            <v>299022384.22000003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</row>
        <row r="494">
          <cell r="A494" t="str">
            <v>qtd</v>
          </cell>
          <cell r="B494">
            <v>47028107.889999993</v>
          </cell>
          <cell r="C494">
            <v>91653434.510000005</v>
          </cell>
          <cell r="D494">
            <v>135424494.91999999</v>
          </cell>
          <cell r="E494">
            <v>180140751.22999999</v>
          </cell>
          <cell r="F494">
            <v>227488102.33000001</v>
          </cell>
          <cell r="G494">
            <v>290068622.75999999</v>
          </cell>
          <cell r="H494">
            <v>336997881.56</v>
          </cell>
          <cell r="I494">
            <v>386950305.04000002</v>
          </cell>
          <cell r="J494">
            <v>438161388.94</v>
          </cell>
          <cell r="K494">
            <v>486040275.13999999</v>
          </cell>
          <cell r="L494">
            <v>534024763.63999999</v>
          </cell>
          <cell r="M494">
            <v>581979721.1099999</v>
          </cell>
          <cell r="N494">
            <v>52994807.510000005</v>
          </cell>
          <cell r="O494">
            <v>121886419.66000001</v>
          </cell>
          <cell r="P494">
            <v>171320678.72</v>
          </cell>
          <cell r="Q494">
            <v>227410541.54000002</v>
          </cell>
          <cell r="R494">
            <v>282998488.24000001</v>
          </cell>
          <cell r="S494">
            <v>367272007.93000001</v>
          </cell>
          <cell r="T494">
            <v>434304681.27000004</v>
          </cell>
          <cell r="U494">
            <v>495365326.17000002</v>
          </cell>
          <cell r="V494">
            <v>556424802.93999994</v>
          </cell>
          <cell r="W494">
            <v>627112431.77999997</v>
          </cell>
          <cell r="X494">
            <v>698978428.61000001</v>
          </cell>
          <cell r="Y494">
            <v>794387710.38999999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</row>
        <row r="495">
          <cell r="A495" t="str">
            <v>ytd</v>
          </cell>
          <cell r="B495">
            <v>47028107.889999993</v>
          </cell>
          <cell r="C495">
            <v>91653434.510000005</v>
          </cell>
          <cell r="D495">
            <v>135424494.91999999</v>
          </cell>
          <cell r="E495">
            <v>180140751.22999999</v>
          </cell>
          <cell r="F495">
            <v>227488102.33000001</v>
          </cell>
          <cell r="G495">
            <v>290068622.75999999</v>
          </cell>
          <cell r="H495">
            <v>336997881.56</v>
          </cell>
          <cell r="I495">
            <v>386950305.04000002</v>
          </cell>
          <cell r="J495">
            <v>438161388.94</v>
          </cell>
          <cell r="K495">
            <v>486040275.13999999</v>
          </cell>
          <cell r="L495">
            <v>534024763.63999999</v>
          </cell>
          <cell r="M495">
            <v>581979721.1099999</v>
          </cell>
          <cell r="N495">
            <v>634974528.61999989</v>
          </cell>
          <cell r="O495">
            <v>703866140.76999998</v>
          </cell>
          <cell r="P495">
            <v>753300399.82999992</v>
          </cell>
          <cell r="Q495">
            <v>809390262.64999998</v>
          </cell>
          <cell r="R495">
            <v>864978209.35000002</v>
          </cell>
          <cell r="S495">
            <v>949251729.03999996</v>
          </cell>
          <cell r="T495">
            <v>1016284402.38</v>
          </cell>
          <cell r="U495">
            <v>1077345047.28</v>
          </cell>
          <cell r="V495">
            <v>1138404524.0500002</v>
          </cell>
          <cell r="W495">
            <v>1209092152.8900001</v>
          </cell>
          <cell r="X495">
            <v>1280958149.7200003</v>
          </cell>
          <cell r="Y495">
            <v>1376367431.5</v>
          </cell>
          <cell r="Z495">
            <v>1376367431.5</v>
          </cell>
          <cell r="AA495">
            <v>1376367431.5</v>
          </cell>
          <cell r="AB495">
            <v>1376367431.5</v>
          </cell>
          <cell r="AC495">
            <v>1376367431.5</v>
          </cell>
          <cell r="AD495">
            <v>1376367431.5</v>
          </cell>
          <cell r="AE495">
            <v>1376367431.5</v>
          </cell>
          <cell r="AF495">
            <v>1376367431.5</v>
          </cell>
          <cell r="AG495">
            <v>1376367431.5</v>
          </cell>
          <cell r="AH495">
            <v>1376367431.5</v>
          </cell>
          <cell r="AI495">
            <v>1376367431.5</v>
          </cell>
          <cell r="AJ495">
            <v>1376367431.5</v>
          </cell>
          <cell r="AK495">
            <v>1376367431.5</v>
          </cell>
          <cell r="AL495">
            <v>1376367431.5</v>
          </cell>
          <cell r="AM495">
            <v>1376367431.5</v>
          </cell>
          <cell r="AN495">
            <v>1376367431.5</v>
          </cell>
          <cell r="AO495">
            <v>1376367431.5</v>
          </cell>
          <cell r="AP495">
            <v>1376367431.5</v>
          </cell>
          <cell r="AQ495">
            <v>1376367431.5</v>
          </cell>
          <cell r="AR495">
            <v>1376367431.5</v>
          </cell>
          <cell r="AS495">
            <v>1376367431.5</v>
          </cell>
          <cell r="AT495">
            <v>1376367431.5</v>
          </cell>
          <cell r="AU495">
            <v>1376367431.5</v>
          </cell>
          <cell r="AV495">
            <v>1376367431.5</v>
          </cell>
          <cell r="AW495">
            <v>1376367431.5</v>
          </cell>
          <cell r="AX495">
            <v>1376367431.5</v>
          </cell>
          <cell r="AY495">
            <v>1376367431.5</v>
          </cell>
          <cell r="AZ495">
            <v>1376367431.5</v>
          </cell>
          <cell r="BA495">
            <v>1376367431.5</v>
          </cell>
          <cell r="BB495">
            <v>1376367431.5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6561067.0100000007</v>
          </cell>
          <cell r="C498">
            <v>6117870.4100000001</v>
          </cell>
          <cell r="D498">
            <v>5997537.5</v>
          </cell>
          <cell r="E498">
            <v>6164423.25</v>
          </cell>
          <cell r="F498">
            <v>6806372.9300000006</v>
          </cell>
          <cell r="G498">
            <v>9806097.1899999995</v>
          </cell>
          <cell r="H498">
            <v>6321725.0499999998</v>
          </cell>
          <cell r="I498">
            <v>6564405.9299999997</v>
          </cell>
          <cell r="J498">
            <v>6763617.7400000002</v>
          </cell>
          <cell r="K498">
            <v>6457396.5500000007</v>
          </cell>
          <cell r="L498">
            <v>6139906.3300000001</v>
          </cell>
          <cell r="M498">
            <v>5886206.8100000005</v>
          </cell>
          <cell r="N498">
            <v>6426826.9699999997</v>
          </cell>
          <cell r="O498">
            <v>9052900.6400000006</v>
          </cell>
          <cell r="P498">
            <v>6077602.4400000004</v>
          </cell>
          <cell r="Q498">
            <v>6698179.0099999998</v>
          </cell>
          <cell r="R498">
            <v>6604304.9700000007</v>
          </cell>
          <cell r="S498">
            <v>11767047.810000001</v>
          </cell>
          <cell r="T498">
            <v>8950587.0500000007</v>
          </cell>
          <cell r="U498">
            <v>8076907.6600000001</v>
          </cell>
          <cell r="V498">
            <v>7915974.6799999997</v>
          </cell>
          <cell r="W498">
            <v>8841583.2600000016</v>
          </cell>
          <cell r="X498">
            <v>8640526.9600000009</v>
          </cell>
          <cell r="Y498">
            <v>12655314.720000001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</row>
        <row r="499">
          <cell r="A499" t="str">
            <v>GE</v>
          </cell>
          <cell r="B499">
            <v>7102747.6300000008</v>
          </cell>
          <cell r="C499">
            <v>7208808.1299999999</v>
          </cell>
          <cell r="D499">
            <v>7361120.3100000005</v>
          </cell>
          <cell r="E499">
            <v>7127974.3100000005</v>
          </cell>
          <cell r="F499">
            <v>7362421.0600000005</v>
          </cell>
          <cell r="G499">
            <v>8994829.9600000009</v>
          </cell>
          <cell r="H499">
            <v>9307172.5899999999</v>
          </cell>
          <cell r="I499">
            <v>10823573.5</v>
          </cell>
          <cell r="J499">
            <v>11398260.18</v>
          </cell>
          <cell r="K499">
            <v>8742364.4800000004</v>
          </cell>
          <cell r="L499">
            <v>8975050.3300000001</v>
          </cell>
          <cell r="M499">
            <v>9055450.6899999995</v>
          </cell>
          <cell r="N499">
            <v>10324892.52</v>
          </cell>
          <cell r="O499">
            <v>11661061.369999999</v>
          </cell>
          <cell r="P499">
            <v>8707731.4299999997</v>
          </cell>
          <cell r="Q499">
            <v>10653364.49</v>
          </cell>
          <cell r="R499">
            <v>11010104.390000001</v>
          </cell>
          <cell r="S499">
            <v>13388750.17</v>
          </cell>
          <cell r="T499">
            <v>10924860.1</v>
          </cell>
          <cell r="U499">
            <v>11230373.199999999</v>
          </cell>
          <cell r="V499">
            <v>10930515.779999999</v>
          </cell>
          <cell r="W499">
            <v>11597675.380000001</v>
          </cell>
          <cell r="X499">
            <v>11537528.57</v>
          </cell>
          <cell r="Y499">
            <v>13962844.859999999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</row>
        <row r="500">
          <cell r="A500" t="str">
            <v>SWY</v>
          </cell>
          <cell r="B500">
            <v>11293952.32</v>
          </cell>
          <cell r="C500">
            <v>10723091.23</v>
          </cell>
          <cell r="D500">
            <v>10363396.699999999</v>
          </cell>
          <cell r="E500">
            <v>10788137.250000002</v>
          </cell>
          <cell r="F500">
            <v>11383188.640000001</v>
          </cell>
          <cell r="G500">
            <v>14672338.74</v>
          </cell>
          <cell r="H500">
            <v>10639096.049999999</v>
          </cell>
          <cell r="I500">
            <v>11246365.76</v>
          </cell>
          <cell r="J500">
            <v>11562788.629999999</v>
          </cell>
          <cell r="K500">
            <v>11379140.41</v>
          </cell>
          <cell r="L500">
            <v>11323287.289999999</v>
          </cell>
          <cell r="M500">
            <v>11183218.860000001</v>
          </cell>
          <cell r="N500">
            <v>12385079.209999999</v>
          </cell>
          <cell r="O500">
            <v>15066473.120000001</v>
          </cell>
          <cell r="P500">
            <v>11629749.35</v>
          </cell>
          <cell r="Q500">
            <v>12486416.879999999</v>
          </cell>
          <cell r="R500">
            <v>12211289.439999999</v>
          </cell>
          <cell r="S500">
            <v>18795906.630000003</v>
          </cell>
          <cell r="T500">
            <v>15448319.300000001</v>
          </cell>
          <cell r="U500">
            <v>14014386.739999998</v>
          </cell>
          <cell r="V500">
            <v>13827728.959999999</v>
          </cell>
          <cell r="W500">
            <v>16527710.700000001</v>
          </cell>
          <cell r="X500">
            <v>17334960.860000003</v>
          </cell>
          <cell r="Y500">
            <v>20981805.350000001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</row>
        <row r="501">
          <cell r="A501" t="str">
            <v>DIST</v>
          </cell>
          <cell r="B501">
            <v>35047512.079999998</v>
          </cell>
          <cell r="C501">
            <v>33305228.439999998</v>
          </cell>
          <cell r="D501">
            <v>32819419.420000002</v>
          </cell>
          <cell r="E501">
            <v>33391318.939999998</v>
          </cell>
          <cell r="F501">
            <v>35365359.700000003</v>
          </cell>
          <cell r="G501">
            <v>47164762.710000001</v>
          </cell>
          <cell r="H501">
            <v>35641448.549999997</v>
          </cell>
          <cell r="I501">
            <v>37960356.669999994</v>
          </cell>
          <cell r="J501">
            <v>38963294.200000003</v>
          </cell>
          <cell r="K501">
            <v>35782043.239999995</v>
          </cell>
          <cell r="L501">
            <v>35853788.519999996</v>
          </cell>
          <cell r="M501">
            <v>36040616.089999996</v>
          </cell>
          <cell r="N501">
            <v>39849627.870000005</v>
          </cell>
          <cell r="O501">
            <v>53038807.539999999</v>
          </cell>
          <cell r="P501">
            <v>37121763.979999997</v>
          </cell>
          <cell r="Q501">
            <v>42918818.780000001</v>
          </cell>
          <cell r="R501">
            <v>42561248.160000004</v>
          </cell>
          <cell r="S501">
            <v>64348035.770000003</v>
          </cell>
          <cell r="T501">
            <v>50743147</v>
          </cell>
          <cell r="U501">
            <v>46189816.730000004</v>
          </cell>
          <cell r="V501">
            <v>46314131.339999996</v>
          </cell>
          <cell r="W501">
            <v>53046936.710000008</v>
          </cell>
          <cell r="X501">
            <v>53528891.189999998</v>
          </cell>
          <cell r="Y501">
            <v>73307205.579999983</v>
          </cell>
          <cell r="Z501">
            <v>0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</row>
        <row r="502">
          <cell r="A502" t="str">
            <v>INTL</v>
          </cell>
          <cell r="B502">
            <v>686643.49</v>
          </cell>
          <cell r="C502">
            <v>597006.95000000007</v>
          </cell>
          <cell r="D502">
            <v>588244.29</v>
          </cell>
          <cell r="E502">
            <v>536800.12</v>
          </cell>
          <cell r="F502">
            <v>598802.76</v>
          </cell>
          <cell r="G502">
            <v>743418.98</v>
          </cell>
          <cell r="H502">
            <v>648714.19999999995</v>
          </cell>
          <cell r="I502">
            <v>745701.04999999993</v>
          </cell>
          <cell r="J502">
            <v>685001.07000000007</v>
          </cell>
          <cell r="K502">
            <v>717702.54999999993</v>
          </cell>
          <cell r="L502">
            <v>807412.69000000006</v>
          </cell>
          <cell r="M502">
            <v>731122.52</v>
          </cell>
          <cell r="N502">
            <v>760100.42999999993</v>
          </cell>
          <cell r="O502">
            <v>786331.49000000011</v>
          </cell>
          <cell r="P502">
            <v>682745.73</v>
          </cell>
          <cell r="Q502">
            <v>684627.16000000015</v>
          </cell>
          <cell r="R502">
            <v>815409.10000000009</v>
          </cell>
          <cell r="S502">
            <v>1129577.29</v>
          </cell>
          <cell r="T502">
            <v>841207.03999999992</v>
          </cell>
          <cell r="U502">
            <v>856441.42999999993</v>
          </cell>
          <cell r="V502">
            <v>917616.47</v>
          </cell>
          <cell r="W502">
            <v>1112981.43</v>
          </cell>
          <cell r="X502">
            <v>1002144.78</v>
          </cell>
          <cell r="Y502">
            <v>1120270.8500000001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</row>
        <row r="509">
          <cell r="A509" t="str">
            <v>SAFEWAY</v>
          </cell>
          <cell r="B509">
            <v>20981805.350000001</v>
          </cell>
          <cell r="C509">
            <v>68672205.870000005</v>
          </cell>
          <cell r="D509">
            <v>180709826.53999999</v>
          </cell>
          <cell r="E509">
            <v>317267828.42000002</v>
          </cell>
        </row>
        <row r="510">
          <cell r="A510" t="str">
            <v>GIANT EAGLE</v>
          </cell>
          <cell r="B510">
            <v>13962844.859999999</v>
          </cell>
          <cell r="C510">
            <v>48028564.590000004</v>
          </cell>
          <cell r="D510">
            <v>135929702.25999999</v>
          </cell>
          <cell r="E510">
            <v>239389475.43000001</v>
          </cell>
        </row>
        <row r="511">
          <cell r="A511" t="str">
            <v>KROGER</v>
          </cell>
          <cell r="B511">
            <v>12655314.720000001</v>
          </cell>
          <cell r="C511">
            <v>38053399.619999997</v>
          </cell>
          <cell r="D511">
            <v>101707756.17</v>
          </cell>
          <cell r="E511">
            <v>181294382.87</v>
          </cell>
        </row>
        <row r="512">
          <cell r="A512" t="str">
            <v>PUBLIX</v>
          </cell>
          <cell r="B512">
            <v>4628169.93</v>
          </cell>
          <cell r="C512">
            <v>15005287.789999999</v>
          </cell>
          <cell r="D512">
            <v>42410307.780000001</v>
          </cell>
          <cell r="E512">
            <v>71785781.760000005</v>
          </cell>
        </row>
        <row r="513">
          <cell r="A513" t="str">
            <v>ALBERTSONS</v>
          </cell>
          <cell r="B513">
            <v>4831837.63</v>
          </cell>
          <cell r="C513">
            <v>14899410.67</v>
          </cell>
          <cell r="D513">
            <v>37989889.590000004</v>
          </cell>
          <cell r="E513">
            <v>64245361</v>
          </cell>
        </row>
        <row r="514">
          <cell r="A514" t="str">
            <v>AHOLD</v>
          </cell>
          <cell r="B514">
            <v>5789370.6900000004</v>
          </cell>
          <cell r="C514">
            <v>16045936.640000001</v>
          </cell>
          <cell r="D514">
            <v>38720372.490000002</v>
          </cell>
          <cell r="E514">
            <v>64066010.25</v>
          </cell>
        </row>
        <row r="515">
          <cell r="A515" t="str">
            <v>CVS PHARMACY</v>
          </cell>
          <cell r="B515">
            <v>4153330</v>
          </cell>
          <cell r="C515">
            <v>10775640</v>
          </cell>
          <cell r="D515">
            <v>28342740</v>
          </cell>
          <cell r="E515">
            <v>47120470</v>
          </cell>
        </row>
        <row r="516">
          <cell r="A516" t="str">
            <v>STAPLES</v>
          </cell>
          <cell r="B516">
            <v>1473692.59</v>
          </cell>
          <cell r="C516">
            <v>5173381.53</v>
          </cell>
          <cell r="D516">
            <v>13748773.800000001</v>
          </cell>
          <cell r="E516">
            <v>25644221.260000002</v>
          </cell>
        </row>
        <row r="517">
          <cell r="A517" t="str">
            <v>KMART</v>
          </cell>
          <cell r="B517">
            <v>1508098.35</v>
          </cell>
          <cell r="C517">
            <v>4667093.01</v>
          </cell>
          <cell r="D517">
            <v>12791590.939999999</v>
          </cell>
          <cell r="E517">
            <v>24144279.969999999</v>
          </cell>
        </row>
        <row r="518">
          <cell r="A518" t="str">
            <v>WAWA</v>
          </cell>
          <cell r="B518">
            <v>1120949.04</v>
          </cell>
          <cell r="C518">
            <v>3639538</v>
          </cell>
          <cell r="D518">
            <v>10018792.33</v>
          </cell>
          <cell r="E518">
            <v>18593002.140000001</v>
          </cell>
        </row>
        <row r="519">
          <cell r="A519" t="str">
            <v>A &amp; P</v>
          </cell>
          <cell r="B519">
            <v>1333911.97</v>
          </cell>
          <cell r="C519">
            <v>3595998.38</v>
          </cell>
          <cell r="D519">
            <v>8909037.0999999996</v>
          </cell>
          <cell r="E519">
            <v>15149784.140000001</v>
          </cell>
        </row>
        <row r="520">
          <cell r="A520" t="str">
            <v>FOOD LION</v>
          </cell>
          <cell r="B520">
            <v>1309773.33</v>
          </cell>
          <cell r="C520">
            <v>4112589.24</v>
          </cell>
          <cell r="D520">
            <v>9864142.7300000004</v>
          </cell>
          <cell r="E520">
            <v>15111511.779999999</v>
          </cell>
        </row>
        <row r="521">
          <cell r="A521" t="str">
            <v>WAKEFERN</v>
          </cell>
          <cell r="B521">
            <v>1335627.8999999999</v>
          </cell>
          <cell r="C521">
            <v>3372761.33</v>
          </cell>
          <cell r="D521">
            <v>8390287.5999999996</v>
          </cell>
          <cell r="E521">
            <v>14412760.75</v>
          </cell>
        </row>
        <row r="522">
          <cell r="A522" t="str">
            <v>KROGER C</v>
          </cell>
          <cell r="B522">
            <v>540750.68000000005</v>
          </cell>
          <cell r="C522">
            <v>2104332.04</v>
          </cell>
          <cell r="D522">
            <v>6577883.4500000002</v>
          </cell>
          <cell r="E522">
            <v>13260191.130000001</v>
          </cell>
        </row>
        <row r="523">
          <cell r="A523" t="str">
            <v>WEGMANS</v>
          </cell>
          <cell r="B523">
            <v>1011494.95</v>
          </cell>
          <cell r="C523">
            <v>2684612</v>
          </cell>
          <cell r="D523">
            <v>7156812.6699999999</v>
          </cell>
          <cell r="E523">
            <v>12044505.710000001</v>
          </cell>
        </row>
        <row r="524">
          <cell r="A524" t="str">
            <v>STATER BROS</v>
          </cell>
          <cell r="B524">
            <v>851143.13</v>
          </cell>
          <cell r="C524">
            <v>2519158.9700000002</v>
          </cell>
          <cell r="D524">
            <v>6251531.6900000004</v>
          </cell>
          <cell r="E524">
            <v>10603314.529999999</v>
          </cell>
        </row>
        <row r="525">
          <cell r="A525" t="str">
            <v>MEIJER</v>
          </cell>
          <cell r="B525">
            <v>791890</v>
          </cell>
          <cell r="C525">
            <v>2261190</v>
          </cell>
          <cell r="D525">
            <v>5773510</v>
          </cell>
          <cell r="E525">
            <v>9934590</v>
          </cell>
        </row>
        <row r="526">
          <cell r="A526" t="str">
            <v>AUSTRALIAN POST</v>
          </cell>
          <cell r="B526">
            <v>490080.12</v>
          </cell>
          <cell r="C526">
            <v>1876771.73</v>
          </cell>
          <cell r="D526">
            <v>5568169.9299999997</v>
          </cell>
          <cell r="E526">
            <v>9878291.4199999999</v>
          </cell>
        </row>
        <row r="527">
          <cell r="A527" t="str">
            <v>SOBEYS</v>
          </cell>
          <cell r="B527">
            <v>767150.01</v>
          </cell>
          <cell r="C527">
            <v>2231062.0699999998</v>
          </cell>
          <cell r="D527">
            <v>5782392.8799999999</v>
          </cell>
          <cell r="E527">
            <v>9811181.2799999993</v>
          </cell>
        </row>
        <row r="528">
          <cell r="A528" t="str">
            <v>ALBERTSONS LLC</v>
          </cell>
          <cell r="B528">
            <v>617392.97</v>
          </cell>
          <cell r="C528">
            <v>1970074.94</v>
          </cell>
          <cell r="D528">
            <v>5647199.9699999997</v>
          </cell>
          <cell r="E528">
            <v>9642809.0600000005</v>
          </cell>
        </row>
        <row r="529">
          <cell r="A529" t="str">
            <v>SVU CORPORATE 30</v>
          </cell>
          <cell r="B529">
            <v>590705.76</v>
          </cell>
          <cell r="C529">
            <v>2576294.29</v>
          </cell>
          <cell r="D529">
            <v>5530121.2199999997</v>
          </cell>
          <cell r="E529">
            <v>9044663.0399999991</v>
          </cell>
        </row>
        <row r="530">
          <cell r="A530" t="str">
            <v>HY-VEE</v>
          </cell>
          <cell r="B530">
            <v>576870.15</v>
          </cell>
          <cell r="C530">
            <v>1825831.07</v>
          </cell>
          <cell r="D530">
            <v>4873103.2699999996</v>
          </cell>
          <cell r="E530">
            <v>8499704.0299999993</v>
          </cell>
        </row>
        <row r="531">
          <cell r="A531" t="str">
            <v>SAVE MART</v>
          </cell>
          <cell r="B531">
            <v>591234.29</v>
          </cell>
          <cell r="C531">
            <v>2131138.38</v>
          </cell>
          <cell r="D531">
            <v>5089568.63</v>
          </cell>
          <cell r="E531">
            <v>8482668.6300000008</v>
          </cell>
        </row>
        <row r="532">
          <cell r="A532" t="str">
            <v>KOHLS</v>
          </cell>
          <cell r="B532">
            <v>832835</v>
          </cell>
          <cell r="C532">
            <v>2015620</v>
          </cell>
          <cell r="D532">
            <v>4963320</v>
          </cell>
          <cell r="E532">
            <v>8257230</v>
          </cell>
        </row>
        <row r="533">
          <cell r="A533" t="str">
            <v>OFFICE MAX</v>
          </cell>
          <cell r="B533">
            <v>571869.4</v>
          </cell>
          <cell r="C533">
            <v>1646398.1</v>
          </cell>
          <cell r="D533">
            <v>4765165.0999999996</v>
          </cell>
          <cell r="E533">
            <v>8097395.25</v>
          </cell>
        </row>
        <row r="534">
          <cell r="A534" t="str">
            <v>HARRIS TEETER</v>
          </cell>
          <cell r="B534">
            <v>274795</v>
          </cell>
          <cell r="C534">
            <v>795785</v>
          </cell>
          <cell r="D534">
            <v>6433530</v>
          </cell>
          <cell r="E534">
            <v>7500890</v>
          </cell>
        </row>
        <row r="535">
          <cell r="A535" t="str">
            <v>HANNAFORD</v>
          </cell>
          <cell r="B535">
            <v>549894.51</v>
          </cell>
          <cell r="C535">
            <v>1532535.49</v>
          </cell>
          <cell r="D535">
            <v>4065582.36</v>
          </cell>
          <cell r="E535">
            <v>7056419.0899999999</v>
          </cell>
        </row>
        <row r="536">
          <cell r="A536" t="str">
            <v>LOBLAWS - CANADA</v>
          </cell>
          <cell r="B536">
            <v>673803.98</v>
          </cell>
          <cell r="C536">
            <v>1759476.33</v>
          </cell>
          <cell r="D536">
            <v>4330183.32</v>
          </cell>
          <cell r="E536">
            <v>6502310.6399999997</v>
          </cell>
        </row>
        <row r="537">
          <cell r="A537" t="str">
            <v>ROUNDYS</v>
          </cell>
          <cell r="B537">
            <v>446926.85</v>
          </cell>
          <cell r="C537">
            <v>1526396.19</v>
          </cell>
          <cell r="D537">
            <v>3774894.49</v>
          </cell>
          <cell r="E537">
            <v>6461202.4299999997</v>
          </cell>
        </row>
        <row r="538">
          <cell r="A538" t="str">
            <v>PRICE CHOPPER</v>
          </cell>
          <cell r="B538">
            <v>395880.12</v>
          </cell>
          <cell r="C538">
            <v>1150492.8400000001</v>
          </cell>
          <cell r="D538">
            <v>3188546.73</v>
          </cell>
          <cell r="E538">
            <v>5804858.6799999997</v>
          </cell>
        </row>
        <row r="539">
          <cell r="A539" t="str">
            <v>BI LO</v>
          </cell>
          <cell r="B539">
            <v>306188.07</v>
          </cell>
          <cell r="C539">
            <v>986268.34</v>
          </cell>
          <cell r="D539">
            <v>2835339.44</v>
          </cell>
          <cell r="E539">
            <v>5291138.05</v>
          </cell>
        </row>
        <row r="540">
          <cell r="A540" t="str">
            <v>PATHMARK</v>
          </cell>
          <cell r="B540">
            <v>422288.24</v>
          </cell>
          <cell r="C540">
            <v>1196161.52</v>
          </cell>
          <cell r="D540">
            <v>3281546.83</v>
          </cell>
          <cell r="E540">
            <v>5275825.3</v>
          </cell>
        </row>
        <row r="541">
          <cell r="A541" t="str">
            <v>SVU INDEPENDENT 5/25</v>
          </cell>
          <cell r="B541">
            <v>257784.4</v>
          </cell>
          <cell r="C541">
            <v>842617.76</v>
          </cell>
          <cell r="D541">
            <v>2650636.27</v>
          </cell>
          <cell r="E541">
            <v>4556616.3099999996</v>
          </cell>
        </row>
        <row r="542">
          <cell r="A542" t="str">
            <v>AWG - DIVISIONS</v>
          </cell>
          <cell r="B542">
            <v>316437.90000000002</v>
          </cell>
          <cell r="C542">
            <v>1128888.96</v>
          </cell>
          <cell r="D542">
            <v>2821265.26</v>
          </cell>
          <cell r="E542">
            <v>4471291.2300000004</v>
          </cell>
        </row>
        <row r="543">
          <cell r="A543" t="str">
            <v>WEIS MARKET</v>
          </cell>
          <cell r="B543">
            <v>327545.03000000003</v>
          </cell>
          <cell r="C543">
            <v>1001100.9</v>
          </cell>
          <cell r="D543">
            <v>2598115.36</v>
          </cell>
          <cell r="E543">
            <v>4367223.1100000003</v>
          </cell>
        </row>
        <row r="544">
          <cell r="A544" t="str">
            <v>MORRISONS</v>
          </cell>
          <cell r="B544">
            <v>351843.09</v>
          </cell>
          <cell r="C544">
            <v>921838.38</v>
          </cell>
          <cell r="D544">
            <v>2200373.5499999998</v>
          </cell>
          <cell r="E544">
            <v>4179572.55</v>
          </cell>
        </row>
        <row r="545">
          <cell r="A545" t="str">
            <v>PAYGO</v>
          </cell>
          <cell r="B545">
            <v>1068580.27</v>
          </cell>
          <cell r="C545">
            <v>2990281.84</v>
          </cell>
          <cell r="D545">
            <v>3301886.52</v>
          </cell>
          <cell r="E545">
            <v>3739037.82</v>
          </cell>
        </row>
        <row r="546">
          <cell r="A546" t="str">
            <v>BIG Y</v>
          </cell>
          <cell r="B546">
            <v>310400.05</v>
          </cell>
          <cell r="C546">
            <v>946724.27</v>
          </cell>
          <cell r="D546">
            <v>2505228.86</v>
          </cell>
          <cell r="E546">
            <v>3580274.45</v>
          </cell>
        </row>
        <row r="547">
          <cell r="A547" t="str">
            <v>KATZ</v>
          </cell>
          <cell r="B547">
            <v>277862.06</v>
          </cell>
          <cell r="C547">
            <v>785135.01</v>
          </cell>
          <cell r="D547">
            <v>1863992.05</v>
          </cell>
          <cell r="E547">
            <v>3098083.61</v>
          </cell>
        </row>
        <row r="548">
          <cell r="A548" t="str">
            <v>METRO ONTARIO - CANADA</v>
          </cell>
          <cell r="B548">
            <v>261537.58</v>
          </cell>
          <cell r="C548">
            <v>693147.15</v>
          </cell>
          <cell r="D548">
            <v>1679534.52</v>
          </cell>
          <cell r="E548">
            <v>2814481.35</v>
          </cell>
        </row>
        <row r="549">
          <cell r="A549" t="str">
            <v>SCHNUCKS</v>
          </cell>
          <cell r="B549">
            <v>225320.78</v>
          </cell>
          <cell r="C549">
            <v>673943.34</v>
          </cell>
          <cell r="D549">
            <v>1905459.45</v>
          </cell>
          <cell r="E549">
            <v>2766439.8</v>
          </cell>
        </row>
        <row r="550">
          <cell r="A550" t="str">
            <v>SVU INDEPENDENT 10/25</v>
          </cell>
          <cell r="B550">
            <v>204588.11</v>
          </cell>
          <cell r="C550">
            <v>622949.43000000005</v>
          </cell>
          <cell r="D550">
            <v>1644852.25</v>
          </cell>
          <cell r="E550">
            <v>2760977.48</v>
          </cell>
        </row>
        <row r="551">
          <cell r="A551" t="str">
            <v>UG MERCHANTS</v>
          </cell>
          <cell r="B551">
            <v>149236.45000000001</v>
          </cell>
          <cell r="C551">
            <v>581416.68000000005</v>
          </cell>
          <cell r="D551">
            <v>1452066.24</v>
          </cell>
          <cell r="E551">
            <v>2729871.24</v>
          </cell>
        </row>
        <row r="552">
          <cell r="A552" t="str">
            <v>QUICK CHECK</v>
          </cell>
          <cell r="B552">
            <v>156452.16</v>
          </cell>
          <cell r="C552">
            <v>460813.46</v>
          </cell>
          <cell r="D552">
            <v>1325606.8600000001</v>
          </cell>
          <cell r="E552">
            <v>2644678.39</v>
          </cell>
        </row>
        <row r="553">
          <cell r="A553" t="str">
            <v>LOWES</v>
          </cell>
          <cell r="B553">
            <v>197168.55</v>
          </cell>
          <cell r="C553">
            <v>629485.44999999995</v>
          </cell>
          <cell r="D553">
            <v>1603628.75</v>
          </cell>
          <cell r="E553">
            <v>2636353.54</v>
          </cell>
        </row>
        <row r="554">
          <cell r="A554" t="str">
            <v>TOYS R US</v>
          </cell>
          <cell r="B554">
            <v>155686.25</v>
          </cell>
          <cell r="C554">
            <v>484587.15</v>
          </cell>
          <cell r="D554">
            <v>1451806.71</v>
          </cell>
          <cell r="E554">
            <v>2571661.11</v>
          </cell>
        </row>
        <row r="555">
          <cell r="A555" t="str">
            <v>KING KULLEN</v>
          </cell>
          <cell r="B555">
            <v>233394.82</v>
          </cell>
          <cell r="C555">
            <v>585674.54</v>
          </cell>
          <cell r="D555">
            <v>1438453.33</v>
          </cell>
          <cell r="E555">
            <v>2439838.5</v>
          </cell>
        </row>
        <row r="556">
          <cell r="A556" t="str">
            <v>MACS OF CANADA</v>
          </cell>
          <cell r="B556">
            <v>254354.25</v>
          </cell>
          <cell r="C556">
            <v>805350.19</v>
          </cell>
          <cell r="D556">
            <v>1567345.13</v>
          </cell>
          <cell r="E556">
            <v>2353923.09</v>
          </cell>
        </row>
        <row r="557">
          <cell r="A557" t="str">
            <v>FEDERATED CO-OP - CANADA</v>
          </cell>
          <cell r="B557">
            <v>193333.85</v>
          </cell>
          <cell r="C557">
            <v>594141.93000000005</v>
          </cell>
          <cell r="D557">
            <v>1416818.99</v>
          </cell>
          <cell r="E557">
            <v>2341904.6</v>
          </cell>
        </row>
        <row r="558">
          <cell r="A558" t="str">
            <v>INGLES MARKETS</v>
          </cell>
          <cell r="B558">
            <v>142923.72</v>
          </cell>
          <cell r="C558">
            <v>451848.79</v>
          </cell>
          <cell r="D558">
            <v>1264625.73</v>
          </cell>
          <cell r="E558">
            <v>2320506.83</v>
          </cell>
        </row>
        <row r="559">
          <cell r="A559" t="str">
            <v>CIRCLE K</v>
          </cell>
          <cell r="B559">
            <v>75850</v>
          </cell>
          <cell r="C559">
            <v>291630</v>
          </cell>
          <cell r="D559">
            <v>1015615</v>
          </cell>
          <cell r="E559">
            <v>2137635</v>
          </cell>
        </row>
        <row r="560">
          <cell r="A560" t="str">
            <v>UNITED</v>
          </cell>
          <cell r="B560">
            <v>138489.37</v>
          </cell>
          <cell r="C560">
            <v>462700.03</v>
          </cell>
          <cell r="D560">
            <v>1209287.07</v>
          </cell>
          <cell r="E560">
            <v>2083499.42</v>
          </cell>
        </row>
        <row r="561">
          <cell r="A561" t="str">
            <v>DW - PETRO CANADA</v>
          </cell>
          <cell r="B561">
            <v>118614.33</v>
          </cell>
          <cell r="C561">
            <v>382508.08</v>
          </cell>
          <cell r="D561">
            <v>1070078.8799999999</v>
          </cell>
          <cell r="E561">
            <v>2073427.52</v>
          </cell>
        </row>
        <row r="562">
          <cell r="A562" t="str">
            <v>JB HI-FI - AUS</v>
          </cell>
          <cell r="B562">
            <v>88853.02</v>
          </cell>
          <cell r="C562">
            <v>492767.69</v>
          </cell>
          <cell r="D562">
            <v>1191448.24</v>
          </cell>
          <cell r="E562">
            <v>2010642.78</v>
          </cell>
        </row>
        <row r="563">
          <cell r="A563" t="str">
            <v>BASHAS</v>
          </cell>
          <cell r="B563">
            <v>104385</v>
          </cell>
          <cell r="C563">
            <v>340453</v>
          </cell>
          <cell r="D563">
            <v>1049474</v>
          </cell>
          <cell r="E563">
            <v>1774264</v>
          </cell>
        </row>
        <row r="564">
          <cell r="A564" t="str">
            <v>KVAT - FOOD CITY</v>
          </cell>
          <cell r="B564">
            <v>107201.26</v>
          </cell>
          <cell r="C564">
            <v>333557.98</v>
          </cell>
          <cell r="D564">
            <v>934883.32</v>
          </cell>
          <cell r="E564">
            <v>1740925.46</v>
          </cell>
        </row>
        <row r="565">
          <cell r="A565" t="str">
            <v>OVERWAITEA FOOD GROUP</v>
          </cell>
          <cell r="B565">
            <v>149537.07</v>
          </cell>
          <cell r="C565">
            <v>428620.14</v>
          </cell>
          <cell r="D565">
            <v>1042566.03</v>
          </cell>
          <cell r="E565">
            <v>1718981.57</v>
          </cell>
        </row>
        <row r="566">
          <cell r="A566" t="str">
            <v>UKROPS</v>
          </cell>
          <cell r="B566">
            <v>123276.76</v>
          </cell>
          <cell r="C566">
            <v>399999.32</v>
          </cell>
          <cell r="D566">
            <v>1041025.9</v>
          </cell>
          <cell r="E566">
            <v>1657079.64</v>
          </cell>
        </row>
        <row r="567">
          <cell r="A567" t="str">
            <v>AWI - CORPORATE</v>
          </cell>
          <cell r="B567">
            <v>125732.66</v>
          </cell>
          <cell r="C567">
            <v>367801.62</v>
          </cell>
          <cell r="D567">
            <v>947194.56</v>
          </cell>
          <cell r="E567">
            <v>1625506.68</v>
          </cell>
        </row>
        <row r="568">
          <cell r="A568" t="str">
            <v>BARTELL</v>
          </cell>
          <cell r="B568">
            <v>95330.9</v>
          </cell>
          <cell r="C568">
            <v>319266.26</v>
          </cell>
          <cell r="D568">
            <v>848604.95</v>
          </cell>
          <cell r="E568">
            <v>1557117.74</v>
          </cell>
        </row>
        <row r="569">
          <cell r="A569" t="str">
            <v>KASH AND KARRY</v>
          </cell>
          <cell r="B569">
            <v>85929.3</v>
          </cell>
          <cell r="C569">
            <v>303755.58</v>
          </cell>
          <cell r="D569">
            <v>848723.09</v>
          </cell>
          <cell r="E569">
            <v>1518992.21</v>
          </cell>
        </row>
        <row r="570">
          <cell r="A570" t="str">
            <v>SHOPKO</v>
          </cell>
          <cell r="B570">
            <v>130114.41</v>
          </cell>
          <cell r="C570">
            <v>342867.56</v>
          </cell>
          <cell r="D570">
            <v>860994.46</v>
          </cell>
          <cell r="E570">
            <v>1448374.95</v>
          </cell>
        </row>
        <row r="571">
          <cell r="A571" t="str">
            <v>HARMON CITY</v>
          </cell>
          <cell r="B571">
            <v>122439.14</v>
          </cell>
          <cell r="C571">
            <v>337278.3</v>
          </cell>
          <cell r="D571">
            <v>875135.07</v>
          </cell>
          <cell r="E571">
            <v>1437727.52</v>
          </cell>
        </row>
        <row r="572">
          <cell r="A572" t="str">
            <v>KINGS SUPERMARKET</v>
          </cell>
          <cell r="B572">
            <v>144015.88</v>
          </cell>
          <cell r="C572">
            <v>398506.57</v>
          </cell>
          <cell r="D572">
            <v>886575.45</v>
          </cell>
          <cell r="E572">
            <v>1436363.84</v>
          </cell>
        </row>
        <row r="573">
          <cell r="A573" t="str">
            <v>AFS</v>
          </cell>
          <cell r="B573">
            <v>114620.63</v>
          </cell>
          <cell r="C573">
            <v>318962.96000000002</v>
          </cell>
          <cell r="D573">
            <v>817678.33</v>
          </cell>
          <cell r="E573">
            <v>1434675.1</v>
          </cell>
        </row>
        <row r="574">
          <cell r="A574" t="str">
            <v>BUEHLERS</v>
          </cell>
          <cell r="B574">
            <v>80812.039999999994</v>
          </cell>
          <cell r="C574">
            <v>320865.82</v>
          </cell>
          <cell r="D574">
            <v>792216.99</v>
          </cell>
          <cell r="E574">
            <v>1397107.09</v>
          </cell>
        </row>
        <row r="575">
          <cell r="A575" t="str">
            <v>PENN TRAFFIC</v>
          </cell>
          <cell r="B575">
            <v>85691.92</v>
          </cell>
          <cell r="C575">
            <v>245175.02</v>
          </cell>
          <cell r="D575">
            <v>706183.56</v>
          </cell>
          <cell r="E575">
            <v>1321709.98</v>
          </cell>
        </row>
        <row r="576">
          <cell r="A576" t="str">
            <v>MONEY TREE</v>
          </cell>
          <cell r="B576">
            <v>54628.44</v>
          </cell>
          <cell r="C576">
            <v>219303.19</v>
          </cell>
          <cell r="D576">
            <v>645944.81000000006</v>
          </cell>
          <cell r="E576">
            <v>1256427.83</v>
          </cell>
        </row>
        <row r="577">
          <cell r="A577" t="str">
            <v>HAGGEN</v>
          </cell>
          <cell r="B577">
            <v>93044.72</v>
          </cell>
          <cell r="C577">
            <v>271160.09000000003</v>
          </cell>
          <cell r="D577">
            <v>711184.02</v>
          </cell>
          <cell r="E577">
            <v>1250966.4099999999</v>
          </cell>
        </row>
        <row r="578">
          <cell r="A578" t="str">
            <v>MARSH</v>
          </cell>
          <cell r="B578">
            <v>83916.26</v>
          </cell>
          <cell r="C578">
            <v>268063.26</v>
          </cell>
          <cell r="D578">
            <v>735628.87</v>
          </cell>
          <cell r="E578">
            <v>1242336.1200000001</v>
          </cell>
        </row>
        <row r="579">
          <cell r="A579" t="str">
            <v>UG - GELSONS</v>
          </cell>
          <cell r="B579">
            <v>80155.86</v>
          </cell>
          <cell r="C579">
            <v>269205.46999999997</v>
          </cell>
          <cell r="D579">
            <v>652711.80000000005</v>
          </cell>
          <cell r="E579">
            <v>1136793.94</v>
          </cell>
        </row>
        <row r="580">
          <cell r="A580" t="str">
            <v>MACS</v>
          </cell>
          <cell r="B580">
            <v>46070</v>
          </cell>
          <cell r="C580">
            <v>162600</v>
          </cell>
          <cell r="D580">
            <v>498560</v>
          </cell>
          <cell r="E580">
            <v>1115880</v>
          </cell>
        </row>
        <row r="581">
          <cell r="A581" t="str">
            <v>ROCHE BROS.</v>
          </cell>
          <cell r="B581">
            <v>97894.57</v>
          </cell>
          <cell r="C581">
            <v>264003.39</v>
          </cell>
          <cell r="D581">
            <v>610309.98</v>
          </cell>
          <cell r="E581">
            <v>1053655.92</v>
          </cell>
        </row>
        <row r="582">
          <cell r="A582" t="str">
            <v>UG - NORTHWEST</v>
          </cell>
          <cell r="B582">
            <v>58067.03</v>
          </cell>
          <cell r="C582">
            <v>208442.94</v>
          </cell>
          <cell r="D582">
            <v>562834.75</v>
          </cell>
          <cell r="E582">
            <v>1021590.24</v>
          </cell>
        </row>
        <row r="583">
          <cell r="A583" t="str">
            <v>NASH FINCH</v>
          </cell>
          <cell r="B583">
            <v>59783.8</v>
          </cell>
          <cell r="C583">
            <v>188862.17</v>
          </cell>
          <cell r="D583">
            <v>540691.07999999996</v>
          </cell>
          <cell r="E583">
            <v>985217.8</v>
          </cell>
        </row>
        <row r="584">
          <cell r="A584" t="str">
            <v>METRO - CANADA</v>
          </cell>
          <cell r="B584">
            <v>50735.98</v>
          </cell>
          <cell r="C584">
            <v>160283.51</v>
          </cell>
          <cell r="D584">
            <v>448345.08</v>
          </cell>
          <cell r="E584">
            <v>824420.7</v>
          </cell>
        </row>
        <row r="585">
          <cell r="A585" t="str">
            <v>7-11 - AUS</v>
          </cell>
          <cell r="B585">
            <v>26824.47</v>
          </cell>
          <cell r="C585">
            <v>115592.68</v>
          </cell>
          <cell r="D585">
            <v>380954.13</v>
          </cell>
          <cell r="E585">
            <v>761737.51</v>
          </cell>
        </row>
        <row r="586">
          <cell r="A586" t="str">
            <v>KEY FOODS</v>
          </cell>
          <cell r="B586">
            <v>51457.69</v>
          </cell>
          <cell r="C586">
            <v>140056.67000000001</v>
          </cell>
          <cell r="D586">
            <v>367190.78</v>
          </cell>
          <cell r="E586">
            <v>724998.57</v>
          </cell>
        </row>
        <row r="587">
          <cell r="A587" t="str">
            <v>BROOKSHIRE GROCERY</v>
          </cell>
          <cell r="B587">
            <v>96796.87</v>
          </cell>
          <cell r="C587">
            <v>288601.76</v>
          </cell>
          <cell r="D587">
            <v>541971.16</v>
          </cell>
          <cell r="E587">
            <v>723674.01</v>
          </cell>
        </row>
        <row r="588">
          <cell r="A588" t="str">
            <v>CHS INC</v>
          </cell>
          <cell r="B588">
            <v>27086.880000000001</v>
          </cell>
          <cell r="C588">
            <v>113801.19</v>
          </cell>
          <cell r="D588">
            <v>392726.89</v>
          </cell>
          <cell r="E588">
            <v>718144.78</v>
          </cell>
        </row>
        <row r="589">
          <cell r="A589" t="str">
            <v>CASINO - FRANCE</v>
          </cell>
          <cell r="B589">
            <v>46409</v>
          </cell>
          <cell r="C589">
            <v>223976.09</v>
          </cell>
          <cell r="D589">
            <v>428196.24</v>
          </cell>
          <cell r="E589">
            <v>701571.55</v>
          </cell>
        </row>
        <row r="590">
          <cell r="A590" t="str">
            <v>PIGGLY WIGGLY</v>
          </cell>
          <cell r="B590">
            <v>37773.67</v>
          </cell>
          <cell r="C590">
            <v>134746.26999999999</v>
          </cell>
          <cell r="D590">
            <v>379484.63</v>
          </cell>
          <cell r="E590">
            <v>695639.13</v>
          </cell>
        </row>
        <row r="591">
          <cell r="A591" t="str">
            <v>MCKESSON - ABC PHARMACY</v>
          </cell>
          <cell r="B591">
            <v>48822.78</v>
          </cell>
          <cell r="C591">
            <v>149052.19</v>
          </cell>
          <cell r="D591">
            <v>397054.86</v>
          </cell>
          <cell r="E591">
            <v>694461.7</v>
          </cell>
        </row>
        <row r="592">
          <cell r="A592" t="str">
            <v>HARPS</v>
          </cell>
          <cell r="B592">
            <v>35624.65</v>
          </cell>
          <cell r="C592">
            <v>121731.41</v>
          </cell>
          <cell r="D592">
            <v>360666.48</v>
          </cell>
          <cell r="E592">
            <v>687430.39</v>
          </cell>
        </row>
        <row r="593">
          <cell r="A593" t="str">
            <v>REASORS</v>
          </cell>
          <cell r="B593">
            <v>43156.87</v>
          </cell>
          <cell r="C593">
            <v>125318.99</v>
          </cell>
          <cell r="D593">
            <v>377617.69</v>
          </cell>
          <cell r="E593">
            <v>661826.75</v>
          </cell>
        </row>
        <row r="594">
          <cell r="A594" t="str">
            <v>FRESH BRANDS</v>
          </cell>
          <cell r="B594">
            <v>42059.34</v>
          </cell>
          <cell r="C594">
            <v>134321.49</v>
          </cell>
          <cell r="D594">
            <v>370949.39</v>
          </cell>
          <cell r="E594">
            <v>652221.78</v>
          </cell>
        </row>
        <row r="595">
          <cell r="A595" t="str">
            <v>IDT</v>
          </cell>
          <cell r="B595">
            <v>38835</v>
          </cell>
          <cell r="C595">
            <v>117210</v>
          </cell>
          <cell r="D595">
            <v>335850</v>
          </cell>
          <cell r="E595">
            <v>637185</v>
          </cell>
        </row>
        <row r="596">
          <cell r="A596" t="str">
            <v>C AND S</v>
          </cell>
          <cell r="B596">
            <v>46787.72</v>
          </cell>
          <cell r="C596">
            <v>163177.70000000001</v>
          </cell>
          <cell r="D596">
            <v>386902.62</v>
          </cell>
          <cell r="E596">
            <v>616956.64</v>
          </cell>
        </row>
        <row r="597">
          <cell r="A597" t="str">
            <v>COSTCO</v>
          </cell>
          <cell r="B597">
            <v>15000</v>
          </cell>
          <cell r="C597">
            <v>27000</v>
          </cell>
          <cell r="D597">
            <v>378336.1</v>
          </cell>
          <cell r="E597">
            <v>598211.61</v>
          </cell>
        </row>
        <row r="598">
          <cell r="A598" t="str">
            <v>MCKEEVERS</v>
          </cell>
          <cell r="B598">
            <v>50316.15</v>
          </cell>
          <cell r="C598">
            <v>186593.71</v>
          </cell>
          <cell r="D598">
            <v>395960.6</v>
          </cell>
          <cell r="E598">
            <v>548502.54</v>
          </cell>
        </row>
        <row r="599">
          <cell r="A599" t="str">
            <v>GSI COMMERCE</v>
          </cell>
          <cell r="B599">
            <v>14010</v>
          </cell>
          <cell r="C599">
            <v>43270</v>
          </cell>
          <cell r="D599">
            <v>363560</v>
          </cell>
          <cell r="E599">
            <v>507910</v>
          </cell>
        </row>
        <row r="600">
          <cell r="A600" t="str">
            <v>ESSO</v>
          </cell>
          <cell r="B600">
            <v>31859.14</v>
          </cell>
          <cell r="C600">
            <v>99794.61</v>
          </cell>
          <cell r="D600">
            <v>278685.67</v>
          </cell>
          <cell r="E600">
            <v>493553.2</v>
          </cell>
        </row>
        <row r="601">
          <cell r="A601" t="str">
            <v>ROUSES</v>
          </cell>
          <cell r="B601">
            <v>31323.52</v>
          </cell>
          <cell r="C601">
            <v>92681.31</v>
          </cell>
          <cell r="D601">
            <v>278622.15000000002</v>
          </cell>
          <cell r="E601">
            <v>488599.33</v>
          </cell>
        </row>
        <row r="602">
          <cell r="A602" t="str">
            <v>SHELL OIL OF CANADA</v>
          </cell>
          <cell r="B602">
            <v>38488.449999999997</v>
          </cell>
          <cell r="C602">
            <v>113315.4</v>
          </cell>
          <cell r="D602">
            <v>276277.78000000003</v>
          </cell>
          <cell r="E602">
            <v>470403.19</v>
          </cell>
        </row>
        <row r="603">
          <cell r="A603" t="str">
            <v>FOOD LAND GROCERY</v>
          </cell>
          <cell r="B603">
            <v>21405</v>
          </cell>
          <cell r="C603">
            <v>85408</v>
          </cell>
          <cell r="D603">
            <v>246603</v>
          </cell>
          <cell r="E603">
            <v>453760.97</v>
          </cell>
        </row>
        <row r="604">
          <cell r="A604" t="str">
            <v>ROSAUERS</v>
          </cell>
          <cell r="B604">
            <v>31822.66</v>
          </cell>
          <cell r="C604">
            <v>100167.53</v>
          </cell>
          <cell r="D604">
            <v>252818.04</v>
          </cell>
          <cell r="E604">
            <v>434786.8</v>
          </cell>
        </row>
        <row r="605">
          <cell r="A605" t="str">
            <v>HEINEN</v>
          </cell>
          <cell r="B605">
            <v>28770</v>
          </cell>
          <cell r="C605">
            <v>99568.95</v>
          </cell>
          <cell r="D605">
            <v>257935.9</v>
          </cell>
          <cell r="E605">
            <v>431799.69</v>
          </cell>
        </row>
        <row r="606">
          <cell r="A606" t="str">
            <v>SODEXO</v>
          </cell>
          <cell r="B606">
            <v>28185</v>
          </cell>
          <cell r="C606">
            <v>74070</v>
          </cell>
          <cell r="D606">
            <v>219330</v>
          </cell>
          <cell r="E606">
            <v>431780</v>
          </cell>
        </row>
        <row r="607">
          <cell r="A607" t="str">
            <v>WOOLWORTHS - AUS</v>
          </cell>
          <cell r="B607">
            <v>56190.5</v>
          </cell>
          <cell r="C607">
            <v>280388.78999999998</v>
          </cell>
          <cell r="D607">
            <v>414416.14</v>
          </cell>
          <cell r="E607">
            <v>414416.14</v>
          </cell>
        </row>
        <row r="608">
          <cell r="A608" t="str">
            <v>HARVEYS</v>
          </cell>
          <cell r="B608">
            <v>22998.33</v>
          </cell>
          <cell r="C608">
            <v>75459.19</v>
          </cell>
          <cell r="D608">
            <v>202734.22</v>
          </cell>
          <cell r="E608">
            <v>366561.59</v>
          </cell>
        </row>
        <row r="609">
          <cell r="A609" t="str">
            <v>PAYSPOT</v>
          </cell>
          <cell r="B609">
            <v>24285</v>
          </cell>
          <cell r="C609">
            <v>70035</v>
          </cell>
          <cell r="D609">
            <v>194685</v>
          </cell>
          <cell r="E609">
            <v>359780</v>
          </cell>
        </row>
        <row r="610">
          <cell r="A610" t="str">
            <v>ALEX LEE</v>
          </cell>
          <cell r="B610">
            <v>16201.38</v>
          </cell>
          <cell r="C610">
            <v>62647.03</v>
          </cell>
          <cell r="D610">
            <v>180867.44</v>
          </cell>
          <cell r="E610">
            <v>350708.38</v>
          </cell>
        </row>
        <row r="611">
          <cell r="A611" t="str">
            <v>MAJOR LEAGUE BASEBALL</v>
          </cell>
          <cell r="B611">
            <v>18650</v>
          </cell>
          <cell r="C611">
            <v>87600</v>
          </cell>
          <cell r="D611">
            <v>244975</v>
          </cell>
          <cell r="E611">
            <v>349450</v>
          </cell>
        </row>
        <row r="612">
          <cell r="A612" t="str">
            <v>BHN NES ACTIVATIONS</v>
          </cell>
          <cell r="B612">
            <v>30830</v>
          </cell>
          <cell r="C612">
            <v>180705</v>
          </cell>
          <cell r="D612">
            <v>196755</v>
          </cell>
          <cell r="E612">
            <v>347767.5</v>
          </cell>
        </row>
        <row r="613">
          <cell r="A613" t="str">
            <v>SVU INDEPENDENT 30</v>
          </cell>
          <cell r="B613">
            <v>22498.6</v>
          </cell>
          <cell r="C613">
            <v>71976.77</v>
          </cell>
          <cell r="D613">
            <v>180099.09</v>
          </cell>
          <cell r="E613">
            <v>318658.15000000002</v>
          </cell>
        </row>
        <row r="614">
          <cell r="A614" t="str">
            <v>B &amp; R STORES</v>
          </cell>
          <cell r="B614">
            <v>21876.99</v>
          </cell>
          <cell r="C614">
            <v>63956.18</v>
          </cell>
          <cell r="D614">
            <v>181373.41</v>
          </cell>
          <cell r="E614">
            <v>313410.02</v>
          </cell>
        </row>
        <row r="615">
          <cell r="A615" t="str">
            <v>WOODMANS</v>
          </cell>
          <cell r="B615">
            <v>20989.61</v>
          </cell>
          <cell r="C615">
            <v>61238.05</v>
          </cell>
          <cell r="D615">
            <v>166893.74</v>
          </cell>
          <cell r="E615">
            <v>299800.96000000002</v>
          </cell>
        </row>
        <row r="616">
          <cell r="A616" t="str">
            <v>RIDLEY FAMILY MARKETS</v>
          </cell>
          <cell r="B616">
            <v>16249.79</v>
          </cell>
          <cell r="C616">
            <v>56329.24</v>
          </cell>
          <cell r="D616">
            <v>149253.95000000001</v>
          </cell>
          <cell r="E616">
            <v>272928.08</v>
          </cell>
        </row>
        <row r="617">
          <cell r="A617" t="str">
            <v>GERLANDS</v>
          </cell>
          <cell r="B617">
            <v>14670.25</v>
          </cell>
          <cell r="C617">
            <v>54496.9</v>
          </cell>
          <cell r="D617">
            <v>152446.82999999999</v>
          </cell>
          <cell r="E617">
            <v>265883.65000000002</v>
          </cell>
        </row>
        <row r="618">
          <cell r="A618" t="str">
            <v>TIMES SUPERMARKET</v>
          </cell>
          <cell r="B618">
            <v>12982.87</v>
          </cell>
          <cell r="C618">
            <v>51615</v>
          </cell>
          <cell r="D618">
            <v>145737.39000000001</v>
          </cell>
          <cell r="E618">
            <v>265354.21999999997</v>
          </cell>
        </row>
        <row r="619">
          <cell r="A619" t="str">
            <v>SOUTHERN FAMILY</v>
          </cell>
          <cell r="B619">
            <v>17490.5</v>
          </cell>
          <cell r="C619">
            <v>48036.17</v>
          </cell>
          <cell r="D619">
            <v>138475.94</v>
          </cell>
          <cell r="E619">
            <v>249076.72</v>
          </cell>
        </row>
        <row r="620">
          <cell r="A620" t="str">
            <v>BORDERS UK</v>
          </cell>
          <cell r="B620">
            <v>17015.77</v>
          </cell>
          <cell r="C620">
            <v>49317.54</v>
          </cell>
          <cell r="D620">
            <v>117829.27</v>
          </cell>
          <cell r="E620">
            <v>238006.82</v>
          </cell>
        </row>
        <row r="621">
          <cell r="A621" t="str">
            <v>SNYDER DRUG</v>
          </cell>
          <cell r="B621">
            <v>11273.34</v>
          </cell>
          <cell r="C621">
            <v>41834.26</v>
          </cell>
          <cell r="D621">
            <v>114325.93</v>
          </cell>
          <cell r="E621">
            <v>236565.83</v>
          </cell>
        </row>
        <row r="622">
          <cell r="A622" t="str">
            <v>DW - COUCHE TARDE - CANADA</v>
          </cell>
          <cell r="B622">
            <v>11525.14</v>
          </cell>
          <cell r="C622">
            <v>39394.49</v>
          </cell>
          <cell r="D622">
            <v>114528.92</v>
          </cell>
          <cell r="E622">
            <v>226118.23</v>
          </cell>
        </row>
        <row r="623">
          <cell r="A623" t="str">
            <v>ERRAND SOLUTIONS</v>
          </cell>
          <cell r="B623">
            <v>8119.05</v>
          </cell>
          <cell r="C623">
            <v>37615</v>
          </cell>
          <cell r="D623">
            <v>123110.9</v>
          </cell>
          <cell r="E623">
            <v>204800.9</v>
          </cell>
        </row>
        <row r="624">
          <cell r="A624" t="str">
            <v>GIFT CARD MALL</v>
          </cell>
          <cell r="B624">
            <v>6198</v>
          </cell>
          <cell r="C624">
            <v>31269</v>
          </cell>
          <cell r="D624">
            <v>96026</v>
          </cell>
          <cell r="E624">
            <v>203031</v>
          </cell>
        </row>
        <row r="625">
          <cell r="A625" t="str">
            <v>BEVERAGES AND MORE</v>
          </cell>
          <cell r="B625">
            <v>19995</v>
          </cell>
          <cell r="C625">
            <v>60995</v>
          </cell>
          <cell r="D625">
            <v>105455</v>
          </cell>
          <cell r="E625">
            <v>197890.58</v>
          </cell>
        </row>
        <row r="626">
          <cell r="A626" t="str">
            <v>DAVES SUPERMARKETS</v>
          </cell>
          <cell r="B626">
            <v>9099.83</v>
          </cell>
          <cell r="C626">
            <v>32359.53</v>
          </cell>
          <cell r="D626">
            <v>90421.72</v>
          </cell>
          <cell r="E626">
            <v>193011.67</v>
          </cell>
        </row>
        <row r="627">
          <cell r="A627" t="str">
            <v>RIESBECKS FOODS</v>
          </cell>
          <cell r="B627">
            <v>13709.21</v>
          </cell>
          <cell r="C627">
            <v>41248.97</v>
          </cell>
          <cell r="D627">
            <v>110043.84</v>
          </cell>
          <cell r="E627">
            <v>191511.66</v>
          </cell>
        </row>
        <row r="628">
          <cell r="A628" t="str">
            <v>PEAPOD</v>
          </cell>
          <cell r="B628">
            <v>9420</v>
          </cell>
          <cell r="C628">
            <v>34400</v>
          </cell>
          <cell r="D628">
            <v>110370</v>
          </cell>
          <cell r="E628">
            <v>186530</v>
          </cell>
        </row>
        <row r="629">
          <cell r="A629" t="str">
            <v>24 HOUR FITNESS</v>
          </cell>
          <cell r="B629">
            <v>11556.67</v>
          </cell>
          <cell r="C629">
            <v>43692.58</v>
          </cell>
          <cell r="D629">
            <v>95476.53</v>
          </cell>
          <cell r="E629">
            <v>183981.39</v>
          </cell>
        </row>
        <row r="630">
          <cell r="A630" t="str">
            <v>DAGOSTINO</v>
          </cell>
          <cell r="B630">
            <v>11040.93</v>
          </cell>
          <cell r="C630">
            <v>36222.78</v>
          </cell>
          <cell r="D630">
            <v>93800.53</v>
          </cell>
          <cell r="E630">
            <v>172512.13</v>
          </cell>
        </row>
        <row r="631">
          <cell r="A631" t="str">
            <v>THRIFTY</v>
          </cell>
          <cell r="B631">
            <v>14756.38</v>
          </cell>
          <cell r="C631">
            <v>39748.589999999997</v>
          </cell>
          <cell r="D631">
            <v>87998.75</v>
          </cell>
          <cell r="E631">
            <v>159774.07</v>
          </cell>
        </row>
        <row r="632">
          <cell r="A632" t="str">
            <v>MARTIN MCCOLLS</v>
          </cell>
          <cell r="B632">
            <v>5406.21</v>
          </cell>
          <cell r="C632">
            <v>21199.19</v>
          </cell>
          <cell r="D632">
            <v>63687.75</v>
          </cell>
          <cell r="E632">
            <v>138839.72</v>
          </cell>
        </row>
        <row r="633">
          <cell r="A633" t="str">
            <v>GIFT CARDS DIRECT - AUS</v>
          </cell>
          <cell r="B633">
            <v>3315.41</v>
          </cell>
          <cell r="C633">
            <v>75670.23</v>
          </cell>
          <cell r="D633">
            <v>130886.67</v>
          </cell>
          <cell r="E633">
            <v>136623.65</v>
          </cell>
        </row>
        <row r="634">
          <cell r="A634" t="str">
            <v>BUTERA</v>
          </cell>
          <cell r="B634">
            <v>9243.81</v>
          </cell>
          <cell r="C634">
            <v>29378.39</v>
          </cell>
          <cell r="D634">
            <v>78536.11</v>
          </cell>
          <cell r="E634">
            <v>135275.44</v>
          </cell>
        </row>
        <row r="635">
          <cell r="A635" t="str">
            <v>FELKER</v>
          </cell>
          <cell r="B635">
            <v>6930.4</v>
          </cell>
          <cell r="C635">
            <v>20594.78</v>
          </cell>
          <cell r="D635">
            <v>60455.22</v>
          </cell>
          <cell r="E635">
            <v>111965.75</v>
          </cell>
        </row>
        <row r="636">
          <cell r="A636" t="str">
            <v>AFS2 - LITTLE ROCK</v>
          </cell>
          <cell r="B636">
            <v>874.99</v>
          </cell>
          <cell r="C636">
            <v>6864.94</v>
          </cell>
          <cell r="D636">
            <v>40508.79</v>
          </cell>
          <cell r="E636">
            <v>103025.60000000001</v>
          </cell>
        </row>
        <row r="637">
          <cell r="A637" t="str">
            <v>ARGOS - UK</v>
          </cell>
          <cell r="B637">
            <v>653.89</v>
          </cell>
          <cell r="C637">
            <v>8061.3</v>
          </cell>
          <cell r="D637">
            <v>40996.720000000001</v>
          </cell>
          <cell r="E637">
            <v>91877.33</v>
          </cell>
        </row>
        <row r="638">
          <cell r="A638" t="str">
            <v>NATIONAL BASKETBALL ASSOCIATION</v>
          </cell>
          <cell r="B638">
            <v>4470</v>
          </cell>
          <cell r="C638">
            <v>10164.65</v>
          </cell>
          <cell r="D638">
            <v>58714.080000000002</v>
          </cell>
          <cell r="E638">
            <v>82204.59</v>
          </cell>
        </row>
        <row r="639">
          <cell r="A639" t="str">
            <v>DRAKE SUPERMARKETS - AUS</v>
          </cell>
          <cell r="B639">
            <v>9815.58</v>
          </cell>
          <cell r="C639">
            <v>37678.26</v>
          </cell>
          <cell r="D639">
            <v>75881.570000000007</v>
          </cell>
          <cell r="E639">
            <v>81418.75</v>
          </cell>
        </row>
        <row r="640">
          <cell r="A640" t="str">
            <v>BOULANGER</v>
          </cell>
          <cell r="B640">
            <v>6712.12</v>
          </cell>
          <cell r="C640">
            <v>18854.71</v>
          </cell>
          <cell r="D640">
            <v>39232.18</v>
          </cell>
          <cell r="E640">
            <v>70356.179999999993</v>
          </cell>
        </row>
        <row r="641">
          <cell r="A641" t="str">
            <v>FOODMASTERS</v>
          </cell>
          <cell r="B641">
            <v>7572.5</v>
          </cell>
          <cell r="C641">
            <v>17821.95</v>
          </cell>
          <cell r="D641">
            <v>41212.699999999997</v>
          </cell>
          <cell r="E641">
            <v>68357.7</v>
          </cell>
        </row>
        <row r="642">
          <cell r="A642" t="str">
            <v>TOYS R US - CAN</v>
          </cell>
          <cell r="B642">
            <v>3588.86</v>
          </cell>
          <cell r="C642">
            <v>11496.12</v>
          </cell>
          <cell r="D642">
            <v>32201.71</v>
          </cell>
          <cell r="E642">
            <v>64776.05</v>
          </cell>
        </row>
        <row r="643">
          <cell r="A643" t="str">
            <v>MLB - SF GIANTS</v>
          </cell>
          <cell r="B643">
            <v>9225</v>
          </cell>
          <cell r="C643">
            <v>22711.93</v>
          </cell>
          <cell r="D643">
            <v>46199.93</v>
          </cell>
          <cell r="E643">
            <v>59501.93</v>
          </cell>
        </row>
        <row r="644">
          <cell r="A644" t="str">
            <v>MINYARDS</v>
          </cell>
          <cell r="B644">
            <v>1155</v>
          </cell>
          <cell r="C644">
            <v>7295</v>
          </cell>
          <cell r="D644">
            <v>32160</v>
          </cell>
          <cell r="E644">
            <v>58290</v>
          </cell>
        </row>
        <row r="645">
          <cell r="A645" t="str">
            <v>AG - BATON ROUGE</v>
          </cell>
          <cell r="B645">
            <v>6320</v>
          </cell>
          <cell r="C645">
            <v>14985</v>
          </cell>
          <cell r="D645">
            <v>34264.99</v>
          </cell>
          <cell r="E645">
            <v>57271.98</v>
          </cell>
        </row>
        <row r="646">
          <cell r="A646" t="str">
            <v>MLB - MINNESOTA TWINS</v>
          </cell>
          <cell r="B646">
            <v>7350</v>
          </cell>
          <cell r="C646">
            <v>17320</v>
          </cell>
          <cell r="D646">
            <v>35570</v>
          </cell>
          <cell r="E646">
            <v>49745</v>
          </cell>
        </row>
        <row r="647">
          <cell r="A647" t="str">
            <v>BRUNET - CANADA</v>
          </cell>
          <cell r="B647">
            <v>6017.71</v>
          </cell>
          <cell r="C647">
            <v>16565.87</v>
          </cell>
          <cell r="D647">
            <v>34148.47</v>
          </cell>
          <cell r="E647">
            <v>48809.08</v>
          </cell>
        </row>
        <row r="648">
          <cell r="A648" t="str">
            <v>WELCOME BREAK - UK</v>
          </cell>
          <cell r="B648">
            <v>1761.14</v>
          </cell>
          <cell r="C648">
            <v>8308.2099999999991</v>
          </cell>
          <cell r="D648">
            <v>19329.09</v>
          </cell>
          <cell r="E648">
            <v>39455.440000000002</v>
          </cell>
        </row>
        <row r="649">
          <cell r="A649" t="str">
            <v>GGP MERCHANTS</v>
          </cell>
          <cell r="B649">
            <v>100</v>
          </cell>
          <cell r="C649">
            <v>100</v>
          </cell>
          <cell r="D649">
            <v>15264.92</v>
          </cell>
          <cell r="E649">
            <v>37549.69</v>
          </cell>
        </row>
        <row r="650">
          <cell r="A650" t="str">
            <v>NFL - PITTSBURGH STEELERS</v>
          </cell>
          <cell r="B650">
            <v>1172.06</v>
          </cell>
          <cell r="C650">
            <v>3473.1</v>
          </cell>
          <cell r="D650">
            <v>10274.379999999999</v>
          </cell>
          <cell r="E650">
            <v>36465.99</v>
          </cell>
        </row>
        <row r="651">
          <cell r="A651" t="str">
            <v>MLB - KANSAS CITY ROYALS</v>
          </cell>
          <cell r="B651">
            <v>2825</v>
          </cell>
          <cell r="C651">
            <v>9520</v>
          </cell>
          <cell r="D651">
            <v>23160</v>
          </cell>
          <cell r="E651">
            <v>34510</v>
          </cell>
        </row>
        <row r="652">
          <cell r="A652" t="str">
            <v>DRUG TRADING</v>
          </cell>
          <cell r="B652">
            <v>4330.97</v>
          </cell>
          <cell r="C652">
            <v>11297.69</v>
          </cell>
          <cell r="D652">
            <v>23106.54</v>
          </cell>
          <cell r="E652">
            <v>34303.69</v>
          </cell>
        </row>
        <row r="653">
          <cell r="A653" t="str">
            <v>BLACKHAWK CORP OPERATIONS</v>
          </cell>
          <cell r="B653">
            <v>1662.97</v>
          </cell>
          <cell r="C653">
            <v>4638.3500000000004</v>
          </cell>
          <cell r="D653">
            <v>19057.240000000002</v>
          </cell>
          <cell r="E653">
            <v>31634.560000000001</v>
          </cell>
        </row>
        <row r="654">
          <cell r="A654" t="str">
            <v>PIONEER PETROLEUM</v>
          </cell>
          <cell r="B654">
            <v>2839.1</v>
          </cell>
          <cell r="C654">
            <v>6920.47</v>
          </cell>
          <cell r="D654">
            <v>16948.79</v>
          </cell>
          <cell r="E654">
            <v>31356.21</v>
          </cell>
        </row>
        <row r="655">
          <cell r="A655" t="str">
            <v>WINKLER WHOLESALE GROCERS</v>
          </cell>
          <cell r="B655">
            <v>2114.83</v>
          </cell>
          <cell r="C655">
            <v>6664.49</v>
          </cell>
          <cell r="D655">
            <v>17517.63</v>
          </cell>
          <cell r="E655">
            <v>31290.2</v>
          </cell>
        </row>
        <row r="656">
          <cell r="A656" t="str">
            <v>TAFMO - AUS</v>
          </cell>
          <cell r="B656">
            <v>1551.93</v>
          </cell>
          <cell r="C656">
            <v>5816.54</v>
          </cell>
          <cell r="D656">
            <v>17495.150000000001</v>
          </cell>
          <cell r="E656">
            <v>28936.65</v>
          </cell>
        </row>
        <row r="657">
          <cell r="A657" t="str">
            <v>DALLAS COWBOYS</v>
          </cell>
          <cell r="B657">
            <v>2021.21</v>
          </cell>
          <cell r="C657">
            <v>3674.7</v>
          </cell>
          <cell r="D657">
            <v>9205.33</v>
          </cell>
          <cell r="E657">
            <v>22132.9</v>
          </cell>
        </row>
        <row r="658">
          <cell r="A658" t="str">
            <v>ASSOC GROCERS OF THE SOUTH</v>
          </cell>
          <cell r="B658">
            <v>889.98</v>
          </cell>
          <cell r="C658">
            <v>4473.93</v>
          </cell>
          <cell r="D658">
            <v>11448.88</v>
          </cell>
          <cell r="E658">
            <v>20968.84</v>
          </cell>
        </row>
        <row r="659">
          <cell r="A659" t="str">
            <v>ENCOMPASS</v>
          </cell>
          <cell r="B659">
            <v>400</v>
          </cell>
          <cell r="C659">
            <v>4900</v>
          </cell>
          <cell r="D659">
            <v>14525</v>
          </cell>
          <cell r="E659">
            <v>20015</v>
          </cell>
        </row>
        <row r="660">
          <cell r="A660" t="str">
            <v>EWI - INTERCOMPANY</v>
          </cell>
          <cell r="B660">
            <v>1415</v>
          </cell>
          <cell r="C660">
            <v>5850</v>
          </cell>
          <cell r="D660">
            <v>17786</v>
          </cell>
          <cell r="E660">
            <v>18036</v>
          </cell>
        </row>
        <row r="661">
          <cell r="A661" t="str">
            <v>BHN OPERATIONS - AUSTRALIA</v>
          </cell>
          <cell r="B661">
            <v>12635.56</v>
          </cell>
          <cell r="C661">
            <v>13883.5</v>
          </cell>
          <cell r="D661">
            <v>16144.85</v>
          </cell>
          <cell r="E661">
            <v>16849.580000000002</v>
          </cell>
        </row>
        <row r="662">
          <cell r="A662" t="str">
            <v>EDMONTON OILERS NHL (CAN)</v>
          </cell>
          <cell r="B662">
            <v>22.5</v>
          </cell>
          <cell r="C662">
            <v>66.349999999999994</v>
          </cell>
          <cell r="D662">
            <v>8822.32</v>
          </cell>
          <cell r="E662">
            <v>16391.22</v>
          </cell>
        </row>
        <row r="663">
          <cell r="A663" t="str">
            <v>DW - AVONDALE FOODS - CANADA</v>
          </cell>
          <cell r="B663">
            <v>222.82</v>
          </cell>
          <cell r="C663">
            <v>2170.73</v>
          </cell>
          <cell r="D663">
            <v>5243.62</v>
          </cell>
          <cell r="E663">
            <v>15853.67</v>
          </cell>
        </row>
        <row r="664">
          <cell r="A664" t="str">
            <v>NFL - KANSAS CITY CHIEFS</v>
          </cell>
          <cell r="B664">
            <v>100</v>
          </cell>
          <cell r="C664">
            <v>400</v>
          </cell>
          <cell r="D664">
            <v>15850</v>
          </cell>
          <cell r="E664">
            <v>15850</v>
          </cell>
        </row>
        <row r="665">
          <cell r="A665" t="str">
            <v>PHILADELPHIA EAGLES</v>
          </cell>
          <cell r="B665">
            <v>725</v>
          </cell>
          <cell r="C665">
            <v>2975</v>
          </cell>
          <cell r="D665">
            <v>4375</v>
          </cell>
          <cell r="E665">
            <v>14400</v>
          </cell>
        </row>
        <row r="666">
          <cell r="A666" t="str">
            <v>CLEVELAND INDIANS - MLB</v>
          </cell>
          <cell r="B666">
            <v>1100</v>
          </cell>
          <cell r="C666">
            <v>3975</v>
          </cell>
          <cell r="D666">
            <v>8750</v>
          </cell>
          <cell r="E666">
            <v>13725</v>
          </cell>
        </row>
        <row r="667">
          <cell r="A667" t="str">
            <v>NFL - SEATTLE SEAHAWKS</v>
          </cell>
          <cell r="B667">
            <v>353.8</v>
          </cell>
          <cell r="C667">
            <v>2480.5100000000002</v>
          </cell>
          <cell r="D667">
            <v>6860.9</v>
          </cell>
          <cell r="E667">
            <v>12579.31</v>
          </cell>
        </row>
        <row r="668">
          <cell r="A668" t="str">
            <v>ATLANTA BRAVES</v>
          </cell>
          <cell r="B668">
            <v>50</v>
          </cell>
          <cell r="C668">
            <v>3617.75</v>
          </cell>
          <cell r="D668">
            <v>9538.25</v>
          </cell>
          <cell r="E668">
            <v>11063.25</v>
          </cell>
        </row>
        <row r="669">
          <cell r="A669" t="str">
            <v>DIS CARTEL - ULTRAMAR - CANADA</v>
          </cell>
          <cell r="B669">
            <v>571.29999999999995</v>
          </cell>
          <cell r="C669">
            <v>1902.3</v>
          </cell>
          <cell r="D669">
            <v>5493.5</v>
          </cell>
          <cell r="E669">
            <v>11052.23</v>
          </cell>
        </row>
        <row r="670">
          <cell r="A670" t="str">
            <v>BHN OPS - CANADA/US</v>
          </cell>
          <cell r="B670">
            <v>265.64</v>
          </cell>
          <cell r="C670">
            <v>3758.73</v>
          </cell>
          <cell r="D670">
            <v>8633.8700000000008</v>
          </cell>
          <cell r="E670">
            <v>10721.52</v>
          </cell>
        </row>
        <row r="671">
          <cell r="A671" t="str">
            <v>EAGLERIDER INC.</v>
          </cell>
          <cell r="B671">
            <v>875</v>
          </cell>
          <cell r="C671">
            <v>1601.79</v>
          </cell>
          <cell r="D671">
            <v>5307</v>
          </cell>
          <cell r="E671">
            <v>10036.200000000001</v>
          </cell>
        </row>
        <row r="672">
          <cell r="A672" t="str">
            <v>WASHINGTON REDSKINS</v>
          </cell>
          <cell r="B672">
            <v>450</v>
          </cell>
          <cell r="C672">
            <v>850</v>
          </cell>
          <cell r="D672">
            <v>2200</v>
          </cell>
          <cell r="E672">
            <v>10025</v>
          </cell>
        </row>
        <row r="673">
          <cell r="A673" t="str">
            <v>MLB - TEXAS RANGERS</v>
          </cell>
          <cell r="B673">
            <v>1425</v>
          </cell>
          <cell r="C673">
            <v>3000</v>
          </cell>
          <cell r="D673">
            <v>8575</v>
          </cell>
          <cell r="E673">
            <v>9525</v>
          </cell>
        </row>
        <row r="674">
          <cell r="A674" t="str">
            <v>CANADIAN TIRE</v>
          </cell>
          <cell r="B674">
            <v>852.3</v>
          </cell>
          <cell r="C674">
            <v>1856.01</v>
          </cell>
          <cell r="D674">
            <v>5419.16</v>
          </cell>
          <cell r="E674">
            <v>9120.48</v>
          </cell>
        </row>
        <row r="675">
          <cell r="A675" t="str">
            <v>LOS ANGELES ANGELS OF ANAHEIM</v>
          </cell>
          <cell r="B675">
            <v>352.5</v>
          </cell>
          <cell r="C675">
            <v>877.5</v>
          </cell>
          <cell r="D675">
            <v>6518</v>
          </cell>
          <cell r="E675">
            <v>9093</v>
          </cell>
        </row>
        <row r="676">
          <cell r="A676" t="str">
            <v>UNKNOWN COMPANY</v>
          </cell>
          <cell r="B676">
            <v>7258</v>
          </cell>
          <cell r="C676">
            <v>8948</v>
          </cell>
          <cell r="D676">
            <v>8948</v>
          </cell>
          <cell r="E676">
            <v>8948</v>
          </cell>
        </row>
        <row r="677">
          <cell r="A677" t="str">
            <v>STAPLES - CANADA</v>
          </cell>
          <cell r="B677">
            <v>5838.48</v>
          </cell>
          <cell r="C677">
            <v>7652.72</v>
          </cell>
          <cell r="D677">
            <v>8590.61</v>
          </cell>
          <cell r="E677">
            <v>8590.61</v>
          </cell>
        </row>
        <row r="678">
          <cell r="A678" t="str">
            <v>CLEVELAND CAVALIERS</v>
          </cell>
          <cell r="B678">
            <v>50</v>
          </cell>
          <cell r="C678">
            <v>700</v>
          </cell>
          <cell r="D678">
            <v>4925</v>
          </cell>
          <cell r="E678">
            <v>7550</v>
          </cell>
        </row>
        <row r="679">
          <cell r="A679" t="str">
            <v>TAMPA BAY RAYS</v>
          </cell>
          <cell r="B679">
            <v>525</v>
          </cell>
          <cell r="C679">
            <v>1600</v>
          </cell>
          <cell r="D679">
            <v>4562</v>
          </cell>
          <cell r="E679">
            <v>6412</v>
          </cell>
        </row>
        <row r="680">
          <cell r="A680" t="str">
            <v>MLB - PITTSBURGH PIRATES</v>
          </cell>
          <cell r="B680">
            <v>300</v>
          </cell>
          <cell r="C680">
            <v>1735</v>
          </cell>
          <cell r="D680">
            <v>4810</v>
          </cell>
          <cell r="E680">
            <v>5785</v>
          </cell>
        </row>
        <row r="681">
          <cell r="A681" t="str">
            <v>COLUMBUS BLUE JACKETS</v>
          </cell>
          <cell r="B681">
            <v>75</v>
          </cell>
          <cell r="C681">
            <v>459.5</v>
          </cell>
          <cell r="D681">
            <v>2084.15</v>
          </cell>
          <cell r="E681">
            <v>5646</v>
          </cell>
        </row>
        <row r="682">
          <cell r="A682" t="str">
            <v>GATEWAY NEWSTANDS</v>
          </cell>
          <cell r="B682">
            <v>118.28</v>
          </cell>
          <cell r="C682">
            <v>1003.86</v>
          </cell>
          <cell r="D682">
            <v>2738.9</v>
          </cell>
          <cell r="E682">
            <v>5511.04</v>
          </cell>
        </row>
        <row r="683">
          <cell r="A683" t="str">
            <v>COLORADO ROCKIES - MLB</v>
          </cell>
          <cell r="B683">
            <v>503.84</v>
          </cell>
          <cell r="C683">
            <v>1062.53</v>
          </cell>
          <cell r="D683">
            <v>3047.53</v>
          </cell>
          <cell r="E683">
            <v>4349.8999999999996</v>
          </cell>
        </row>
        <row r="684">
          <cell r="A684" t="str">
            <v>TOTAL UK</v>
          </cell>
          <cell r="B684">
            <v>188.41</v>
          </cell>
          <cell r="C684">
            <v>464.39</v>
          </cell>
          <cell r="D684">
            <v>1597.75</v>
          </cell>
          <cell r="E684">
            <v>3768.57</v>
          </cell>
        </row>
        <row r="685">
          <cell r="A685" t="str">
            <v>ANAHEIM DUCKS</v>
          </cell>
          <cell r="B685">
            <v>25</v>
          </cell>
          <cell r="C685">
            <v>400</v>
          </cell>
          <cell r="D685">
            <v>1025</v>
          </cell>
          <cell r="E685">
            <v>2850</v>
          </cell>
        </row>
        <row r="686">
          <cell r="A686" t="str">
            <v>NFL - NEW YORK JETS</v>
          </cell>
          <cell r="B686">
            <v>550</v>
          </cell>
          <cell r="C686">
            <v>605.5</v>
          </cell>
          <cell r="D686">
            <v>1300.8599999999999</v>
          </cell>
          <cell r="E686">
            <v>2520.1799999999998</v>
          </cell>
        </row>
        <row r="687">
          <cell r="A687" t="str">
            <v>CHICAGO BEARS</v>
          </cell>
          <cell r="B687">
            <v>250</v>
          </cell>
          <cell r="C687">
            <v>625</v>
          </cell>
          <cell r="D687">
            <v>675</v>
          </cell>
          <cell r="E687">
            <v>2325</v>
          </cell>
        </row>
        <row r="688">
          <cell r="A688" t="str">
            <v>NBA - MIAMI HEAT</v>
          </cell>
          <cell r="B688">
            <v>25</v>
          </cell>
          <cell r="C688">
            <v>214.98</v>
          </cell>
          <cell r="D688">
            <v>1090.8800000000001</v>
          </cell>
          <cell r="E688">
            <v>2126.7199999999998</v>
          </cell>
        </row>
        <row r="689">
          <cell r="A689" t="str">
            <v>NBA - GOLDEN STATE WARRIORS</v>
          </cell>
          <cell r="B689">
            <v>200</v>
          </cell>
          <cell r="C689">
            <v>250</v>
          </cell>
          <cell r="D689">
            <v>750</v>
          </cell>
          <cell r="E689">
            <v>1625</v>
          </cell>
        </row>
        <row r="690">
          <cell r="A690" t="str">
            <v>BHN AST BACKSTAGE</v>
          </cell>
          <cell r="B690">
            <v>100</v>
          </cell>
          <cell r="C690">
            <v>250</v>
          </cell>
          <cell r="D690">
            <v>1169</v>
          </cell>
          <cell r="E690">
            <v>1169</v>
          </cell>
        </row>
        <row r="691">
          <cell r="A691" t="str">
            <v>THE CO-OPERATIVE - UK</v>
          </cell>
          <cell r="B691">
            <v>957.48</v>
          </cell>
          <cell r="C691">
            <v>957.48</v>
          </cell>
          <cell r="D691">
            <v>972.52</v>
          </cell>
          <cell r="E691">
            <v>972.52</v>
          </cell>
        </row>
        <row r="692">
          <cell r="A692" t="str">
            <v>NEW ORLEANS HORNETS</v>
          </cell>
          <cell r="B692">
            <v>100</v>
          </cell>
          <cell r="C692">
            <v>225</v>
          </cell>
          <cell r="D692">
            <v>550</v>
          </cell>
          <cell r="E692">
            <v>800</v>
          </cell>
        </row>
        <row r="693">
          <cell r="A693" t="str">
            <v>AVENANCE UK</v>
          </cell>
          <cell r="B693">
            <v>16.22</v>
          </cell>
          <cell r="C693">
            <v>113.67</v>
          </cell>
          <cell r="D693">
            <v>218.45</v>
          </cell>
          <cell r="E693">
            <v>785.11</v>
          </cell>
        </row>
        <row r="694">
          <cell r="A694" t="str">
            <v>NORTHCLIFFE</v>
          </cell>
          <cell r="B694">
            <v>40.93</v>
          </cell>
          <cell r="C694">
            <v>88.82</v>
          </cell>
          <cell r="D694">
            <v>358.67</v>
          </cell>
          <cell r="E694">
            <v>603.5</v>
          </cell>
        </row>
        <row r="695">
          <cell r="A695" t="str">
            <v>SMITH DRUG COMPANY</v>
          </cell>
          <cell r="B695">
            <v>350</v>
          </cell>
          <cell r="C695">
            <v>400</v>
          </cell>
          <cell r="D695">
            <v>400</v>
          </cell>
          <cell r="E695">
            <v>400</v>
          </cell>
        </row>
        <row r="696">
          <cell r="A696" t="str">
            <v>SUPER SAGAMI - QUE - CANADA</v>
          </cell>
          <cell r="B696">
            <v>45.8</v>
          </cell>
          <cell r="C696">
            <v>180.29</v>
          </cell>
          <cell r="D696">
            <v>288.54000000000002</v>
          </cell>
          <cell r="E696">
            <v>288.54000000000002</v>
          </cell>
        </row>
        <row r="697">
          <cell r="A697" t="str">
            <v>SEARS</v>
          </cell>
          <cell r="B697">
            <v>29.99</v>
          </cell>
          <cell r="C697">
            <v>109.98</v>
          </cell>
          <cell r="D697">
            <v>109.98</v>
          </cell>
          <cell r="E697">
            <v>109.98</v>
          </cell>
        </row>
        <row r="698">
          <cell r="A698" t="str">
            <v>Total</v>
          </cell>
          <cell r="B698">
            <v>95409281.780000001</v>
          </cell>
          <cell r="C698">
            <v>299015789.85000002</v>
          </cell>
          <cell r="D698">
            <v>794360727.23000002</v>
          </cell>
          <cell r="E698">
            <v>1376015213.3900001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Income Statement"/>
      <sheetName val="Sheet2"/>
      <sheetName val="MapOfc 3stmt"/>
      <sheetName val="Summary"/>
      <sheetName val="Interim NWA converted in Dec02"/>
    </sheetNames>
    <sheetDataSet>
      <sheetData sheetId="0" refreshError="1">
        <row r="1">
          <cell r="A1" t="str">
            <v>test</v>
          </cell>
          <cell r="B1" t="str">
            <v>Project Name:</v>
          </cell>
          <cell r="C1" t="str">
            <v>Data Version:</v>
          </cell>
          <cell r="D1" t="str">
            <v>Total Capital (Cash Out The Door)</v>
          </cell>
          <cell r="E1" t="str">
            <v>Total Capital Labor</v>
          </cell>
          <cell r="F1" t="str">
            <v>Total Capital</v>
          </cell>
          <cell r="G1" t="str">
            <v>Total Project Cost</v>
          </cell>
          <cell r="H1" t="str">
            <v>IRR</v>
          </cell>
          <cell r="I1" t="str">
            <v>NPV</v>
          </cell>
          <cell r="J1" t="str">
            <v>Payback Period (Years)</v>
          </cell>
          <cell r="K1" t="str">
            <v>Benefits Summary ($000s) PnL Impact</v>
          </cell>
          <cell r="L1" t="str">
            <v>Benefits Summary ($000s) Balance Sheet</v>
          </cell>
          <cell r="M1" t="str">
            <v>Benefits Summary ($000s) Non-Cash</v>
          </cell>
          <cell r="N1" t="str">
            <v>Benefits Summary ($000s) Total</v>
          </cell>
        </row>
        <row r="2">
          <cell r="A2" t="str">
            <v>-</v>
          </cell>
          <cell r="B2" t="str">
            <v>-</v>
          </cell>
          <cell r="C2" t="str">
            <v>CBA_&lt;XXXX&gt;_62509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 t="e">
            <v>#NUM!</v>
          </cell>
          <cell r="I2">
            <v>0</v>
          </cell>
          <cell r="J2" t="e">
            <v>#DIV/0!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</row>
      </sheetData>
      <sheetData sheetId="1" refreshError="1"/>
      <sheetData sheetId="2" refreshError="1"/>
      <sheetData sheetId="3" refreshError="1"/>
      <sheetData sheetId="4">
        <row r="1">
          <cell r="A1" t="str">
            <v>Analysis Tools 2010 - Map Summary</v>
          </cell>
        </row>
      </sheetData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Product"/>
      <sheetName val="Department"/>
      <sheetName val="Project"/>
      <sheetName val="mkt"/>
      <sheetName val="#Lookup"/>
      <sheetName val="BH Payroll"/>
      <sheetName val="RJ 2528"/>
    </sheetNames>
    <sheetDataSet>
      <sheetData sheetId="0">
        <row r="2">
          <cell r="A2" t="str">
            <v>000::Channel</v>
          </cell>
        </row>
      </sheetData>
      <sheetData sheetId="1" refreshError="1"/>
      <sheetData sheetId="2" refreshError="1"/>
      <sheetData sheetId="3" refreshError="1"/>
      <sheetData sheetId="4" refreshError="1"/>
      <sheetData sheetId="5">
        <row r="2">
          <cell r="A2" t="str">
            <v>000::Channel</v>
          </cell>
          <cell r="B2" t="str">
            <v>000::No</v>
          </cell>
        </row>
        <row r="3">
          <cell r="A3" t="str">
            <v>001::Product Group</v>
          </cell>
          <cell r="B3" t="str">
            <v>001::Yes</v>
          </cell>
        </row>
        <row r="4">
          <cell r="A4" t="str">
            <v>002::Department</v>
          </cell>
        </row>
        <row r="5">
          <cell r="A5" t="str">
            <v>003::Project</v>
          </cell>
        </row>
        <row r="6">
          <cell r="A6" t="str">
            <v>004::State/Prov.</v>
          </cell>
        </row>
      </sheetData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Current E&amp;P Calc"/>
      <sheetName val="Weekly Flash Report Wk 12 200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71639</v>
          </cell>
          <cell r="C3">
            <v>60783</v>
          </cell>
          <cell r="D3">
            <v>60392</v>
          </cell>
          <cell r="E3">
            <v>57699</v>
          </cell>
          <cell r="F3">
            <v>65547</v>
          </cell>
          <cell r="G3">
            <v>80927</v>
          </cell>
          <cell r="H3">
            <v>137322</v>
          </cell>
          <cell r="I3">
            <v>60339</v>
          </cell>
          <cell r="J3">
            <v>67816</v>
          </cell>
          <cell r="K3">
            <v>67713</v>
          </cell>
          <cell r="L3">
            <v>77704</v>
          </cell>
          <cell r="M3">
            <v>133752</v>
          </cell>
          <cell r="N3">
            <v>69145</v>
          </cell>
          <cell r="O3">
            <v>67561</v>
          </cell>
          <cell r="P3">
            <v>65551</v>
          </cell>
          <cell r="Q3">
            <v>76319</v>
          </cell>
          <cell r="R3">
            <v>90972</v>
          </cell>
          <cell r="S3">
            <v>84167</v>
          </cell>
          <cell r="T3">
            <v>142041</v>
          </cell>
          <cell r="U3">
            <v>112651</v>
          </cell>
          <cell r="V3">
            <v>116546.87</v>
          </cell>
          <cell r="W3">
            <v>130791.66</v>
          </cell>
          <cell r="X3">
            <v>154358.73000000001</v>
          </cell>
          <cell r="Y3">
            <v>274696.19</v>
          </cell>
          <cell r="Z3">
            <v>200375.91</v>
          </cell>
          <cell r="AA3">
            <v>118718.76</v>
          </cell>
          <cell r="AB3">
            <v>118583.59</v>
          </cell>
          <cell r="AC3">
            <v>127865.43</v>
          </cell>
          <cell r="AD3">
            <v>144280.03</v>
          </cell>
          <cell r="AE3">
            <v>140343.62</v>
          </cell>
          <cell r="AF3">
            <v>154138.54999999999</v>
          </cell>
          <cell r="AG3">
            <v>129756.62</v>
          </cell>
          <cell r="AH3">
            <v>125342.52</v>
          </cell>
          <cell r="AI3">
            <v>116246.61</v>
          </cell>
          <cell r="AJ3">
            <v>100556.25</v>
          </cell>
          <cell r="AK3">
            <v>92621.64</v>
          </cell>
          <cell r="AL3">
            <v>94042.19</v>
          </cell>
          <cell r="AM3">
            <v>93509.97</v>
          </cell>
          <cell r="AN3">
            <v>100043.87</v>
          </cell>
          <cell r="AO3">
            <v>105380.11</v>
          </cell>
          <cell r="AP3">
            <v>102132</v>
          </cell>
          <cell r="AQ3">
            <v>130720.49</v>
          </cell>
          <cell r="AR3">
            <v>129976.09</v>
          </cell>
          <cell r="AS3">
            <v>142868.89000000001</v>
          </cell>
          <cell r="AT3">
            <v>150601.32</v>
          </cell>
          <cell r="AU3">
            <v>165850.49</v>
          </cell>
          <cell r="AV3">
            <v>184143.06</v>
          </cell>
          <cell r="AW3">
            <v>229419.06</v>
          </cell>
          <cell r="AX3">
            <v>380035.01</v>
          </cell>
          <cell r="AY3">
            <v>724054.71</v>
          </cell>
          <cell r="AZ3">
            <v>1673196.55</v>
          </cell>
          <cell r="BA3">
            <v>2091201.39</v>
          </cell>
          <cell r="BB3">
            <v>195846.65</v>
          </cell>
        </row>
        <row r="4">
          <cell r="A4" t="str">
            <v>ptd</v>
          </cell>
          <cell r="B4">
            <v>71639</v>
          </cell>
          <cell r="C4">
            <v>132422</v>
          </cell>
          <cell r="D4">
            <v>192814</v>
          </cell>
          <cell r="E4">
            <v>250513</v>
          </cell>
          <cell r="F4">
            <v>65547</v>
          </cell>
          <cell r="G4">
            <v>146474</v>
          </cell>
          <cell r="H4">
            <v>283796</v>
          </cell>
          <cell r="I4">
            <v>344135</v>
          </cell>
          <cell r="J4">
            <v>67816</v>
          </cell>
          <cell r="K4">
            <v>135529</v>
          </cell>
          <cell r="L4">
            <v>213233</v>
          </cell>
          <cell r="M4">
            <v>346985</v>
          </cell>
          <cell r="N4">
            <v>69145</v>
          </cell>
          <cell r="O4">
            <v>136706</v>
          </cell>
          <cell r="P4">
            <v>202257</v>
          </cell>
          <cell r="Q4">
            <v>278576</v>
          </cell>
          <cell r="R4">
            <v>90972</v>
          </cell>
          <cell r="S4">
            <v>175139</v>
          </cell>
          <cell r="T4">
            <v>317180</v>
          </cell>
          <cell r="U4">
            <v>429831</v>
          </cell>
          <cell r="V4">
            <v>116546.87</v>
          </cell>
          <cell r="W4">
            <v>247338.53</v>
          </cell>
          <cell r="X4">
            <v>401697.26</v>
          </cell>
          <cell r="Y4">
            <v>676393.45</v>
          </cell>
          <cell r="Z4">
            <v>200375.91</v>
          </cell>
          <cell r="AA4">
            <v>319094.67</v>
          </cell>
          <cell r="AB4">
            <v>437678.26</v>
          </cell>
          <cell r="AC4">
            <v>565543.68999999994</v>
          </cell>
          <cell r="AD4">
            <v>144280.03</v>
          </cell>
          <cell r="AE4">
            <v>284623.65000000002</v>
          </cell>
          <cell r="AF4">
            <v>438762.2</v>
          </cell>
          <cell r="AG4">
            <v>568518.82000000007</v>
          </cell>
          <cell r="AH4">
            <v>125342.52</v>
          </cell>
          <cell r="AI4">
            <v>241589.13</v>
          </cell>
          <cell r="AJ4">
            <v>342145.38</v>
          </cell>
          <cell r="AK4">
            <v>434767.02</v>
          </cell>
          <cell r="AL4">
            <v>94042.19</v>
          </cell>
          <cell r="AM4">
            <v>187552.16</v>
          </cell>
          <cell r="AN4">
            <v>287596.03000000003</v>
          </cell>
          <cell r="AO4">
            <v>392976.14</v>
          </cell>
          <cell r="AP4">
            <v>102132</v>
          </cell>
          <cell r="AQ4">
            <v>232852.49</v>
          </cell>
          <cell r="AR4">
            <v>362828.57999999996</v>
          </cell>
          <cell r="AS4">
            <v>505697.47</v>
          </cell>
          <cell r="AT4">
            <v>150601.32</v>
          </cell>
          <cell r="AU4">
            <v>316451.81</v>
          </cell>
          <cell r="AV4">
            <v>500594.87</v>
          </cell>
          <cell r="AW4">
            <v>730013.92999999993</v>
          </cell>
          <cell r="AX4">
            <v>380035.01</v>
          </cell>
          <cell r="AY4">
            <v>1104089.72</v>
          </cell>
          <cell r="AZ4">
            <v>2777286.27</v>
          </cell>
          <cell r="BA4">
            <v>4868487.66</v>
          </cell>
          <cell r="BB4">
            <v>5064334.3100000005</v>
          </cell>
        </row>
        <row r="5">
          <cell r="A5" t="str">
            <v>qtd</v>
          </cell>
          <cell r="B5">
            <v>71639</v>
          </cell>
          <cell r="C5">
            <v>132422</v>
          </cell>
          <cell r="D5">
            <v>192814</v>
          </cell>
          <cell r="E5">
            <v>250513</v>
          </cell>
          <cell r="F5">
            <v>316060</v>
          </cell>
          <cell r="G5">
            <v>396987</v>
          </cell>
          <cell r="H5">
            <v>534309</v>
          </cell>
          <cell r="I5">
            <v>594648</v>
          </cell>
          <cell r="J5">
            <v>662464</v>
          </cell>
          <cell r="K5">
            <v>730177</v>
          </cell>
          <cell r="L5">
            <v>807881</v>
          </cell>
          <cell r="M5">
            <v>941633</v>
          </cell>
          <cell r="N5">
            <v>69145</v>
          </cell>
          <cell r="O5">
            <v>136706</v>
          </cell>
          <cell r="P5">
            <v>202257</v>
          </cell>
          <cell r="Q5">
            <v>278576</v>
          </cell>
          <cell r="R5">
            <v>369548</v>
          </cell>
          <cell r="S5">
            <v>453715</v>
          </cell>
          <cell r="T5">
            <v>595756</v>
          </cell>
          <cell r="U5">
            <v>708407</v>
          </cell>
          <cell r="V5">
            <v>824953.87</v>
          </cell>
          <cell r="W5">
            <v>955745.53</v>
          </cell>
          <cell r="X5">
            <v>1110104.26</v>
          </cell>
          <cell r="Y5">
            <v>1384800.45</v>
          </cell>
          <cell r="Z5">
            <v>200375.91</v>
          </cell>
          <cell r="AA5">
            <v>319094.67</v>
          </cell>
          <cell r="AB5">
            <v>437678.26</v>
          </cell>
          <cell r="AC5">
            <v>565543.68999999994</v>
          </cell>
          <cell r="AD5">
            <v>709823.72</v>
          </cell>
          <cell r="AE5">
            <v>850167.34</v>
          </cell>
          <cell r="AF5">
            <v>1004305.8899999999</v>
          </cell>
          <cell r="AG5">
            <v>1134062.5099999998</v>
          </cell>
          <cell r="AH5">
            <v>1259405.0299999998</v>
          </cell>
          <cell r="AI5">
            <v>1375651.64</v>
          </cell>
          <cell r="AJ5">
            <v>1476207.89</v>
          </cell>
          <cell r="AK5">
            <v>1568829.5299999998</v>
          </cell>
          <cell r="AL5">
            <v>94042.19</v>
          </cell>
          <cell r="AM5">
            <v>187552.16</v>
          </cell>
          <cell r="AN5">
            <v>287596.03000000003</v>
          </cell>
          <cell r="AO5">
            <v>392976.14</v>
          </cell>
          <cell r="AP5">
            <v>495108.14</v>
          </cell>
          <cell r="AQ5">
            <v>625828.63</v>
          </cell>
          <cell r="AR5">
            <v>755804.72</v>
          </cell>
          <cell r="AS5">
            <v>898673.61</v>
          </cell>
          <cell r="AT5">
            <v>1049274.93</v>
          </cell>
          <cell r="AU5">
            <v>1215125.42</v>
          </cell>
          <cell r="AV5">
            <v>1399268.48</v>
          </cell>
          <cell r="AW5">
            <v>1628687.54</v>
          </cell>
          <cell r="AX5">
            <v>2008722.55</v>
          </cell>
          <cell r="AY5">
            <v>2732777.26</v>
          </cell>
          <cell r="AZ5">
            <v>4405973.8099999996</v>
          </cell>
          <cell r="BA5">
            <v>6497175.1999999993</v>
          </cell>
          <cell r="BB5">
            <v>6693021.8499999996</v>
          </cell>
        </row>
        <row r="6">
          <cell r="A6" t="str">
            <v>ytd</v>
          </cell>
          <cell r="B6">
            <v>71639</v>
          </cell>
          <cell r="C6">
            <v>132422</v>
          </cell>
          <cell r="D6">
            <v>192814</v>
          </cell>
          <cell r="E6">
            <v>250513</v>
          </cell>
          <cell r="F6">
            <v>316060</v>
          </cell>
          <cell r="G6">
            <v>396987</v>
          </cell>
          <cell r="H6">
            <v>534309</v>
          </cell>
          <cell r="I6">
            <v>594648</v>
          </cell>
          <cell r="J6">
            <v>662464</v>
          </cell>
          <cell r="K6">
            <v>730177</v>
          </cell>
          <cell r="L6">
            <v>807881</v>
          </cell>
          <cell r="M6">
            <v>941633</v>
          </cell>
          <cell r="N6">
            <v>1010778</v>
          </cell>
          <cell r="O6">
            <v>1078339</v>
          </cell>
          <cell r="P6">
            <v>1143890</v>
          </cell>
          <cell r="Q6">
            <v>1220209</v>
          </cell>
          <cell r="R6">
            <v>1311181</v>
          </cell>
          <cell r="S6">
            <v>1395348</v>
          </cell>
          <cell r="T6">
            <v>1537389</v>
          </cell>
          <cell r="U6">
            <v>1650040</v>
          </cell>
          <cell r="V6">
            <v>1766586.87</v>
          </cell>
          <cell r="W6">
            <v>1897378.53</v>
          </cell>
          <cell r="X6">
            <v>2051737.26</v>
          </cell>
          <cell r="Y6">
            <v>2326433.4500000002</v>
          </cell>
          <cell r="Z6">
            <v>2526809.3600000003</v>
          </cell>
          <cell r="AA6">
            <v>2645528.12</v>
          </cell>
          <cell r="AB6">
            <v>2764111.71</v>
          </cell>
          <cell r="AC6">
            <v>2891977.14</v>
          </cell>
          <cell r="AD6">
            <v>3036257.17</v>
          </cell>
          <cell r="AE6">
            <v>3176600.79</v>
          </cell>
          <cell r="AF6">
            <v>3330739.34</v>
          </cell>
          <cell r="AG6">
            <v>3460495.96</v>
          </cell>
          <cell r="AH6">
            <v>3585838.48</v>
          </cell>
          <cell r="AI6">
            <v>3702085.09</v>
          </cell>
          <cell r="AJ6">
            <v>3802641.34</v>
          </cell>
          <cell r="AK6">
            <v>3895262.98</v>
          </cell>
          <cell r="AL6">
            <v>3989305.17</v>
          </cell>
          <cell r="AM6">
            <v>4082815.14</v>
          </cell>
          <cell r="AN6">
            <v>4182859.0100000002</v>
          </cell>
          <cell r="AO6">
            <v>4288239.12</v>
          </cell>
          <cell r="AP6">
            <v>4390371.12</v>
          </cell>
          <cell r="AQ6">
            <v>4521091.6100000003</v>
          </cell>
          <cell r="AR6">
            <v>4651067.7</v>
          </cell>
          <cell r="AS6">
            <v>4793936.59</v>
          </cell>
          <cell r="AT6">
            <v>4944537.91</v>
          </cell>
          <cell r="AU6">
            <v>5110388.4000000004</v>
          </cell>
          <cell r="AV6">
            <v>5294531.46</v>
          </cell>
          <cell r="AW6">
            <v>5523950.5199999996</v>
          </cell>
          <cell r="AX6">
            <v>5903985.5299999993</v>
          </cell>
          <cell r="AY6">
            <v>6628040.2399999993</v>
          </cell>
          <cell r="AZ6">
            <v>8301236.7899999991</v>
          </cell>
          <cell r="BA6">
            <v>10392438.18</v>
          </cell>
          <cell r="BB6">
            <v>10588284.83</v>
          </cell>
        </row>
        <row r="7">
          <cell r="A7" t="str">
            <v>PART</v>
          </cell>
          <cell r="B7">
            <v>2594920</v>
          </cell>
          <cell r="C7">
            <v>2070295</v>
          </cell>
          <cell r="D7">
            <v>1981410</v>
          </cell>
          <cell r="E7">
            <v>1932090</v>
          </cell>
          <cell r="F7">
            <v>2096210</v>
          </cell>
          <cell r="G7">
            <v>2407595</v>
          </cell>
          <cell r="H7">
            <v>3891600</v>
          </cell>
          <cell r="I7">
            <v>2114685</v>
          </cell>
          <cell r="J7">
            <v>2244950</v>
          </cell>
          <cell r="K7">
            <v>2234725</v>
          </cell>
          <cell r="L7">
            <v>2506405</v>
          </cell>
          <cell r="M7">
            <v>3697145</v>
          </cell>
          <cell r="N7">
            <v>2361290</v>
          </cell>
          <cell r="O7">
            <v>2364320</v>
          </cell>
          <cell r="P7">
            <v>2297670</v>
          </cell>
          <cell r="Q7">
            <v>2506430</v>
          </cell>
          <cell r="R7">
            <v>3076320</v>
          </cell>
          <cell r="S7">
            <v>3161465</v>
          </cell>
          <cell r="T7">
            <v>6479650</v>
          </cell>
          <cell r="U7">
            <v>4691680</v>
          </cell>
          <cell r="V7">
            <v>4140295</v>
          </cell>
          <cell r="W7">
            <v>3983910</v>
          </cell>
          <cell r="X7">
            <v>4428660</v>
          </cell>
          <cell r="Y7">
            <v>7571621</v>
          </cell>
          <cell r="Z7">
            <v>5088198.3099999996</v>
          </cell>
          <cell r="AA7">
            <v>3153250</v>
          </cell>
          <cell r="AB7">
            <v>2940690</v>
          </cell>
          <cell r="AC7">
            <v>2929445</v>
          </cell>
          <cell r="AD7">
            <v>3052290</v>
          </cell>
          <cell r="AE7">
            <v>2962680</v>
          </cell>
          <cell r="AF7">
            <v>3193605</v>
          </cell>
          <cell r="AG7">
            <v>3004375</v>
          </cell>
          <cell r="AH7">
            <v>3017570</v>
          </cell>
          <cell r="AI7">
            <v>3048805</v>
          </cell>
          <cell r="AJ7">
            <v>2905865</v>
          </cell>
          <cell r="AK7">
            <v>2883120</v>
          </cell>
          <cell r="AL7">
            <v>2879350</v>
          </cell>
          <cell r="AM7">
            <v>2829745</v>
          </cell>
          <cell r="AN7">
            <v>2837955</v>
          </cell>
          <cell r="AO7">
            <v>2929340</v>
          </cell>
          <cell r="AP7">
            <v>2939375</v>
          </cell>
          <cell r="AQ7">
            <v>3374465</v>
          </cell>
          <cell r="AR7">
            <v>3174070</v>
          </cell>
          <cell r="AS7">
            <v>3424570</v>
          </cell>
          <cell r="AT7">
            <v>3700240</v>
          </cell>
          <cell r="AU7">
            <v>4160755</v>
          </cell>
          <cell r="AV7">
            <v>5123440</v>
          </cell>
          <cell r="AW7">
            <v>6694729.9000000004</v>
          </cell>
          <cell r="AX7">
            <v>10548399.74</v>
          </cell>
          <cell r="AY7">
            <v>19520313.760000002</v>
          </cell>
          <cell r="AZ7">
            <v>42704624.380000003</v>
          </cell>
          <cell r="BA7">
            <v>52702468.289999999</v>
          </cell>
          <cell r="BB7">
            <v>5302356.68</v>
          </cell>
        </row>
        <row r="8">
          <cell r="A8" t="str">
            <v>ptd</v>
          </cell>
          <cell r="B8">
            <v>2594920</v>
          </cell>
          <cell r="C8">
            <v>4665215</v>
          </cell>
          <cell r="D8">
            <v>6646625</v>
          </cell>
          <cell r="E8">
            <v>8578715</v>
          </cell>
          <cell r="F8">
            <v>2096210</v>
          </cell>
          <cell r="G8">
            <v>4503805</v>
          </cell>
          <cell r="H8">
            <v>8395405</v>
          </cell>
          <cell r="I8">
            <v>10510090</v>
          </cell>
          <cell r="J8">
            <v>2244950</v>
          </cell>
          <cell r="K8">
            <v>4479675</v>
          </cell>
          <cell r="L8">
            <v>6986080</v>
          </cell>
          <cell r="M8">
            <v>10683225</v>
          </cell>
          <cell r="N8">
            <v>2361290</v>
          </cell>
          <cell r="O8">
            <v>4725610</v>
          </cell>
          <cell r="P8">
            <v>7023280</v>
          </cell>
          <cell r="Q8">
            <v>9529710</v>
          </cell>
          <cell r="R8">
            <v>3076320</v>
          </cell>
          <cell r="S8">
            <v>6237785</v>
          </cell>
          <cell r="T8">
            <v>12717435</v>
          </cell>
          <cell r="U8">
            <v>17409115</v>
          </cell>
          <cell r="V8">
            <v>4140295</v>
          </cell>
          <cell r="W8">
            <v>8124205</v>
          </cell>
          <cell r="X8">
            <v>12552865</v>
          </cell>
          <cell r="Y8">
            <v>20124486</v>
          </cell>
          <cell r="Z8">
            <v>5088198.3099999996</v>
          </cell>
          <cell r="AA8">
            <v>8241448.3099999996</v>
          </cell>
          <cell r="AB8">
            <v>11182138.309999999</v>
          </cell>
          <cell r="AC8">
            <v>14111583.309999999</v>
          </cell>
          <cell r="AD8">
            <v>3052290</v>
          </cell>
          <cell r="AE8">
            <v>6014970</v>
          </cell>
          <cell r="AF8">
            <v>9208575</v>
          </cell>
          <cell r="AG8">
            <v>12212950</v>
          </cell>
          <cell r="AH8">
            <v>3017570</v>
          </cell>
          <cell r="AI8">
            <v>6066375</v>
          </cell>
          <cell r="AJ8">
            <v>8972240</v>
          </cell>
          <cell r="AK8">
            <v>11855360</v>
          </cell>
          <cell r="AL8">
            <v>2879350</v>
          </cell>
          <cell r="AM8">
            <v>5709095</v>
          </cell>
          <cell r="AN8">
            <v>8547050</v>
          </cell>
          <cell r="AO8">
            <v>11476390</v>
          </cell>
          <cell r="AP8">
            <v>2939375</v>
          </cell>
          <cell r="AQ8">
            <v>6313840</v>
          </cell>
          <cell r="AR8">
            <v>9487910</v>
          </cell>
          <cell r="AS8">
            <v>12912480</v>
          </cell>
          <cell r="AT8">
            <v>3700240</v>
          </cell>
          <cell r="AU8">
            <v>7860995</v>
          </cell>
          <cell r="AV8">
            <v>12984435</v>
          </cell>
          <cell r="AW8">
            <v>19679164.899999999</v>
          </cell>
          <cell r="AX8">
            <v>10548399.74</v>
          </cell>
          <cell r="AY8">
            <v>30068713.5</v>
          </cell>
          <cell r="AZ8">
            <v>72773337.879999995</v>
          </cell>
          <cell r="BA8">
            <v>125475806.16999999</v>
          </cell>
          <cell r="BB8">
            <v>130778162.84999999</v>
          </cell>
        </row>
        <row r="9">
          <cell r="A9" t="str">
            <v>qtd</v>
          </cell>
          <cell r="B9">
            <v>2594920</v>
          </cell>
          <cell r="C9">
            <v>4665215</v>
          </cell>
          <cell r="D9">
            <v>6646625</v>
          </cell>
          <cell r="E9">
            <v>8578715</v>
          </cell>
          <cell r="F9">
            <v>10674925</v>
          </cell>
          <cell r="G9">
            <v>13082520</v>
          </cell>
          <cell r="H9">
            <v>16974120</v>
          </cell>
          <cell r="I9">
            <v>19088805</v>
          </cell>
          <cell r="J9">
            <v>21333755</v>
          </cell>
          <cell r="K9">
            <v>23568480</v>
          </cell>
          <cell r="L9">
            <v>26074885</v>
          </cell>
          <cell r="M9">
            <v>29772030</v>
          </cell>
          <cell r="N9">
            <v>2361290</v>
          </cell>
          <cell r="O9">
            <v>4725610</v>
          </cell>
          <cell r="P9">
            <v>7023280</v>
          </cell>
          <cell r="Q9">
            <v>9529710</v>
          </cell>
          <cell r="R9">
            <v>12606030</v>
          </cell>
          <cell r="S9">
            <v>15767495</v>
          </cell>
          <cell r="T9">
            <v>22247145</v>
          </cell>
          <cell r="U9">
            <v>26938825</v>
          </cell>
          <cell r="V9">
            <v>31079120</v>
          </cell>
          <cell r="W9">
            <v>35063030</v>
          </cell>
          <cell r="X9">
            <v>39491690</v>
          </cell>
          <cell r="Y9">
            <v>47063311</v>
          </cell>
          <cell r="Z9">
            <v>5088198.3099999996</v>
          </cell>
          <cell r="AA9">
            <v>8241448.3099999996</v>
          </cell>
          <cell r="AB9">
            <v>11182138.309999999</v>
          </cell>
          <cell r="AC9">
            <v>14111583.309999999</v>
          </cell>
          <cell r="AD9">
            <v>17163873.309999999</v>
          </cell>
          <cell r="AE9">
            <v>20126553.309999999</v>
          </cell>
          <cell r="AF9">
            <v>23320158.309999999</v>
          </cell>
          <cell r="AG9">
            <v>26324533.309999999</v>
          </cell>
          <cell r="AH9">
            <v>29342103.309999999</v>
          </cell>
          <cell r="AI9">
            <v>32390908.309999999</v>
          </cell>
          <cell r="AJ9">
            <v>35296773.310000002</v>
          </cell>
          <cell r="AK9">
            <v>38179893.310000002</v>
          </cell>
          <cell r="AL9">
            <v>2879350</v>
          </cell>
          <cell r="AM9">
            <v>5709095</v>
          </cell>
          <cell r="AN9">
            <v>8547050</v>
          </cell>
          <cell r="AO9">
            <v>11476390</v>
          </cell>
          <cell r="AP9">
            <v>14415765</v>
          </cell>
          <cell r="AQ9">
            <v>17790230</v>
          </cell>
          <cell r="AR9">
            <v>20964300</v>
          </cell>
          <cell r="AS9">
            <v>24388870</v>
          </cell>
          <cell r="AT9">
            <v>28089110</v>
          </cell>
          <cell r="AU9">
            <v>32249865</v>
          </cell>
          <cell r="AV9">
            <v>37373305</v>
          </cell>
          <cell r="AW9">
            <v>44068034.899999999</v>
          </cell>
          <cell r="AX9">
            <v>54616434.640000001</v>
          </cell>
          <cell r="AY9">
            <v>74136748.400000006</v>
          </cell>
          <cell r="AZ9">
            <v>116841372.78</v>
          </cell>
          <cell r="BA9">
            <v>169543841.06999999</v>
          </cell>
          <cell r="BB9">
            <v>174846197.75</v>
          </cell>
        </row>
        <row r="10">
          <cell r="A10" t="str">
            <v>ytd</v>
          </cell>
          <cell r="B10">
            <v>2594920</v>
          </cell>
          <cell r="C10">
            <v>4665215</v>
          </cell>
          <cell r="D10">
            <v>6646625</v>
          </cell>
          <cell r="E10">
            <v>8578715</v>
          </cell>
          <cell r="F10">
            <v>10674925</v>
          </cell>
          <cell r="G10">
            <v>13082520</v>
          </cell>
          <cell r="H10">
            <v>16974120</v>
          </cell>
          <cell r="I10">
            <v>19088805</v>
          </cell>
          <cell r="J10">
            <v>21333755</v>
          </cell>
          <cell r="K10">
            <v>23568480</v>
          </cell>
          <cell r="L10">
            <v>26074885</v>
          </cell>
          <cell r="M10">
            <v>29772030</v>
          </cell>
          <cell r="N10">
            <v>32133320</v>
          </cell>
          <cell r="O10">
            <v>34497640</v>
          </cell>
          <cell r="P10">
            <v>36795310</v>
          </cell>
          <cell r="Q10">
            <v>39301740</v>
          </cell>
          <cell r="R10">
            <v>42378060</v>
          </cell>
          <cell r="S10">
            <v>45539525</v>
          </cell>
          <cell r="T10">
            <v>52019175</v>
          </cell>
          <cell r="U10">
            <v>56710855</v>
          </cell>
          <cell r="V10">
            <v>60851150</v>
          </cell>
          <cell r="W10">
            <v>64835060</v>
          </cell>
          <cell r="X10">
            <v>69263720</v>
          </cell>
          <cell r="Y10">
            <v>76835341</v>
          </cell>
          <cell r="Z10">
            <v>81923539.310000002</v>
          </cell>
          <cell r="AA10">
            <v>85076789.310000002</v>
          </cell>
          <cell r="AB10">
            <v>88017479.310000002</v>
          </cell>
          <cell r="AC10">
            <v>90946924.310000002</v>
          </cell>
          <cell r="AD10">
            <v>93999214.310000002</v>
          </cell>
          <cell r="AE10">
            <v>96961894.310000002</v>
          </cell>
          <cell r="AF10">
            <v>100155499.31</v>
          </cell>
          <cell r="AG10">
            <v>103159874.31</v>
          </cell>
          <cell r="AH10">
            <v>106177444.31</v>
          </cell>
          <cell r="AI10">
            <v>109226249.31</v>
          </cell>
          <cell r="AJ10">
            <v>112132114.31</v>
          </cell>
          <cell r="AK10">
            <v>115015234.31</v>
          </cell>
          <cell r="AL10">
            <v>117894584.31</v>
          </cell>
          <cell r="AM10">
            <v>120724329.31</v>
          </cell>
          <cell r="AN10">
            <v>123562284.31</v>
          </cell>
          <cell r="AO10">
            <v>126491624.31</v>
          </cell>
          <cell r="AP10">
            <v>129430999.31</v>
          </cell>
          <cell r="AQ10">
            <v>132805464.31</v>
          </cell>
          <cell r="AR10">
            <v>135979534.31</v>
          </cell>
          <cell r="AS10">
            <v>139404104.31</v>
          </cell>
          <cell r="AT10">
            <v>143104344.31</v>
          </cell>
          <cell r="AU10">
            <v>147265099.31</v>
          </cell>
          <cell r="AV10">
            <v>152388539.31</v>
          </cell>
          <cell r="AW10">
            <v>159083269.21000001</v>
          </cell>
          <cell r="AX10">
            <v>169631668.95000002</v>
          </cell>
          <cell r="AY10">
            <v>189151982.71000001</v>
          </cell>
          <cell r="AZ10">
            <v>231856607.09</v>
          </cell>
          <cell r="BA10">
            <v>284559075.38</v>
          </cell>
          <cell r="BB10">
            <v>289861432.06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AX15">
            <v>414050</v>
          </cell>
          <cell r="AY15">
            <v>4571675</v>
          </cell>
          <cell r="AZ15">
            <v>13081225</v>
          </cell>
          <cell r="BA15">
            <v>16260500</v>
          </cell>
          <cell r="BB15">
            <v>2016950</v>
          </cell>
        </row>
        <row r="16">
          <cell r="A16" t="str">
            <v>ptd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414050</v>
          </cell>
          <cell r="AY16">
            <v>4985725</v>
          </cell>
          <cell r="AZ16">
            <v>18066950</v>
          </cell>
          <cell r="BA16">
            <v>34327450</v>
          </cell>
          <cell r="BB16">
            <v>36344400</v>
          </cell>
        </row>
        <row r="17">
          <cell r="A17" t="str">
            <v>qtd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414050</v>
          </cell>
          <cell r="AY17">
            <v>4985725</v>
          </cell>
          <cell r="AZ17">
            <v>18066950</v>
          </cell>
          <cell r="BA17">
            <v>34327450</v>
          </cell>
          <cell r="BB17">
            <v>36344400</v>
          </cell>
        </row>
        <row r="18">
          <cell r="A18" t="str">
            <v>ytd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414050</v>
          </cell>
          <cell r="AY18">
            <v>4985725</v>
          </cell>
          <cell r="AZ18">
            <v>18066950</v>
          </cell>
          <cell r="BA18">
            <v>34327450</v>
          </cell>
          <cell r="BB18">
            <v>36344400</v>
          </cell>
        </row>
        <row r="19">
          <cell r="A19" t="str">
            <v>SPRT</v>
          </cell>
          <cell r="B19">
            <v>19025</v>
          </cell>
          <cell r="C19">
            <v>15350</v>
          </cell>
          <cell r="D19">
            <v>16475</v>
          </cell>
          <cell r="E19">
            <v>13275</v>
          </cell>
          <cell r="F19">
            <v>14575</v>
          </cell>
          <cell r="G19">
            <v>16225</v>
          </cell>
          <cell r="H19">
            <v>32675</v>
          </cell>
          <cell r="I19">
            <v>14750</v>
          </cell>
          <cell r="J19">
            <v>14725</v>
          </cell>
          <cell r="K19">
            <v>15825</v>
          </cell>
          <cell r="L19">
            <v>17025</v>
          </cell>
          <cell r="M19">
            <v>29625</v>
          </cell>
          <cell r="N19">
            <v>16900</v>
          </cell>
          <cell r="O19">
            <v>15300</v>
          </cell>
          <cell r="P19">
            <v>14800</v>
          </cell>
          <cell r="Q19">
            <v>17025</v>
          </cell>
          <cell r="R19">
            <v>18025</v>
          </cell>
          <cell r="S19">
            <v>19025</v>
          </cell>
          <cell r="T19">
            <v>29050</v>
          </cell>
          <cell r="U19">
            <v>26600</v>
          </cell>
          <cell r="V19">
            <v>28250</v>
          </cell>
          <cell r="W19">
            <v>32650</v>
          </cell>
          <cell r="X19">
            <v>31450</v>
          </cell>
          <cell r="Y19">
            <v>70275</v>
          </cell>
          <cell r="Z19">
            <v>46350</v>
          </cell>
          <cell r="AA19">
            <v>18800</v>
          </cell>
          <cell r="AB19">
            <v>19625</v>
          </cell>
          <cell r="AC19">
            <v>17675</v>
          </cell>
          <cell r="AD19">
            <v>20150</v>
          </cell>
          <cell r="AE19">
            <v>17625</v>
          </cell>
          <cell r="AF19">
            <v>20975</v>
          </cell>
          <cell r="AG19">
            <v>21875</v>
          </cell>
          <cell r="AH19">
            <v>21225</v>
          </cell>
          <cell r="AI19">
            <v>19975</v>
          </cell>
          <cell r="AJ19">
            <v>20150</v>
          </cell>
          <cell r="AK19">
            <v>20075</v>
          </cell>
          <cell r="AL19">
            <v>22650</v>
          </cell>
          <cell r="AM19">
            <v>22275</v>
          </cell>
          <cell r="AN19">
            <v>21000</v>
          </cell>
          <cell r="AO19">
            <v>19175</v>
          </cell>
          <cell r="AP19">
            <v>19350</v>
          </cell>
          <cell r="AQ19">
            <v>23475</v>
          </cell>
          <cell r="AR19">
            <v>18750</v>
          </cell>
          <cell r="AS19">
            <v>20250</v>
          </cell>
          <cell r="AT19">
            <v>23025</v>
          </cell>
          <cell r="AU19">
            <v>25150</v>
          </cell>
          <cell r="AV19">
            <v>26050</v>
          </cell>
          <cell r="AW19">
            <v>33475</v>
          </cell>
          <cell r="AX19">
            <v>54625</v>
          </cell>
          <cell r="AY19">
            <v>102475</v>
          </cell>
          <cell r="AZ19">
            <v>241150</v>
          </cell>
          <cell r="BA19">
            <v>367425</v>
          </cell>
          <cell r="BB19">
            <v>34850</v>
          </cell>
        </row>
        <row r="20">
          <cell r="A20" t="str">
            <v>ptd</v>
          </cell>
          <cell r="B20">
            <v>19025</v>
          </cell>
          <cell r="C20">
            <v>34375</v>
          </cell>
          <cell r="D20">
            <v>50850</v>
          </cell>
          <cell r="E20">
            <v>64125</v>
          </cell>
          <cell r="F20">
            <v>14575</v>
          </cell>
          <cell r="G20">
            <v>30800</v>
          </cell>
          <cell r="H20">
            <v>63475</v>
          </cell>
          <cell r="I20">
            <v>78225</v>
          </cell>
          <cell r="J20">
            <v>14725</v>
          </cell>
          <cell r="K20">
            <v>30550</v>
          </cell>
          <cell r="L20">
            <v>47575</v>
          </cell>
          <cell r="M20">
            <v>77200</v>
          </cell>
          <cell r="N20">
            <v>16900</v>
          </cell>
          <cell r="O20">
            <v>32200</v>
          </cell>
          <cell r="P20">
            <v>47000</v>
          </cell>
          <cell r="Q20">
            <v>64025</v>
          </cell>
          <cell r="R20">
            <v>18025</v>
          </cell>
          <cell r="S20">
            <v>37050</v>
          </cell>
          <cell r="T20">
            <v>66100</v>
          </cell>
          <cell r="U20">
            <v>92700</v>
          </cell>
          <cell r="V20">
            <v>28250</v>
          </cell>
          <cell r="W20">
            <v>60900</v>
          </cell>
          <cell r="X20">
            <v>92350</v>
          </cell>
          <cell r="Y20">
            <v>162625</v>
          </cell>
          <cell r="Z20">
            <v>46350</v>
          </cell>
          <cell r="AA20">
            <v>65150</v>
          </cell>
          <cell r="AB20">
            <v>84775</v>
          </cell>
          <cell r="AC20">
            <v>102450</v>
          </cell>
          <cell r="AD20">
            <v>20150</v>
          </cell>
          <cell r="AE20">
            <v>37775</v>
          </cell>
          <cell r="AF20">
            <v>58750</v>
          </cell>
          <cell r="AG20">
            <v>80625</v>
          </cell>
          <cell r="AH20">
            <v>21225</v>
          </cell>
          <cell r="AI20">
            <v>41200</v>
          </cell>
          <cell r="AJ20">
            <v>61350</v>
          </cell>
          <cell r="AK20">
            <v>81425</v>
          </cell>
          <cell r="AL20">
            <v>22650</v>
          </cell>
          <cell r="AM20">
            <v>44925</v>
          </cell>
          <cell r="AN20">
            <v>65925</v>
          </cell>
          <cell r="AO20">
            <v>85100</v>
          </cell>
          <cell r="AP20">
            <v>19350</v>
          </cell>
          <cell r="AQ20">
            <v>42825</v>
          </cell>
          <cell r="AR20">
            <v>61575</v>
          </cell>
          <cell r="AS20">
            <v>81825</v>
          </cell>
          <cell r="AT20">
            <v>23025</v>
          </cell>
          <cell r="AU20">
            <v>48175</v>
          </cell>
          <cell r="AV20">
            <v>74225</v>
          </cell>
          <cell r="AW20">
            <v>107700</v>
          </cell>
          <cell r="AX20">
            <v>54625</v>
          </cell>
          <cell r="AY20">
            <v>157100</v>
          </cell>
          <cell r="AZ20">
            <v>398250</v>
          </cell>
          <cell r="BA20">
            <v>765675</v>
          </cell>
          <cell r="BB20">
            <v>800525</v>
          </cell>
        </row>
        <row r="21">
          <cell r="A21" t="str">
            <v>qtd</v>
          </cell>
          <cell r="B21">
            <v>19025</v>
          </cell>
          <cell r="C21">
            <v>34375</v>
          </cell>
          <cell r="D21">
            <v>50850</v>
          </cell>
          <cell r="E21">
            <v>64125</v>
          </cell>
          <cell r="F21">
            <v>78700</v>
          </cell>
          <cell r="G21">
            <v>94925</v>
          </cell>
          <cell r="H21">
            <v>127600</v>
          </cell>
          <cell r="I21">
            <v>142350</v>
          </cell>
          <cell r="J21">
            <v>157075</v>
          </cell>
          <cell r="K21">
            <v>172900</v>
          </cell>
          <cell r="L21">
            <v>189925</v>
          </cell>
          <cell r="M21">
            <v>219550</v>
          </cell>
          <cell r="N21">
            <v>16900</v>
          </cell>
          <cell r="O21">
            <v>32200</v>
          </cell>
          <cell r="P21">
            <v>47000</v>
          </cell>
          <cell r="Q21">
            <v>64025</v>
          </cell>
          <cell r="R21">
            <v>82050</v>
          </cell>
          <cell r="S21">
            <v>101075</v>
          </cell>
          <cell r="T21">
            <v>130125</v>
          </cell>
          <cell r="U21">
            <v>156725</v>
          </cell>
          <cell r="V21">
            <v>184975</v>
          </cell>
          <cell r="W21">
            <v>217625</v>
          </cell>
          <cell r="X21">
            <v>249075</v>
          </cell>
          <cell r="Y21">
            <v>319350</v>
          </cell>
          <cell r="Z21">
            <v>46350</v>
          </cell>
          <cell r="AA21">
            <v>65150</v>
          </cell>
          <cell r="AB21">
            <v>84775</v>
          </cell>
          <cell r="AC21">
            <v>102450</v>
          </cell>
          <cell r="AD21">
            <v>122600</v>
          </cell>
          <cell r="AE21">
            <v>140225</v>
          </cell>
          <cell r="AF21">
            <v>161200</v>
          </cell>
          <cell r="AG21">
            <v>183075</v>
          </cell>
          <cell r="AH21">
            <v>204300</v>
          </cell>
          <cell r="AI21">
            <v>224275</v>
          </cell>
          <cell r="AJ21">
            <v>244425</v>
          </cell>
          <cell r="AK21">
            <v>264500</v>
          </cell>
          <cell r="AL21">
            <v>22650</v>
          </cell>
          <cell r="AM21">
            <v>44925</v>
          </cell>
          <cell r="AN21">
            <v>65925</v>
          </cell>
          <cell r="AO21">
            <v>85100</v>
          </cell>
          <cell r="AP21">
            <v>104450</v>
          </cell>
          <cell r="AQ21">
            <v>127925</v>
          </cell>
          <cell r="AR21">
            <v>146675</v>
          </cell>
          <cell r="AS21">
            <v>166925</v>
          </cell>
          <cell r="AT21">
            <v>189950</v>
          </cell>
          <cell r="AU21">
            <v>215100</v>
          </cell>
          <cell r="AV21">
            <v>241150</v>
          </cell>
          <cell r="AW21">
            <v>274625</v>
          </cell>
          <cell r="AX21">
            <v>329250</v>
          </cell>
          <cell r="AY21">
            <v>431725</v>
          </cell>
          <cell r="AZ21">
            <v>672875</v>
          </cell>
          <cell r="BA21">
            <v>1040300</v>
          </cell>
          <cell r="BB21">
            <v>1075150</v>
          </cell>
        </row>
        <row r="22">
          <cell r="A22" t="str">
            <v>ytd</v>
          </cell>
          <cell r="B22">
            <v>19025</v>
          </cell>
          <cell r="C22">
            <v>34375</v>
          </cell>
          <cell r="D22">
            <v>50850</v>
          </cell>
          <cell r="E22">
            <v>64125</v>
          </cell>
          <cell r="F22">
            <v>78700</v>
          </cell>
          <cell r="G22">
            <v>94925</v>
          </cell>
          <cell r="H22">
            <v>127600</v>
          </cell>
          <cell r="I22">
            <v>142350</v>
          </cell>
          <cell r="J22">
            <v>157075</v>
          </cell>
          <cell r="K22">
            <v>172900</v>
          </cell>
          <cell r="L22">
            <v>189925</v>
          </cell>
          <cell r="M22">
            <v>219550</v>
          </cell>
          <cell r="N22">
            <v>236450</v>
          </cell>
          <cell r="O22">
            <v>251750</v>
          </cell>
          <cell r="P22">
            <v>266550</v>
          </cell>
          <cell r="Q22">
            <v>283575</v>
          </cell>
          <cell r="R22">
            <v>301600</v>
          </cell>
          <cell r="S22">
            <v>320625</v>
          </cell>
          <cell r="T22">
            <v>349675</v>
          </cell>
          <cell r="U22">
            <v>376275</v>
          </cell>
          <cell r="V22">
            <v>404525</v>
          </cell>
          <cell r="W22">
            <v>437175</v>
          </cell>
          <cell r="X22">
            <v>468625</v>
          </cell>
          <cell r="Y22">
            <v>538900</v>
          </cell>
          <cell r="Z22">
            <v>585250</v>
          </cell>
          <cell r="AA22">
            <v>604050</v>
          </cell>
          <cell r="AB22">
            <v>623675</v>
          </cell>
          <cell r="AC22">
            <v>641350</v>
          </cell>
          <cell r="AD22">
            <v>661500</v>
          </cell>
          <cell r="AE22">
            <v>679125</v>
          </cell>
          <cell r="AF22">
            <v>700100</v>
          </cell>
          <cell r="AG22">
            <v>721975</v>
          </cell>
          <cell r="AH22">
            <v>743200</v>
          </cell>
          <cell r="AI22">
            <v>763175</v>
          </cell>
          <cell r="AJ22">
            <v>783325</v>
          </cell>
          <cell r="AK22">
            <v>803400</v>
          </cell>
          <cell r="AL22">
            <v>826050</v>
          </cell>
          <cell r="AM22">
            <v>848325</v>
          </cell>
          <cell r="AN22">
            <v>869325</v>
          </cell>
          <cell r="AO22">
            <v>888500</v>
          </cell>
          <cell r="AP22">
            <v>907850</v>
          </cell>
          <cell r="AQ22">
            <v>931325</v>
          </cell>
          <cell r="AR22">
            <v>950075</v>
          </cell>
          <cell r="AS22">
            <v>970325</v>
          </cell>
          <cell r="AT22">
            <v>993350</v>
          </cell>
          <cell r="AU22">
            <v>1018500</v>
          </cell>
          <cell r="AV22">
            <v>1044550</v>
          </cell>
          <cell r="AW22">
            <v>1078025</v>
          </cell>
          <cell r="AX22">
            <v>1132650</v>
          </cell>
          <cell r="AY22">
            <v>1235125</v>
          </cell>
          <cell r="AZ22">
            <v>1476275</v>
          </cell>
          <cell r="BA22">
            <v>1843700</v>
          </cell>
          <cell r="BB22">
            <v>1878550</v>
          </cell>
        </row>
        <row r="23">
          <cell r="A23" t="str">
            <v>TELE</v>
          </cell>
          <cell r="B23">
            <v>90</v>
          </cell>
          <cell r="AK23">
            <v>20</v>
          </cell>
          <cell r="AM23">
            <v>65</v>
          </cell>
          <cell r="AN23">
            <v>869.98</v>
          </cell>
          <cell r="AO23">
            <v>83085</v>
          </cell>
          <cell r="AP23">
            <v>350708.33</v>
          </cell>
          <cell r="AQ23">
            <v>594508.79</v>
          </cell>
          <cell r="AR23">
            <v>677276.5</v>
          </cell>
          <cell r="AS23">
            <v>785636.04</v>
          </cell>
          <cell r="AT23">
            <v>907813.62</v>
          </cell>
          <cell r="AU23">
            <v>885361.24</v>
          </cell>
          <cell r="AV23">
            <v>935632.87</v>
          </cell>
          <cell r="AW23">
            <v>976498.92</v>
          </cell>
          <cell r="AX23">
            <v>1103556.17</v>
          </cell>
          <cell r="AY23">
            <v>1054046.52</v>
          </cell>
          <cell r="AZ23">
            <v>1165692.04</v>
          </cell>
          <cell r="BA23">
            <v>1185169.44</v>
          </cell>
          <cell r="BB23">
            <v>1210055.6299999999</v>
          </cell>
        </row>
        <row r="24">
          <cell r="A24" t="str">
            <v>ptd</v>
          </cell>
          <cell r="B24">
            <v>90</v>
          </cell>
          <cell r="C24">
            <v>90</v>
          </cell>
          <cell r="D24">
            <v>90</v>
          </cell>
          <cell r="E24">
            <v>90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20</v>
          </cell>
          <cell r="AL24">
            <v>0</v>
          </cell>
          <cell r="AM24">
            <v>65</v>
          </cell>
          <cell r="AN24">
            <v>934.98</v>
          </cell>
          <cell r="AO24">
            <v>84019.98</v>
          </cell>
          <cell r="AP24">
            <v>350708.33</v>
          </cell>
          <cell r="AQ24">
            <v>945217.12000000011</v>
          </cell>
          <cell r="AR24">
            <v>1622493.62</v>
          </cell>
          <cell r="AS24">
            <v>2408129.66</v>
          </cell>
          <cell r="AT24">
            <v>907813.62</v>
          </cell>
          <cell r="AU24">
            <v>1793174.8599999999</v>
          </cell>
          <cell r="AV24">
            <v>2728807.73</v>
          </cell>
          <cell r="AW24">
            <v>3705306.65</v>
          </cell>
          <cell r="AX24">
            <v>1103556.17</v>
          </cell>
          <cell r="AY24">
            <v>2157602.69</v>
          </cell>
          <cell r="AZ24">
            <v>3323294.73</v>
          </cell>
          <cell r="BA24">
            <v>4508464.17</v>
          </cell>
          <cell r="BB24">
            <v>5718519.7999999998</v>
          </cell>
        </row>
        <row r="25">
          <cell r="A25" t="str">
            <v>qtd</v>
          </cell>
          <cell r="B25">
            <v>90</v>
          </cell>
          <cell r="C25">
            <v>90</v>
          </cell>
          <cell r="D25">
            <v>90</v>
          </cell>
          <cell r="E25">
            <v>90</v>
          </cell>
          <cell r="F25">
            <v>90</v>
          </cell>
          <cell r="G25">
            <v>90</v>
          </cell>
          <cell r="H25">
            <v>90</v>
          </cell>
          <cell r="I25">
            <v>90</v>
          </cell>
          <cell r="J25">
            <v>90</v>
          </cell>
          <cell r="K25">
            <v>90</v>
          </cell>
          <cell r="L25">
            <v>90</v>
          </cell>
          <cell r="M25">
            <v>90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20</v>
          </cell>
          <cell r="AL25">
            <v>0</v>
          </cell>
          <cell r="AM25">
            <v>65</v>
          </cell>
          <cell r="AN25">
            <v>934.98</v>
          </cell>
          <cell r="AO25">
            <v>84019.98</v>
          </cell>
          <cell r="AP25">
            <v>434728.31</v>
          </cell>
          <cell r="AQ25">
            <v>1029237.1000000001</v>
          </cell>
          <cell r="AR25">
            <v>1706513.6</v>
          </cell>
          <cell r="AS25">
            <v>2492149.64</v>
          </cell>
          <cell r="AT25">
            <v>3399963.2600000002</v>
          </cell>
          <cell r="AU25">
            <v>4285324.5</v>
          </cell>
          <cell r="AV25">
            <v>5220957.37</v>
          </cell>
          <cell r="AW25">
            <v>6197456.29</v>
          </cell>
          <cell r="AX25">
            <v>7301012.46</v>
          </cell>
          <cell r="AY25">
            <v>8355058.9800000004</v>
          </cell>
          <cell r="AZ25">
            <v>9520751.0199999996</v>
          </cell>
          <cell r="BA25">
            <v>10705920.459999999</v>
          </cell>
          <cell r="BB25">
            <v>11915976.09</v>
          </cell>
        </row>
        <row r="26">
          <cell r="A26" t="str">
            <v>ytd</v>
          </cell>
          <cell r="B26">
            <v>90</v>
          </cell>
          <cell r="C26">
            <v>90</v>
          </cell>
          <cell r="D26">
            <v>90</v>
          </cell>
          <cell r="E26">
            <v>90</v>
          </cell>
          <cell r="F26">
            <v>90</v>
          </cell>
          <cell r="G26">
            <v>90</v>
          </cell>
          <cell r="H26">
            <v>90</v>
          </cell>
          <cell r="I26">
            <v>90</v>
          </cell>
          <cell r="J26">
            <v>90</v>
          </cell>
          <cell r="K26">
            <v>90</v>
          </cell>
          <cell r="L26">
            <v>90</v>
          </cell>
          <cell r="M26">
            <v>90</v>
          </cell>
          <cell r="N26">
            <v>90</v>
          </cell>
          <cell r="O26">
            <v>90</v>
          </cell>
          <cell r="P26">
            <v>90</v>
          </cell>
          <cell r="Q26">
            <v>90</v>
          </cell>
          <cell r="R26">
            <v>90</v>
          </cell>
          <cell r="S26">
            <v>90</v>
          </cell>
          <cell r="T26">
            <v>90</v>
          </cell>
          <cell r="U26">
            <v>90</v>
          </cell>
          <cell r="V26">
            <v>90</v>
          </cell>
          <cell r="W26">
            <v>90</v>
          </cell>
          <cell r="X26">
            <v>90</v>
          </cell>
          <cell r="Y26">
            <v>90</v>
          </cell>
          <cell r="Z26">
            <v>90</v>
          </cell>
          <cell r="AA26">
            <v>90</v>
          </cell>
          <cell r="AB26">
            <v>90</v>
          </cell>
          <cell r="AC26">
            <v>90</v>
          </cell>
          <cell r="AD26">
            <v>90</v>
          </cell>
          <cell r="AE26">
            <v>90</v>
          </cell>
          <cell r="AF26">
            <v>90</v>
          </cell>
          <cell r="AG26">
            <v>90</v>
          </cell>
          <cell r="AH26">
            <v>90</v>
          </cell>
          <cell r="AI26">
            <v>90</v>
          </cell>
          <cell r="AJ26">
            <v>90</v>
          </cell>
          <cell r="AK26">
            <v>110</v>
          </cell>
          <cell r="AL26">
            <v>110</v>
          </cell>
          <cell r="AM26">
            <v>175</v>
          </cell>
          <cell r="AN26">
            <v>1044.98</v>
          </cell>
          <cell r="AO26">
            <v>84129.98</v>
          </cell>
          <cell r="AP26">
            <v>434838.31</v>
          </cell>
          <cell r="AQ26">
            <v>1029347.1000000001</v>
          </cell>
          <cell r="AR26">
            <v>1706623.6</v>
          </cell>
          <cell r="AS26">
            <v>2492259.64</v>
          </cell>
          <cell r="AT26">
            <v>3400073.2600000002</v>
          </cell>
          <cell r="AU26">
            <v>4285434.5</v>
          </cell>
          <cell r="AV26">
            <v>5221067.37</v>
          </cell>
          <cell r="AW26">
            <v>6197566.29</v>
          </cell>
          <cell r="AX26">
            <v>7301122.46</v>
          </cell>
          <cell r="AY26">
            <v>8355168.9800000004</v>
          </cell>
          <cell r="AZ26">
            <v>9520861.0199999996</v>
          </cell>
          <cell r="BA26">
            <v>10706030.459999999</v>
          </cell>
          <cell r="BB26">
            <v>11916086.09</v>
          </cell>
        </row>
        <row r="27">
          <cell r="A27" t="str">
            <v>TICK</v>
          </cell>
          <cell r="B27">
            <v>13019</v>
          </cell>
          <cell r="C27">
            <v>8725</v>
          </cell>
          <cell r="D27">
            <v>7126</v>
          </cell>
          <cell r="E27">
            <v>7954.68</v>
          </cell>
          <cell r="F27">
            <v>4604</v>
          </cell>
          <cell r="G27">
            <v>8190</v>
          </cell>
          <cell r="H27">
            <v>12615</v>
          </cell>
          <cell r="I27">
            <v>7750</v>
          </cell>
          <cell r="J27">
            <v>6490</v>
          </cell>
          <cell r="K27">
            <v>9199.9699999999993</v>
          </cell>
          <cell r="L27">
            <v>10628.67</v>
          </cell>
          <cell r="M27">
            <v>12170</v>
          </cell>
          <cell r="N27">
            <v>7260.89</v>
          </cell>
          <cell r="O27">
            <v>22269.14</v>
          </cell>
          <cell r="P27">
            <v>25957.599999999999</v>
          </cell>
          <cell r="Q27">
            <v>59133.9</v>
          </cell>
          <cell r="R27">
            <v>109304.04</v>
          </cell>
          <cell r="S27">
            <v>129443.86</v>
          </cell>
          <cell r="T27">
            <v>257597.22</v>
          </cell>
          <cell r="U27">
            <v>215002.74</v>
          </cell>
          <cell r="V27">
            <v>420445.39</v>
          </cell>
          <cell r="W27">
            <v>697885.04</v>
          </cell>
          <cell r="X27">
            <v>597280.92000000004</v>
          </cell>
          <cell r="Y27">
            <v>886885.03</v>
          </cell>
          <cell r="Z27">
            <v>654541.24</v>
          </cell>
          <cell r="AA27">
            <v>655218.63</v>
          </cell>
          <cell r="AB27">
            <v>848937.34</v>
          </cell>
          <cell r="AC27">
            <v>841940.09</v>
          </cell>
          <cell r="AD27">
            <v>901651.25</v>
          </cell>
          <cell r="AE27">
            <v>840506.48</v>
          </cell>
          <cell r="AF27">
            <v>861415.71</v>
          </cell>
          <cell r="AG27">
            <v>804154.94</v>
          </cell>
          <cell r="AH27">
            <v>625154.19999999995</v>
          </cell>
          <cell r="AI27">
            <v>444160.41</v>
          </cell>
          <cell r="AJ27">
            <v>267851.77</v>
          </cell>
          <cell r="AK27">
            <v>96634.79</v>
          </cell>
          <cell r="AL27">
            <v>25397.8</v>
          </cell>
          <cell r="AM27">
            <v>56365.02</v>
          </cell>
          <cell r="AN27">
            <v>67221.600000000006</v>
          </cell>
          <cell r="AO27">
            <v>237031.41</v>
          </cell>
          <cell r="AP27">
            <v>439863.45</v>
          </cell>
          <cell r="AQ27">
            <v>723461.3</v>
          </cell>
          <cell r="AR27">
            <v>881608.12</v>
          </cell>
          <cell r="AS27">
            <v>364773.63</v>
          </cell>
          <cell r="AT27">
            <v>24746.53</v>
          </cell>
          <cell r="AU27">
            <v>23048.87</v>
          </cell>
          <cell r="AV27">
            <v>27853.79</v>
          </cell>
          <cell r="AW27">
            <v>36838.86</v>
          </cell>
          <cell r="AX27">
            <v>47759.72</v>
          </cell>
          <cell r="AY27">
            <v>66224.399999999994</v>
          </cell>
          <cell r="AZ27">
            <v>120579.98</v>
          </cell>
          <cell r="BA27">
            <v>169800.64</v>
          </cell>
          <cell r="BB27">
            <v>48732.85</v>
          </cell>
        </row>
        <row r="28">
          <cell r="A28" t="str">
            <v>ptd</v>
          </cell>
          <cell r="B28">
            <v>13019</v>
          </cell>
          <cell r="C28">
            <v>21744</v>
          </cell>
          <cell r="D28">
            <v>28870</v>
          </cell>
          <cell r="E28">
            <v>36824.68</v>
          </cell>
          <cell r="F28">
            <v>4604</v>
          </cell>
          <cell r="G28">
            <v>12794</v>
          </cell>
          <cell r="H28">
            <v>25409</v>
          </cell>
          <cell r="I28">
            <v>33159</v>
          </cell>
          <cell r="J28">
            <v>6490</v>
          </cell>
          <cell r="K28">
            <v>15689.97</v>
          </cell>
          <cell r="L28">
            <v>26318.639999999999</v>
          </cell>
          <cell r="M28">
            <v>38488.639999999999</v>
          </cell>
          <cell r="N28">
            <v>7260.89</v>
          </cell>
          <cell r="O28">
            <v>29530.03</v>
          </cell>
          <cell r="P28">
            <v>55487.63</v>
          </cell>
          <cell r="Q28">
            <v>114621.53</v>
          </cell>
          <cell r="R28">
            <v>109304.04</v>
          </cell>
          <cell r="S28">
            <v>238747.9</v>
          </cell>
          <cell r="T28">
            <v>496345.12</v>
          </cell>
          <cell r="U28">
            <v>711347.86</v>
          </cell>
          <cell r="V28">
            <v>420445.39</v>
          </cell>
          <cell r="W28">
            <v>1118330.4300000002</v>
          </cell>
          <cell r="X28">
            <v>1715611.35</v>
          </cell>
          <cell r="Y28">
            <v>2602496.38</v>
          </cell>
          <cell r="Z28">
            <v>654541.24</v>
          </cell>
          <cell r="AA28">
            <v>1309759.8700000001</v>
          </cell>
          <cell r="AB28">
            <v>2158697.21</v>
          </cell>
          <cell r="AC28">
            <v>3000637.3</v>
          </cell>
          <cell r="AD28">
            <v>901651.25</v>
          </cell>
          <cell r="AE28">
            <v>1742157.73</v>
          </cell>
          <cell r="AF28">
            <v>2603573.44</v>
          </cell>
          <cell r="AG28">
            <v>3407728.38</v>
          </cell>
          <cell r="AH28">
            <v>625154.19999999995</v>
          </cell>
          <cell r="AI28">
            <v>1069314.6099999999</v>
          </cell>
          <cell r="AJ28">
            <v>1337166.3799999999</v>
          </cell>
          <cell r="AK28">
            <v>1433801.17</v>
          </cell>
          <cell r="AL28">
            <v>25397.8</v>
          </cell>
          <cell r="AM28">
            <v>81762.819999999992</v>
          </cell>
          <cell r="AN28">
            <v>148984.41999999998</v>
          </cell>
          <cell r="AO28">
            <v>386015.82999999996</v>
          </cell>
          <cell r="AP28">
            <v>439863.45</v>
          </cell>
          <cell r="AQ28">
            <v>1163324.75</v>
          </cell>
          <cell r="AR28">
            <v>2044932.87</v>
          </cell>
          <cell r="AS28">
            <v>2409706.5</v>
          </cell>
          <cell r="AT28">
            <v>24746.53</v>
          </cell>
          <cell r="AU28">
            <v>47795.399999999994</v>
          </cell>
          <cell r="AV28">
            <v>75649.19</v>
          </cell>
          <cell r="AW28">
            <v>112488.05</v>
          </cell>
          <cell r="AX28">
            <v>47759.72</v>
          </cell>
          <cell r="AY28">
            <v>113984.12</v>
          </cell>
          <cell r="AZ28">
            <v>234564.09999999998</v>
          </cell>
          <cell r="BA28">
            <v>404364.74</v>
          </cell>
          <cell r="BB28">
            <v>453097.58999999997</v>
          </cell>
        </row>
        <row r="29">
          <cell r="A29" t="str">
            <v>qtd</v>
          </cell>
          <cell r="B29">
            <v>13019</v>
          </cell>
          <cell r="C29">
            <v>21744</v>
          </cell>
          <cell r="D29">
            <v>28870</v>
          </cell>
          <cell r="E29">
            <v>36824.68</v>
          </cell>
          <cell r="F29">
            <v>41428.68</v>
          </cell>
          <cell r="G29">
            <v>49618.68</v>
          </cell>
          <cell r="H29">
            <v>62233.68</v>
          </cell>
          <cell r="I29">
            <v>69983.679999999993</v>
          </cell>
          <cell r="J29">
            <v>76473.679999999993</v>
          </cell>
          <cell r="K29">
            <v>85673.65</v>
          </cell>
          <cell r="L29">
            <v>96302.319999999992</v>
          </cell>
          <cell r="M29">
            <v>108472.31999999999</v>
          </cell>
          <cell r="N29">
            <v>7260.89</v>
          </cell>
          <cell r="O29">
            <v>29530.03</v>
          </cell>
          <cell r="P29">
            <v>55487.63</v>
          </cell>
          <cell r="Q29">
            <v>114621.53</v>
          </cell>
          <cell r="R29">
            <v>223925.57</v>
          </cell>
          <cell r="S29">
            <v>353369.43</v>
          </cell>
          <cell r="T29">
            <v>610966.65</v>
          </cell>
          <cell r="U29">
            <v>825969.39</v>
          </cell>
          <cell r="V29">
            <v>1246414.78</v>
          </cell>
          <cell r="W29">
            <v>1944299.82</v>
          </cell>
          <cell r="X29">
            <v>2541580.7400000002</v>
          </cell>
          <cell r="Y29">
            <v>3428465.7700000005</v>
          </cell>
          <cell r="Z29">
            <v>654541.24</v>
          </cell>
          <cell r="AA29">
            <v>1309759.8700000001</v>
          </cell>
          <cell r="AB29">
            <v>2158697.21</v>
          </cell>
          <cell r="AC29">
            <v>3000637.3</v>
          </cell>
          <cell r="AD29">
            <v>3902288.55</v>
          </cell>
          <cell r="AE29">
            <v>4742795.0299999993</v>
          </cell>
          <cell r="AF29">
            <v>5604210.7399999993</v>
          </cell>
          <cell r="AG29">
            <v>6408365.6799999997</v>
          </cell>
          <cell r="AH29">
            <v>7033519.8799999999</v>
          </cell>
          <cell r="AI29">
            <v>7477680.29</v>
          </cell>
          <cell r="AJ29">
            <v>7745532.0600000005</v>
          </cell>
          <cell r="AK29">
            <v>7842166.8500000006</v>
          </cell>
          <cell r="AL29">
            <v>25397.8</v>
          </cell>
          <cell r="AM29">
            <v>81762.819999999992</v>
          </cell>
          <cell r="AN29">
            <v>148984.41999999998</v>
          </cell>
          <cell r="AO29">
            <v>386015.82999999996</v>
          </cell>
          <cell r="AP29">
            <v>825879.28</v>
          </cell>
          <cell r="AQ29">
            <v>1549340.58</v>
          </cell>
          <cell r="AR29">
            <v>2430948.7000000002</v>
          </cell>
          <cell r="AS29">
            <v>2795722.33</v>
          </cell>
          <cell r="AT29">
            <v>2820468.86</v>
          </cell>
          <cell r="AU29">
            <v>2843517.73</v>
          </cell>
          <cell r="AV29">
            <v>2871371.52</v>
          </cell>
          <cell r="AW29">
            <v>2908210.38</v>
          </cell>
          <cell r="AX29">
            <v>2955970.1</v>
          </cell>
          <cell r="AY29">
            <v>3022194.5</v>
          </cell>
          <cell r="AZ29">
            <v>3142774.48</v>
          </cell>
          <cell r="BA29">
            <v>3312575.12</v>
          </cell>
          <cell r="BB29">
            <v>3361307.97</v>
          </cell>
        </row>
        <row r="30">
          <cell r="A30" t="str">
            <v>ytd</v>
          </cell>
          <cell r="B30">
            <v>13019</v>
          </cell>
          <cell r="C30">
            <v>21744</v>
          </cell>
          <cell r="D30">
            <v>28870</v>
          </cell>
          <cell r="E30">
            <v>36824.68</v>
          </cell>
          <cell r="F30">
            <v>41428.68</v>
          </cell>
          <cell r="G30">
            <v>49618.68</v>
          </cell>
          <cell r="H30">
            <v>62233.68</v>
          </cell>
          <cell r="I30">
            <v>69983.679999999993</v>
          </cell>
          <cell r="J30">
            <v>76473.679999999993</v>
          </cell>
          <cell r="K30">
            <v>85673.65</v>
          </cell>
          <cell r="L30">
            <v>96302.319999999992</v>
          </cell>
          <cell r="M30">
            <v>108472.31999999999</v>
          </cell>
          <cell r="N30">
            <v>115733.20999999999</v>
          </cell>
          <cell r="O30">
            <v>138002.34999999998</v>
          </cell>
          <cell r="P30">
            <v>163959.94999999998</v>
          </cell>
          <cell r="Q30">
            <v>223093.84999999998</v>
          </cell>
          <cell r="R30">
            <v>332397.88999999996</v>
          </cell>
          <cell r="S30">
            <v>461841.74999999994</v>
          </cell>
          <cell r="T30">
            <v>719438.97</v>
          </cell>
          <cell r="U30">
            <v>934441.71</v>
          </cell>
          <cell r="V30">
            <v>1354887.1</v>
          </cell>
          <cell r="W30">
            <v>2052772.1400000001</v>
          </cell>
          <cell r="X30">
            <v>2650053.06</v>
          </cell>
          <cell r="Y30">
            <v>3536938.09</v>
          </cell>
          <cell r="Z30">
            <v>4191479.33</v>
          </cell>
          <cell r="AA30">
            <v>4846697.96</v>
          </cell>
          <cell r="AB30">
            <v>5695635.2999999998</v>
          </cell>
          <cell r="AC30">
            <v>6537575.3899999997</v>
          </cell>
          <cell r="AD30">
            <v>7439226.6399999997</v>
          </cell>
          <cell r="AE30">
            <v>8279733.1199999992</v>
          </cell>
          <cell r="AF30">
            <v>9141148.8299999982</v>
          </cell>
          <cell r="AG30">
            <v>9945303.7699999977</v>
          </cell>
          <cell r="AH30">
            <v>10570457.969999997</v>
          </cell>
          <cell r="AI30">
            <v>11014618.379999997</v>
          </cell>
          <cell r="AJ30">
            <v>11282470.149999997</v>
          </cell>
          <cell r="AK30">
            <v>11379104.939999996</v>
          </cell>
          <cell r="AL30">
            <v>11404502.739999996</v>
          </cell>
          <cell r="AM30">
            <v>11460867.759999996</v>
          </cell>
          <cell r="AN30">
            <v>11528089.359999996</v>
          </cell>
          <cell r="AO30">
            <v>11765120.769999996</v>
          </cell>
          <cell r="AP30">
            <v>12204984.219999995</v>
          </cell>
          <cell r="AQ30">
            <v>12928445.519999996</v>
          </cell>
          <cell r="AR30">
            <v>13810053.639999995</v>
          </cell>
          <cell r="AS30">
            <v>14174827.269999996</v>
          </cell>
          <cell r="AT30">
            <v>14199573.799999995</v>
          </cell>
          <cell r="AU30">
            <v>14222622.669999994</v>
          </cell>
          <cell r="AV30">
            <v>14250476.459999993</v>
          </cell>
          <cell r="AW30">
            <v>14287315.319999993</v>
          </cell>
          <cell r="AX30">
            <v>14335075.039999994</v>
          </cell>
          <cell r="AY30">
            <v>14401299.439999994</v>
          </cell>
          <cell r="AZ30">
            <v>14521879.419999994</v>
          </cell>
          <cell r="BA30">
            <v>14691680.059999995</v>
          </cell>
          <cell r="BB30">
            <v>14740412.909999995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2698693</v>
          </cell>
          <cell r="C35">
            <v>2155153</v>
          </cell>
          <cell r="D35">
            <v>2065403</v>
          </cell>
          <cell r="E35">
            <v>2011018.68</v>
          </cell>
          <cell r="F35">
            <v>2180936</v>
          </cell>
          <cell r="G35">
            <v>2512937</v>
          </cell>
          <cell r="H35">
            <v>4074212</v>
          </cell>
          <cell r="I35">
            <v>2197524</v>
          </cell>
          <cell r="J35">
            <v>2333981</v>
          </cell>
          <cell r="K35">
            <v>2327462.9700000002</v>
          </cell>
          <cell r="L35">
            <v>2611762.67</v>
          </cell>
          <cell r="M35">
            <v>3872692</v>
          </cell>
          <cell r="N35">
            <v>2454595.89</v>
          </cell>
          <cell r="O35">
            <v>2469450.14</v>
          </cell>
          <cell r="P35">
            <v>2403978.6</v>
          </cell>
          <cell r="Q35">
            <v>2658907.9</v>
          </cell>
          <cell r="R35">
            <v>3294621.04</v>
          </cell>
          <cell r="S35">
            <v>3394100.86</v>
          </cell>
          <cell r="T35">
            <v>6908338.2199999997</v>
          </cell>
          <cell r="U35">
            <v>5045933.74</v>
          </cell>
          <cell r="V35">
            <v>4705537.26</v>
          </cell>
          <cell r="W35">
            <v>4845236.7</v>
          </cell>
          <cell r="X35">
            <v>5211749.6500000004</v>
          </cell>
          <cell r="Y35">
            <v>8803477.2200000007</v>
          </cell>
          <cell r="Z35">
            <v>5989465.46</v>
          </cell>
          <cell r="AA35">
            <v>3945987.3899999997</v>
          </cell>
          <cell r="AB35">
            <v>3927835.9299999997</v>
          </cell>
          <cell r="AC35">
            <v>3916925.52</v>
          </cell>
          <cell r="AD35">
            <v>4118371.28</v>
          </cell>
          <cell r="AE35">
            <v>3961155.1</v>
          </cell>
          <cell r="AF35">
            <v>4230134.26</v>
          </cell>
          <cell r="AG35">
            <v>3960161.56</v>
          </cell>
          <cell r="AH35">
            <v>3789291.7199999997</v>
          </cell>
          <cell r="AI35">
            <v>3629187.02</v>
          </cell>
          <cell r="AJ35">
            <v>3294423.02</v>
          </cell>
          <cell r="AK35">
            <v>3092471.43</v>
          </cell>
          <cell r="AL35">
            <v>3021439.9899999998</v>
          </cell>
          <cell r="AM35">
            <v>3001959.99</v>
          </cell>
          <cell r="AN35">
            <v>3027090.45</v>
          </cell>
          <cell r="AO35">
            <v>3374011.52</v>
          </cell>
          <cell r="AP35">
            <v>3851428.7800000003</v>
          </cell>
          <cell r="AQ35">
            <v>4846630.58</v>
          </cell>
          <cell r="AR35">
            <v>4881680.71</v>
          </cell>
          <cell r="AS35">
            <v>4738098.5600000005</v>
          </cell>
          <cell r="AT35">
            <v>4806426.47</v>
          </cell>
          <cell r="AU35">
            <v>5260165.6000000006</v>
          </cell>
          <cell r="AV35">
            <v>6297119.7199999997</v>
          </cell>
          <cell r="AW35">
            <v>7970961.7400000002</v>
          </cell>
          <cell r="AX35">
            <v>12548425.640000001</v>
          </cell>
          <cell r="AY35">
            <v>26038789.390000001</v>
          </cell>
          <cell r="AZ35">
            <v>58986467.949999996</v>
          </cell>
          <cell r="BA35">
            <v>72776564.75999999</v>
          </cell>
          <cell r="BB35">
            <v>8808791.8099999987</v>
          </cell>
        </row>
        <row r="36">
          <cell r="A36" t="str">
            <v>ptd</v>
          </cell>
          <cell r="B36">
            <v>2698693</v>
          </cell>
          <cell r="C36">
            <v>4853846</v>
          </cell>
          <cell r="D36">
            <v>6919249</v>
          </cell>
          <cell r="E36">
            <v>8930267.6799999997</v>
          </cell>
          <cell r="F36">
            <v>2180936</v>
          </cell>
          <cell r="G36">
            <v>4693873</v>
          </cell>
          <cell r="H36">
            <v>8768085</v>
          </cell>
          <cell r="I36">
            <v>10965609</v>
          </cell>
          <cell r="J36">
            <v>2333981</v>
          </cell>
          <cell r="K36">
            <v>4661443.9700000007</v>
          </cell>
          <cell r="L36">
            <v>7273206.6400000006</v>
          </cell>
          <cell r="M36">
            <v>11145898.640000001</v>
          </cell>
          <cell r="N36">
            <v>2454595.89</v>
          </cell>
          <cell r="O36">
            <v>4924046.03</v>
          </cell>
          <cell r="P36">
            <v>7328024.6300000008</v>
          </cell>
          <cell r="Q36">
            <v>9986932.5300000012</v>
          </cell>
          <cell r="R36">
            <v>3294621.04</v>
          </cell>
          <cell r="S36">
            <v>6688721.9000000004</v>
          </cell>
          <cell r="T36">
            <v>13597060.120000001</v>
          </cell>
          <cell r="U36">
            <v>18642993.859999999</v>
          </cell>
          <cell r="V36">
            <v>4705537.26</v>
          </cell>
          <cell r="W36">
            <v>9550773.9600000009</v>
          </cell>
          <cell r="X36">
            <v>14762523.610000001</v>
          </cell>
          <cell r="Y36">
            <v>23566000.830000002</v>
          </cell>
          <cell r="Z36">
            <v>5989465.46</v>
          </cell>
          <cell r="AA36">
            <v>9935452.8499999996</v>
          </cell>
          <cell r="AB36">
            <v>13863288.779999999</v>
          </cell>
          <cell r="AC36">
            <v>17780214.300000001</v>
          </cell>
          <cell r="AD36">
            <v>4118371.28</v>
          </cell>
          <cell r="AE36">
            <v>8079526.3799999999</v>
          </cell>
          <cell r="AF36">
            <v>12309660.640000001</v>
          </cell>
          <cell r="AG36">
            <v>16269822.200000001</v>
          </cell>
          <cell r="AH36">
            <v>3789291.7199999997</v>
          </cell>
          <cell r="AI36">
            <v>7418478.7400000002</v>
          </cell>
          <cell r="AJ36">
            <v>10712901.76</v>
          </cell>
          <cell r="AK36">
            <v>13805373.189999999</v>
          </cell>
          <cell r="AL36">
            <v>3021439.9899999998</v>
          </cell>
          <cell r="AM36">
            <v>6023399.9800000004</v>
          </cell>
          <cell r="AN36">
            <v>9050490.4299999997</v>
          </cell>
          <cell r="AO36">
            <v>12424501.949999999</v>
          </cell>
          <cell r="AP36">
            <v>3851428.7800000003</v>
          </cell>
          <cell r="AQ36">
            <v>8698059.3599999994</v>
          </cell>
          <cell r="AR36">
            <v>13579740.07</v>
          </cell>
          <cell r="AS36">
            <v>18317838.630000003</v>
          </cell>
          <cell r="AT36">
            <v>4806426.47</v>
          </cell>
          <cell r="AU36">
            <v>10066592.07</v>
          </cell>
          <cell r="AV36">
            <v>16363711.789999999</v>
          </cell>
          <cell r="AW36">
            <v>24334673.530000001</v>
          </cell>
          <cell r="AX36">
            <v>12548425.640000001</v>
          </cell>
          <cell r="AY36">
            <v>38587215.030000001</v>
          </cell>
          <cell r="AZ36">
            <v>97573682.979999989</v>
          </cell>
          <cell r="BA36">
            <v>170350247.73999998</v>
          </cell>
          <cell r="BB36">
            <v>179159039.54999998</v>
          </cell>
        </row>
        <row r="37">
          <cell r="A37" t="str">
            <v>qtd</v>
          </cell>
          <cell r="B37">
            <v>2698693</v>
          </cell>
          <cell r="C37">
            <v>4853846</v>
          </cell>
          <cell r="D37">
            <v>6919249</v>
          </cell>
          <cell r="E37">
            <v>8930267.6799999997</v>
          </cell>
          <cell r="F37">
            <v>11111203.68</v>
          </cell>
          <cell r="G37">
            <v>13624140.68</v>
          </cell>
          <cell r="H37">
            <v>17698352.68</v>
          </cell>
          <cell r="I37">
            <v>19895876.68</v>
          </cell>
          <cell r="J37">
            <v>22229857.68</v>
          </cell>
          <cell r="K37">
            <v>24557320.649999999</v>
          </cell>
          <cell r="L37">
            <v>27169083.32</v>
          </cell>
          <cell r="M37">
            <v>31041775.32</v>
          </cell>
          <cell r="N37">
            <v>2454595.89</v>
          </cell>
          <cell r="O37">
            <v>4924046.03</v>
          </cell>
          <cell r="P37">
            <v>7328024.6300000008</v>
          </cell>
          <cell r="Q37">
            <v>9986932.5300000012</v>
          </cell>
          <cell r="R37">
            <v>13281553.57</v>
          </cell>
          <cell r="S37">
            <v>16675654.43</v>
          </cell>
          <cell r="T37">
            <v>23583992.649999999</v>
          </cell>
          <cell r="U37">
            <v>28629926.390000001</v>
          </cell>
          <cell r="V37">
            <v>33335463.649999999</v>
          </cell>
          <cell r="W37">
            <v>38180700.350000001</v>
          </cell>
          <cell r="X37">
            <v>43392450</v>
          </cell>
          <cell r="Y37">
            <v>52195927.219999999</v>
          </cell>
          <cell r="Z37">
            <v>5989465.46</v>
          </cell>
          <cell r="AA37">
            <v>9935452.8499999996</v>
          </cell>
          <cell r="AB37">
            <v>13863288.779999999</v>
          </cell>
          <cell r="AC37">
            <v>17780214.300000001</v>
          </cell>
          <cell r="AD37">
            <v>21898585.580000002</v>
          </cell>
          <cell r="AE37">
            <v>25859740.680000003</v>
          </cell>
          <cell r="AF37">
            <v>30089874.940000005</v>
          </cell>
          <cell r="AG37">
            <v>34050036.500000007</v>
          </cell>
          <cell r="AH37">
            <v>37839328.220000006</v>
          </cell>
          <cell r="AI37">
            <v>41468515.24000001</v>
          </cell>
          <cell r="AJ37">
            <v>44762938.260000013</v>
          </cell>
          <cell r="AK37">
            <v>47855409.690000013</v>
          </cell>
          <cell r="AL37">
            <v>3021439.9899999998</v>
          </cell>
          <cell r="AM37">
            <v>6023399.9800000004</v>
          </cell>
          <cell r="AN37">
            <v>9050490.4299999997</v>
          </cell>
          <cell r="AO37">
            <v>12424501.949999999</v>
          </cell>
          <cell r="AP37">
            <v>16275930.73</v>
          </cell>
          <cell r="AQ37">
            <v>21122561.310000002</v>
          </cell>
          <cell r="AR37">
            <v>26004242.020000003</v>
          </cell>
          <cell r="AS37">
            <v>30742340.580000006</v>
          </cell>
          <cell r="AT37">
            <v>35548767.050000004</v>
          </cell>
          <cell r="AU37">
            <v>40808932.650000006</v>
          </cell>
          <cell r="AV37">
            <v>47106052.370000005</v>
          </cell>
          <cell r="AW37">
            <v>55077014.110000007</v>
          </cell>
          <cell r="AX37">
            <v>67625439.75</v>
          </cell>
          <cell r="AY37">
            <v>93664229.140000001</v>
          </cell>
          <cell r="AZ37">
            <v>152650697.09</v>
          </cell>
          <cell r="BA37">
            <v>225427261.84999999</v>
          </cell>
          <cell r="BB37">
            <v>234236053.66</v>
          </cell>
        </row>
        <row r="38">
          <cell r="A38" t="str">
            <v>ytd</v>
          </cell>
          <cell r="B38">
            <v>2698693</v>
          </cell>
          <cell r="C38">
            <v>4853846</v>
          </cell>
          <cell r="D38">
            <v>6919249</v>
          </cell>
          <cell r="E38">
            <v>8930267.6799999997</v>
          </cell>
          <cell r="F38">
            <v>11111203.68</v>
          </cell>
          <cell r="G38">
            <v>13624140.68</v>
          </cell>
          <cell r="H38">
            <v>17698352.68</v>
          </cell>
          <cell r="I38">
            <v>19895876.68</v>
          </cell>
          <cell r="J38">
            <v>22229857.68</v>
          </cell>
          <cell r="K38">
            <v>24557320.649999999</v>
          </cell>
          <cell r="L38">
            <v>27169083.32</v>
          </cell>
          <cell r="M38">
            <v>31041775.32</v>
          </cell>
          <cell r="N38">
            <v>33496371.210000001</v>
          </cell>
          <cell r="O38">
            <v>35965821.350000001</v>
          </cell>
          <cell r="P38">
            <v>38369799.950000003</v>
          </cell>
          <cell r="Q38">
            <v>41028707.850000001</v>
          </cell>
          <cell r="R38">
            <v>44323328.890000001</v>
          </cell>
          <cell r="S38">
            <v>47717429.75</v>
          </cell>
          <cell r="T38">
            <v>54625767.969999999</v>
          </cell>
          <cell r="U38">
            <v>59671701.710000001</v>
          </cell>
          <cell r="V38">
            <v>64377238.969999999</v>
          </cell>
          <cell r="W38">
            <v>69222475.670000002</v>
          </cell>
          <cell r="X38">
            <v>74434225.320000008</v>
          </cell>
          <cell r="Y38">
            <v>83237702.540000007</v>
          </cell>
          <cell r="Z38">
            <v>89227168</v>
          </cell>
          <cell r="AA38">
            <v>93173155.390000001</v>
          </cell>
          <cell r="AB38">
            <v>97100991.319999993</v>
          </cell>
          <cell r="AC38">
            <v>101017916.83999999</v>
          </cell>
          <cell r="AD38">
            <v>105136288.11999999</v>
          </cell>
          <cell r="AE38">
            <v>109097443.21999998</v>
          </cell>
          <cell r="AF38">
            <v>113327577.47999999</v>
          </cell>
          <cell r="AG38">
            <v>117287739.03999999</v>
          </cell>
          <cell r="AH38">
            <v>121077030.75999999</v>
          </cell>
          <cell r="AI38">
            <v>124706217.77999999</v>
          </cell>
          <cell r="AJ38">
            <v>128000640.79999998</v>
          </cell>
          <cell r="AK38">
            <v>131093112.22999999</v>
          </cell>
          <cell r="AL38">
            <v>134114552.21999998</v>
          </cell>
          <cell r="AM38">
            <v>137116512.20999998</v>
          </cell>
          <cell r="AN38">
            <v>140143602.65999997</v>
          </cell>
          <cell r="AO38">
            <v>143517614.17999998</v>
          </cell>
          <cell r="AP38">
            <v>147369042.95999998</v>
          </cell>
          <cell r="AQ38">
            <v>152215673.53999999</v>
          </cell>
          <cell r="AR38">
            <v>157097354.25</v>
          </cell>
          <cell r="AS38">
            <v>161835452.81</v>
          </cell>
          <cell r="AT38">
            <v>166641879.28</v>
          </cell>
          <cell r="AU38">
            <v>171902044.88</v>
          </cell>
          <cell r="AV38">
            <v>178199164.59999999</v>
          </cell>
          <cell r="AW38">
            <v>186170126.34</v>
          </cell>
          <cell r="AX38">
            <v>198718551.98000002</v>
          </cell>
          <cell r="AY38">
            <v>224757341.37</v>
          </cell>
          <cell r="AZ38">
            <v>283743809.31999999</v>
          </cell>
          <cell r="BA38">
            <v>356520374.07999998</v>
          </cell>
          <cell r="BB38">
            <v>365329165.88999999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171210</v>
          </cell>
          <cell r="C41">
            <v>164910</v>
          </cell>
          <cell r="D41">
            <v>241985</v>
          </cell>
          <cell r="E41">
            <v>276690</v>
          </cell>
          <cell r="F41">
            <v>282610</v>
          </cell>
          <cell r="G41">
            <v>303145</v>
          </cell>
          <cell r="H41">
            <v>242425</v>
          </cell>
          <cell r="I41">
            <v>198200</v>
          </cell>
          <cell r="J41">
            <v>215925</v>
          </cell>
          <cell r="K41">
            <v>201025</v>
          </cell>
          <cell r="L41">
            <v>256945</v>
          </cell>
          <cell r="M41">
            <v>330850</v>
          </cell>
          <cell r="N41">
            <v>215095</v>
          </cell>
          <cell r="O41">
            <v>237195</v>
          </cell>
          <cell r="P41">
            <v>246485</v>
          </cell>
          <cell r="Q41">
            <v>252160</v>
          </cell>
          <cell r="R41">
            <v>306270</v>
          </cell>
          <cell r="S41">
            <v>326600</v>
          </cell>
          <cell r="T41">
            <v>522020</v>
          </cell>
          <cell r="U41">
            <v>403485</v>
          </cell>
          <cell r="V41">
            <v>355710</v>
          </cell>
          <cell r="W41">
            <v>369130</v>
          </cell>
          <cell r="X41">
            <v>432135</v>
          </cell>
          <cell r="Y41">
            <v>547785</v>
          </cell>
          <cell r="Z41">
            <v>403075</v>
          </cell>
          <cell r="AA41">
            <v>363595</v>
          </cell>
          <cell r="AB41">
            <v>341520</v>
          </cell>
          <cell r="AC41">
            <v>338465</v>
          </cell>
          <cell r="AD41">
            <v>347220</v>
          </cell>
          <cell r="AE41">
            <v>346425</v>
          </cell>
          <cell r="AF41">
            <v>325065</v>
          </cell>
          <cell r="AG41">
            <v>420675</v>
          </cell>
          <cell r="AH41">
            <v>394405</v>
          </cell>
          <cell r="AI41">
            <v>297825</v>
          </cell>
          <cell r="AJ41">
            <v>334025</v>
          </cell>
          <cell r="AK41">
            <v>196250</v>
          </cell>
          <cell r="AL41">
            <v>204800</v>
          </cell>
          <cell r="AM41">
            <v>186350</v>
          </cell>
          <cell r="AN41">
            <v>197050</v>
          </cell>
          <cell r="AO41">
            <v>195225</v>
          </cell>
          <cell r="AP41">
            <v>190775</v>
          </cell>
          <cell r="AQ41">
            <v>252025</v>
          </cell>
          <cell r="AR41">
            <v>258275</v>
          </cell>
          <cell r="AS41">
            <v>280375</v>
          </cell>
          <cell r="AT41">
            <v>316350</v>
          </cell>
          <cell r="AU41">
            <v>377675</v>
          </cell>
          <cell r="AV41">
            <v>403775</v>
          </cell>
          <cell r="AW41">
            <v>478675</v>
          </cell>
          <cell r="AX41">
            <v>566200</v>
          </cell>
          <cell r="AY41">
            <v>952125</v>
          </cell>
          <cell r="AZ41">
            <v>1422850</v>
          </cell>
          <cell r="BA41">
            <v>1525975</v>
          </cell>
          <cell r="BB41">
            <v>258150</v>
          </cell>
        </row>
        <row r="42">
          <cell r="A42" t="str">
            <v>ptd</v>
          </cell>
          <cell r="B42">
            <v>171210</v>
          </cell>
          <cell r="C42">
            <v>336120</v>
          </cell>
          <cell r="D42">
            <v>578105</v>
          </cell>
          <cell r="E42">
            <v>854795</v>
          </cell>
          <cell r="F42">
            <v>282610</v>
          </cell>
          <cell r="G42">
            <v>585755</v>
          </cell>
          <cell r="H42">
            <v>828180</v>
          </cell>
          <cell r="I42">
            <v>1026380</v>
          </cell>
          <cell r="J42">
            <v>215925</v>
          </cell>
          <cell r="K42">
            <v>416950</v>
          </cell>
          <cell r="L42">
            <v>673895</v>
          </cell>
          <cell r="M42">
            <v>1004745</v>
          </cell>
          <cell r="N42">
            <v>215095</v>
          </cell>
          <cell r="O42">
            <v>452290</v>
          </cell>
          <cell r="P42">
            <v>698775</v>
          </cell>
          <cell r="Q42">
            <v>950935</v>
          </cell>
          <cell r="R42">
            <v>306270</v>
          </cell>
          <cell r="S42">
            <v>632870</v>
          </cell>
          <cell r="T42">
            <v>1154890</v>
          </cell>
          <cell r="U42">
            <v>1558375</v>
          </cell>
          <cell r="V42">
            <v>355710</v>
          </cell>
          <cell r="W42">
            <v>724840</v>
          </cell>
          <cell r="X42">
            <v>1156975</v>
          </cell>
          <cell r="Y42">
            <v>1704760</v>
          </cell>
          <cell r="Z42">
            <v>403075</v>
          </cell>
          <cell r="AA42">
            <v>766670</v>
          </cell>
          <cell r="AB42">
            <v>1108190</v>
          </cell>
          <cell r="AC42">
            <v>1446655</v>
          </cell>
          <cell r="AD42">
            <v>347220</v>
          </cell>
          <cell r="AE42">
            <v>693645</v>
          </cell>
          <cell r="AF42">
            <v>1018710</v>
          </cell>
          <cell r="AG42">
            <v>1439385</v>
          </cell>
          <cell r="AH42">
            <v>394405</v>
          </cell>
          <cell r="AI42">
            <v>692230</v>
          </cell>
          <cell r="AJ42">
            <v>1026255</v>
          </cell>
          <cell r="AK42">
            <v>1222505</v>
          </cell>
          <cell r="AL42">
            <v>204800</v>
          </cell>
          <cell r="AM42">
            <v>391150</v>
          </cell>
          <cell r="AN42">
            <v>588200</v>
          </cell>
          <cell r="AO42">
            <v>783425</v>
          </cell>
          <cell r="AP42">
            <v>190775</v>
          </cell>
          <cell r="AQ42">
            <v>442800</v>
          </cell>
          <cell r="AR42">
            <v>701075</v>
          </cell>
          <cell r="AS42">
            <v>981450</v>
          </cell>
          <cell r="AT42">
            <v>316350</v>
          </cell>
          <cell r="AU42">
            <v>694025</v>
          </cell>
          <cell r="AV42">
            <v>1097800</v>
          </cell>
          <cell r="AW42">
            <v>1576475</v>
          </cell>
          <cell r="AX42">
            <v>566200</v>
          </cell>
          <cell r="AY42">
            <v>1518325</v>
          </cell>
          <cell r="AZ42">
            <v>2941175</v>
          </cell>
          <cell r="BA42">
            <v>4467150</v>
          </cell>
          <cell r="BB42">
            <v>4725300</v>
          </cell>
        </row>
        <row r="43">
          <cell r="A43" t="str">
            <v>qtd</v>
          </cell>
          <cell r="B43">
            <v>171210</v>
          </cell>
          <cell r="C43">
            <v>336120</v>
          </cell>
          <cell r="D43">
            <v>578105</v>
          </cell>
          <cell r="E43">
            <v>854795</v>
          </cell>
          <cell r="F43">
            <v>1137405</v>
          </cell>
          <cell r="G43">
            <v>1440550</v>
          </cell>
          <cell r="H43">
            <v>1682975</v>
          </cell>
          <cell r="I43">
            <v>1881175</v>
          </cell>
          <cell r="J43">
            <v>2097100</v>
          </cell>
          <cell r="K43">
            <v>2298125</v>
          </cell>
          <cell r="L43">
            <v>2555070</v>
          </cell>
          <cell r="M43">
            <v>2885920</v>
          </cell>
          <cell r="N43">
            <v>215095</v>
          </cell>
          <cell r="O43">
            <v>452290</v>
          </cell>
          <cell r="P43">
            <v>698775</v>
          </cell>
          <cell r="Q43">
            <v>950935</v>
          </cell>
          <cell r="R43">
            <v>1257205</v>
          </cell>
          <cell r="S43">
            <v>1583805</v>
          </cell>
          <cell r="T43">
            <v>2105825</v>
          </cell>
          <cell r="U43">
            <v>2509310</v>
          </cell>
          <cell r="V43">
            <v>2865020</v>
          </cell>
          <cell r="W43">
            <v>3234150</v>
          </cell>
          <cell r="X43">
            <v>3666285</v>
          </cell>
          <cell r="Y43">
            <v>4214070</v>
          </cell>
          <cell r="Z43">
            <v>403075</v>
          </cell>
          <cell r="AA43">
            <v>766670</v>
          </cell>
          <cell r="AB43">
            <v>1108190</v>
          </cell>
          <cell r="AC43">
            <v>1446655</v>
          </cell>
          <cell r="AD43">
            <v>1793875</v>
          </cell>
          <cell r="AE43">
            <v>2140300</v>
          </cell>
          <cell r="AF43">
            <v>2465365</v>
          </cell>
          <cell r="AG43">
            <v>2886040</v>
          </cell>
          <cell r="AH43">
            <v>3280445</v>
          </cell>
          <cell r="AI43">
            <v>3578270</v>
          </cell>
          <cell r="AJ43">
            <v>3912295</v>
          </cell>
          <cell r="AK43">
            <v>4108545</v>
          </cell>
          <cell r="AL43">
            <v>204800</v>
          </cell>
          <cell r="AM43">
            <v>391150</v>
          </cell>
          <cell r="AN43">
            <v>588200</v>
          </cell>
          <cell r="AO43">
            <v>783425</v>
          </cell>
          <cell r="AP43">
            <v>974200</v>
          </cell>
          <cell r="AQ43">
            <v>1226225</v>
          </cell>
          <cell r="AR43">
            <v>1484500</v>
          </cell>
          <cell r="AS43">
            <v>1764875</v>
          </cell>
          <cell r="AT43">
            <v>2081225</v>
          </cell>
          <cell r="AU43">
            <v>2458900</v>
          </cell>
          <cell r="AV43">
            <v>2862675</v>
          </cell>
          <cell r="AW43">
            <v>3341350</v>
          </cell>
          <cell r="AX43">
            <v>3907550</v>
          </cell>
          <cell r="AY43">
            <v>4859675</v>
          </cell>
          <cell r="AZ43">
            <v>6282525</v>
          </cell>
          <cell r="BA43">
            <v>7808500</v>
          </cell>
          <cell r="BB43">
            <v>8066650</v>
          </cell>
        </row>
        <row r="44">
          <cell r="A44" t="str">
            <v>ytd</v>
          </cell>
          <cell r="B44">
            <v>171210</v>
          </cell>
          <cell r="C44">
            <v>336120</v>
          </cell>
          <cell r="D44">
            <v>578105</v>
          </cell>
          <cell r="E44">
            <v>854795</v>
          </cell>
          <cell r="F44">
            <v>1137405</v>
          </cell>
          <cell r="G44">
            <v>1440550</v>
          </cell>
          <cell r="H44">
            <v>1682975</v>
          </cell>
          <cell r="I44">
            <v>1881175</v>
          </cell>
          <cell r="J44">
            <v>2097100</v>
          </cell>
          <cell r="K44">
            <v>2298125</v>
          </cell>
          <cell r="L44">
            <v>2555070</v>
          </cell>
          <cell r="M44">
            <v>2885920</v>
          </cell>
          <cell r="N44">
            <v>3101015</v>
          </cell>
          <cell r="O44">
            <v>3338210</v>
          </cell>
          <cell r="P44">
            <v>3584695</v>
          </cell>
          <cell r="Q44">
            <v>3836855</v>
          </cell>
          <cell r="R44">
            <v>4143125</v>
          </cell>
          <cell r="S44">
            <v>4469725</v>
          </cell>
          <cell r="T44">
            <v>4991745</v>
          </cell>
          <cell r="U44">
            <v>5395230</v>
          </cell>
          <cell r="V44">
            <v>5750940</v>
          </cell>
          <cell r="W44">
            <v>6120070</v>
          </cell>
          <cell r="X44">
            <v>6552205</v>
          </cell>
          <cell r="Y44">
            <v>7099990</v>
          </cell>
          <cell r="Z44">
            <v>7503065</v>
          </cell>
          <cell r="AA44">
            <v>7866660</v>
          </cell>
          <cell r="AB44">
            <v>8208180</v>
          </cell>
          <cell r="AC44">
            <v>8546645</v>
          </cell>
          <cell r="AD44">
            <v>8893865</v>
          </cell>
          <cell r="AE44">
            <v>9240290</v>
          </cell>
          <cell r="AF44">
            <v>9565355</v>
          </cell>
          <cell r="AG44">
            <v>9986030</v>
          </cell>
          <cell r="AH44">
            <v>10380435</v>
          </cell>
          <cell r="AI44">
            <v>10678260</v>
          </cell>
          <cell r="AJ44">
            <v>11012285</v>
          </cell>
          <cell r="AK44">
            <v>11208535</v>
          </cell>
          <cell r="AL44">
            <v>11413335</v>
          </cell>
          <cell r="AM44">
            <v>11599685</v>
          </cell>
          <cell r="AN44">
            <v>11796735</v>
          </cell>
          <cell r="AO44">
            <v>11991960</v>
          </cell>
          <cell r="AP44">
            <v>12182735</v>
          </cell>
          <cell r="AQ44">
            <v>12434760</v>
          </cell>
          <cell r="AR44">
            <v>12693035</v>
          </cell>
          <cell r="AS44">
            <v>12973410</v>
          </cell>
          <cell r="AT44">
            <v>13289760</v>
          </cell>
          <cell r="AU44">
            <v>13667435</v>
          </cell>
          <cell r="AV44">
            <v>14071210</v>
          </cell>
          <cell r="AW44">
            <v>14549885</v>
          </cell>
          <cell r="AX44">
            <v>15116085</v>
          </cell>
          <cell r="AY44">
            <v>16068210</v>
          </cell>
          <cell r="AZ44">
            <v>17491060</v>
          </cell>
          <cell r="BA44">
            <v>19017035</v>
          </cell>
          <cell r="BB44">
            <v>19275185</v>
          </cell>
        </row>
        <row r="45">
          <cell r="A45" t="str">
            <v>PART</v>
          </cell>
          <cell r="B45">
            <v>5084520</v>
          </cell>
          <cell r="C45">
            <v>5021964.9800000004</v>
          </cell>
          <cell r="D45">
            <v>5671154.9699999997</v>
          </cell>
          <cell r="E45">
            <v>5878554.96</v>
          </cell>
          <cell r="F45">
            <v>5933664.9800000004</v>
          </cell>
          <cell r="G45">
            <v>6111519.8799999999</v>
          </cell>
          <cell r="H45">
            <v>6257789.8700000001</v>
          </cell>
          <cell r="I45">
            <v>5803909.9800000004</v>
          </cell>
          <cell r="J45">
            <v>5473844.96</v>
          </cell>
          <cell r="K45">
            <v>5285319.99</v>
          </cell>
          <cell r="L45">
            <v>6869729.9900000002</v>
          </cell>
          <cell r="M45">
            <v>8165539.9900000002</v>
          </cell>
          <cell r="N45">
            <v>6220740</v>
          </cell>
          <cell r="O45">
            <v>7599155</v>
          </cell>
          <cell r="P45">
            <v>7893190</v>
          </cell>
          <cell r="Q45">
            <v>8614384.9900000002</v>
          </cell>
          <cell r="R45">
            <v>10000125</v>
          </cell>
          <cell r="S45">
            <v>10058515</v>
          </cell>
          <cell r="T45">
            <v>12827729.99</v>
          </cell>
          <cell r="U45">
            <v>11197640</v>
          </cell>
          <cell r="V45">
            <v>11806144.99</v>
          </cell>
          <cell r="W45">
            <v>11542785</v>
          </cell>
          <cell r="X45">
            <v>12319195</v>
          </cell>
          <cell r="Y45">
            <v>14580965</v>
          </cell>
          <cell r="Z45">
            <v>11754100</v>
          </cell>
          <cell r="AA45">
            <v>11580680</v>
          </cell>
          <cell r="AB45">
            <v>11416775</v>
          </cell>
          <cell r="AC45">
            <v>10807340</v>
          </cell>
          <cell r="AD45">
            <v>11002165</v>
          </cell>
          <cell r="AE45">
            <v>10583690</v>
          </cell>
          <cell r="AF45">
            <v>10396420</v>
          </cell>
          <cell r="AG45">
            <v>12389705</v>
          </cell>
          <cell r="AH45">
            <v>13707890.51</v>
          </cell>
          <cell r="AI45">
            <v>14506755</v>
          </cell>
          <cell r="AJ45">
            <v>15160040</v>
          </cell>
          <cell r="AK45">
            <v>9506080</v>
          </cell>
          <cell r="AL45">
            <v>9266990</v>
          </cell>
          <cell r="AM45">
            <v>9140145</v>
          </cell>
          <cell r="AN45">
            <v>9367225</v>
          </cell>
          <cell r="AO45">
            <v>9494115</v>
          </cell>
          <cell r="AP45">
            <v>8978739.9800000004</v>
          </cell>
          <cell r="AQ45">
            <v>10350855</v>
          </cell>
          <cell r="AR45">
            <v>10685040</v>
          </cell>
          <cell r="AS45">
            <v>10983620</v>
          </cell>
          <cell r="AT45">
            <v>11004314.960000001</v>
          </cell>
          <cell r="AU45">
            <v>13076439.9</v>
          </cell>
          <cell r="AV45">
            <v>14693349.84</v>
          </cell>
          <cell r="AW45">
            <v>18507789.829999998</v>
          </cell>
          <cell r="AX45">
            <v>19530004.850000001</v>
          </cell>
          <cell r="AY45">
            <v>30762574.780000001</v>
          </cell>
          <cell r="AZ45">
            <v>38766654.659999996</v>
          </cell>
          <cell r="BA45">
            <v>36457089.700000003</v>
          </cell>
          <cell r="BB45">
            <v>8721509.9900000002</v>
          </cell>
        </row>
        <row r="46">
          <cell r="A46" t="str">
            <v>ptd</v>
          </cell>
          <cell r="B46">
            <v>5084520</v>
          </cell>
          <cell r="C46">
            <v>10106484.98</v>
          </cell>
          <cell r="D46">
            <v>15777639.949999999</v>
          </cell>
          <cell r="E46">
            <v>21656194.91</v>
          </cell>
          <cell r="F46">
            <v>5933664.9800000004</v>
          </cell>
          <cell r="G46">
            <v>12045184.859999999</v>
          </cell>
          <cell r="H46">
            <v>18302974.73</v>
          </cell>
          <cell r="I46">
            <v>24106884.710000001</v>
          </cell>
          <cell r="J46">
            <v>5473844.96</v>
          </cell>
          <cell r="K46">
            <v>10759164.949999999</v>
          </cell>
          <cell r="L46">
            <v>17628894.939999998</v>
          </cell>
          <cell r="M46">
            <v>25794434.93</v>
          </cell>
          <cell r="N46">
            <v>6220740</v>
          </cell>
          <cell r="O46">
            <v>13819895</v>
          </cell>
          <cell r="P46">
            <v>21713085</v>
          </cell>
          <cell r="Q46">
            <v>30327469.990000002</v>
          </cell>
          <cell r="R46">
            <v>10000125</v>
          </cell>
          <cell r="S46">
            <v>20058640</v>
          </cell>
          <cell r="T46">
            <v>32886369.990000002</v>
          </cell>
          <cell r="U46">
            <v>44084009.990000002</v>
          </cell>
          <cell r="V46">
            <v>11806144.99</v>
          </cell>
          <cell r="W46">
            <v>23348929.990000002</v>
          </cell>
          <cell r="X46">
            <v>35668124.990000002</v>
          </cell>
          <cell r="Y46">
            <v>50249089.990000002</v>
          </cell>
          <cell r="Z46">
            <v>11754100</v>
          </cell>
          <cell r="AA46">
            <v>23334780</v>
          </cell>
          <cell r="AB46">
            <v>34751555</v>
          </cell>
          <cell r="AC46">
            <v>45558895</v>
          </cell>
          <cell r="AD46">
            <v>11002165</v>
          </cell>
          <cell r="AE46">
            <v>21585855</v>
          </cell>
          <cell r="AF46">
            <v>31982275</v>
          </cell>
          <cell r="AG46">
            <v>44371980</v>
          </cell>
          <cell r="AH46">
            <v>13707890.51</v>
          </cell>
          <cell r="AI46">
            <v>28214645.509999998</v>
          </cell>
          <cell r="AJ46">
            <v>43374685.509999998</v>
          </cell>
          <cell r="AK46">
            <v>52880765.509999998</v>
          </cell>
          <cell r="AL46">
            <v>9266990</v>
          </cell>
          <cell r="AM46">
            <v>18407135</v>
          </cell>
          <cell r="AN46">
            <v>27774360</v>
          </cell>
          <cell r="AO46">
            <v>37268475</v>
          </cell>
          <cell r="AP46">
            <v>8978739.9800000004</v>
          </cell>
          <cell r="AQ46">
            <v>19329594.98</v>
          </cell>
          <cell r="AR46">
            <v>30014634.98</v>
          </cell>
          <cell r="AS46">
            <v>40998254.980000004</v>
          </cell>
          <cell r="AT46">
            <v>11004314.960000001</v>
          </cell>
          <cell r="AU46">
            <v>24080754.859999999</v>
          </cell>
          <cell r="AV46">
            <v>38774104.700000003</v>
          </cell>
          <cell r="AW46">
            <v>57281894.530000001</v>
          </cell>
          <cell r="AX46">
            <v>19530004.850000001</v>
          </cell>
          <cell r="AY46">
            <v>50292579.630000003</v>
          </cell>
          <cell r="AZ46">
            <v>89059234.289999992</v>
          </cell>
          <cell r="BA46">
            <v>125516323.98999999</v>
          </cell>
          <cell r="BB46">
            <v>134237833.97999999</v>
          </cell>
        </row>
        <row r="47">
          <cell r="A47" t="str">
            <v>qtd</v>
          </cell>
          <cell r="B47">
            <v>5084520</v>
          </cell>
          <cell r="C47">
            <v>10106484.98</v>
          </cell>
          <cell r="D47">
            <v>15777639.949999999</v>
          </cell>
          <cell r="E47">
            <v>21656194.91</v>
          </cell>
          <cell r="F47">
            <v>27589859.890000001</v>
          </cell>
          <cell r="G47">
            <v>33701379.770000003</v>
          </cell>
          <cell r="H47">
            <v>39959169.640000001</v>
          </cell>
          <cell r="I47">
            <v>45763079.620000005</v>
          </cell>
          <cell r="J47">
            <v>51236924.580000006</v>
          </cell>
          <cell r="K47">
            <v>56522244.570000008</v>
          </cell>
          <cell r="L47">
            <v>63391974.56000001</v>
          </cell>
          <cell r="M47">
            <v>71557514.550000012</v>
          </cell>
          <cell r="N47">
            <v>6220740</v>
          </cell>
          <cell r="O47">
            <v>13819895</v>
          </cell>
          <cell r="P47">
            <v>21713085</v>
          </cell>
          <cell r="Q47">
            <v>30327469.990000002</v>
          </cell>
          <cell r="R47">
            <v>40327594.990000002</v>
          </cell>
          <cell r="S47">
            <v>50386109.990000002</v>
          </cell>
          <cell r="T47">
            <v>63213839.980000004</v>
          </cell>
          <cell r="U47">
            <v>74411479.980000004</v>
          </cell>
          <cell r="V47">
            <v>86217624.969999999</v>
          </cell>
          <cell r="W47">
            <v>97760409.969999999</v>
          </cell>
          <cell r="X47">
            <v>110079604.97</v>
          </cell>
          <cell r="Y47">
            <v>124660569.97</v>
          </cell>
          <cell r="Z47">
            <v>11754100</v>
          </cell>
          <cell r="AA47">
            <v>23334780</v>
          </cell>
          <cell r="AB47">
            <v>34751555</v>
          </cell>
          <cell r="AC47">
            <v>45558895</v>
          </cell>
          <cell r="AD47">
            <v>56561060</v>
          </cell>
          <cell r="AE47">
            <v>67144750</v>
          </cell>
          <cell r="AF47">
            <v>77541170</v>
          </cell>
          <cell r="AG47">
            <v>89930875</v>
          </cell>
          <cell r="AH47">
            <v>103638765.51000001</v>
          </cell>
          <cell r="AI47">
            <v>118145520.51000001</v>
          </cell>
          <cell r="AJ47">
            <v>133305560.51000001</v>
          </cell>
          <cell r="AK47">
            <v>142811640.50999999</v>
          </cell>
          <cell r="AL47">
            <v>9266990</v>
          </cell>
          <cell r="AM47">
            <v>18407135</v>
          </cell>
          <cell r="AN47">
            <v>27774360</v>
          </cell>
          <cell r="AO47">
            <v>37268475</v>
          </cell>
          <cell r="AP47">
            <v>46247214.980000004</v>
          </cell>
          <cell r="AQ47">
            <v>56598069.980000004</v>
          </cell>
          <cell r="AR47">
            <v>67283109.980000004</v>
          </cell>
          <cell r="AS47">
            <v>78266729.980000004</v>
          </cell>
          <cell r="AT47">
            <v>89271044.939999998</v>
          </cell>
          <cell r="AU47">
            <v>102347484.84</v>
          </cell>
          <cell r="AV47">
            <v>117040834.68000001</v>
          </cell>
          <cell r="AW47">
            <v>135548624.50999999</v>
          </cell>
          <cell r="AX47">
            <v>155078629.35999998</v>
          </cell>
          <cell r="AY47">
            <v>185841204.13999999</v>
          </cell>
          <cell r="AZ47">
            <v>224607858.79999998</v>
          </cell>
          <cell r="BA47">
            <v>261064948.5</v>
          </cell>
          <cell r="BB47">
            <v>269786458.49000001</v>
          </cell>
        </row>
        <row r="48">
          <cell r="A48" t="str">
            <v>ytd</v>
          </cell>
          <cell r="B48">
            <v>5084520</v>
          </cell>
          <cell r="C48">
            <v>10106484.98</v>
          </cell>
          <cell r="D48">
            <v>15777639.949999999</v>
          </cell>
          <cell r="E48">
            <v>21656194.91</v>
          </cell>
          <cell r="F48">
            <v>27589859.890000001</v>
          </cell>
          <cell r="G48">
            <v>33701379.770000003</v>
          </cell>
          <cell r="H48">
            <v>39959169.640000001</v>
          </cell>
          <cell r="I48">
            <v>45763079.620000005</v>
          </cell>
          <cell r="J48">
            <v>51236924.580000006</v>
          </cell>
          <cell r="K48">
            <v>56522244.570000008</v>
          </cell>
          <cell r="L48">
            <v>63391974.56000001</v>
          </cell>
          <cell r="M48">
            <v>71557514.550000012</v>
          </cell>
          <cell r="N48">
            <v>77778254.550000012</v>
          </cell>
          <cell r="O48">
            <v>85377409.550000012</v>
          </cell>
          <cell r="P48">
            <v>93270599.550000012</v>
          </cell>
          <cell r="Q48">
            <v>101884984.54000001</v>
          </cell>
          <cell r="R48">
            <v>111885109.54000001</v>
          </cell>
          <cell r="S48">
            <v>121943624.54000001</v>
          </cell>
          <cell r="T48">
            <v>134771354.53</v>
          </cell>
          <cell r="U48">
            <v>145968994.53</v>
          </cell>
          <cell r="V48">
            <v>157775139.52000001</v>
          </cell>
          <cell r="W48">
            <v>169317924.52000001</v>
          </cell>
          <cell r="X48">
            <v>181637119.52000001</v>
          </cell>
          <cell r="Y48">
            <v>196218084.52000001</v>
          </cell>
          <cell r="Z48">
            <v>207972184.52000001</v>
          </cell>
          <cell r="AA48">
            <v>219552864.52000001</v>
          </cell>
          <cell r="AB48">
            <v>230969639.52000001</v>
          </cell>
          <cell r="AC48">
            <v>241776979.52000001</v>
          </cell>
          <cell r="AD48">
            <v>252779144.52000001</v>
          </cell>
          <cell r="AE48">
            <v>263362834.52000001</v>
          </cell>
          <cell r="AF48">
            <v>273759254.51999998</v>
          </cell>
          <cell r="AG48">
            <v>286148959.51999998</v>
          </cell>
          <cell r="AH48">
            <v>299856850.02999997</v>
          </cell>
          <cell r="AI48">
            <v>314363605.02999997</v>
          </cell>
          <cell r="AJ48">
            <v>329523645.02999997</v>
          </cell>
          <cell r="AK48">
            <v>339029725.02999997</v>
          </cell>
          <cell r="AL48">
            <v>348296715.02999997</v>
          </cell>
          <cell r="AM48">
            <v>357436860.02999997</v>
          </cell>
          <cell r="AN48">
            <v>366804085.02999997</v>
          </cell>
          <cell r="AO48">
            <v>376298200.02999997</v>
          </cell>
          <cell r="AP48">
            <v>385276940.00999999</v>
          </cell>
          <cell r="AQ48">
            <v>395627795.00999999</v>
          </cell>
          <cell r="AR48">
            <v>406312835.00999999</v>
          </cell>
          <cell r="AS48">
            <v>417296455.00999999</v>
          </cell>
          <cell r="AT48">
            <v>428300769.96999997</v>
          </cell>
          <cell r="AU48">
            <v>441377209.86999995</v>
          </cell>
          <cell r="AV48">
            <v>456070559.70999992</v>
          </cell>
          <cell r="AW48">
            <v>474578349.5399999</v>
          </cell>
          <cell r="AX48">
            <v>494108354.38999993</v>
          </cell>
          <cell r="AY48">
            <v>524870929.16999996</v>
          </cell>
          <cell r="AZ48">
            <v>563637583.82999992</v>
          </cell>
          <cell r="BA48">
            <v>600094673.52999997</v>
          </cell>
          <cell r="BB48">
            <v>608816183.51999998</v>
          </cell>
        </row>
        <row r="49">
          <cell r="A49" t="str">
            <v>PRED</v>
          </cell>
          <cell r="B49">
            <v>206720.16</v>
          </cell>
          <cell r="C49">
            <v>211691.56</v>
          </cell>
          <cell r="D49">
            <v>222462.34</v>
          </cell>
          <cell r="E49">
            <v>187464.09</v>
          </cell>
          <cell r="F49">
            <v>248943.87</v>
          </cell>
          <cell r="G49">
            <v>227707.8</v>
          </cell>
          <cell r="H49">
            <v>207761.9</v>
          </cell>
          <cell r="I49">
            <v>230347.75</v>
          </cell>
          <cell r="J49">
            <v>255683.02</v>
          </cell>
          <cell r="K49">
            <v>204369.23</v>
          </cell>
          <cell r="L49">
            <v>218449.63</v>
          </cell>
          <cell r="M49">
            <v>233450.42</v>
          </cell>
          <cell r="N49">
            <v>233884.72</v>
          </cell>
          <cell r="O49">
            <v>208318.47</v>
          </cell>
          <cell r="P49">
            <v>207804.11</v>
          </cell>
          <cell r="Q49">
            <v>229790.42</v>
          </cell>
          <cell r="R49">
            <v>221872.05</v>
          </cell>
          <cell r="S49">
            <v>240321.46</v>
          </cell>
          <cell r="T49">
            <v>239432.09</v>
          </cell>
          <cell r="U49">
            <v>212940.27</v>
          </cell>
          <cell r="V49">
            <v>230697.09</v>
          </cell>
          <cell r="W49">
            <v>219759.32</v>
          </cell>
          <cell r="X49">
            <v>232305.47</v>
          </cell>
          <cell r="Y49">
            <v>210097.81</v>
          </cell>
          <cell r="Z49">
            <v>214147.18</v>
          </cell>
          <cell r="AA49">
            <v>238576.17</v>
          </cell>
          <cell r="AB49">
            <v>289737.46999999997</v>
          </cell>
          <cell r="AC49">
            <v>271003.48</v>
          </cell>
          <cell r="AD49">
            <v>264743.69</v>
          </cell>
          <cell r="AE49">
            <v>217500.46</v>
          </cell>
          <cell r="AF49">
            <v>245409.75</v>
          </cell>
          <cell r="AG49">
            <v>216002.68</v>
          </cell>
          <cell r="AH49">
            <v>220617.36</v>
          </cell>
          <cell r="AI49">
            <v>271260.68</v>
          </cell>
          <cell r="AJ49">
            <v>288336.24</v>
          </cell>
          <cell r="AK49">
            <v>233351.71</v>
          </cell>
          <cell r="AL49">
            <v>253031.05</v>
          </cell>
          <cell r="AM49">
            <v>221084.48</v>
          </cell>
          <cell r="AN49">
            <v>228379.31</v>
          </cell>
          <cell r="AO49">
            <v>262656.14</v>
          </cell>
          <cell r="AP49">
            <v>283552.24</v>
          </cell>
          <cell r="AQ49">
            <v>249283.92</v>
          </cell>
          <cell r="AR49">
            <v>273378.37</v>
          </cell>
          <cell r="AS49">
            <v>271565.44</v>
          </cell>
          <cell r="AT49">
            <v>242221.53</v>
          </cell>
          <cell r="AU49">
            <v>247982.83</v>
          </cell>
          <cell r="AV49">
            <v>396224.76</v>
          </cell>
          <cell r="AW49">
            <v>242982.24</v>
          </cell>
          <cell r="AX49">
            <v>267305.03000000003</v>
          </cell>
          <cell r="AY49">
            <v>266116.59000000003</v>
          </cell>
          <cell r="AZ49">
            <v>411152.31</v>
          </cell>
          <cell r="BA49">
            <v>388259.9</v>
          </cell>
          <cell r="BB49">
            <v>232504.35</v>
          </cell>
        </row>
        <row r="50">
          <cell r="A50" t="str">
            <v>ptd</v>
          </cell>
          <cell r="B50">
            <v>206720.16</v>
          </cell>
          <cell r="C50">
            <v>418411.72</v>
          </cell>
          <cell r="D50">
            <v>640874.05999999994</v>
          </cell>
          <cell r="E50">
            <v>828338.14999999991</v>
          </cell>
          <cell r="F50">
            <v>248943.87</v>
          </cell>
          <cell r="G50">
            <v>476651.67</v>
          </cell>
          <cell r="H50">
            <v>684413.57</v>
          </cell>
          <cell r="I50">
            <v>914761.32</v>
          </cell>
          <cell r="J50">
            <v>255683.02</v>
          </cell>
          <cell r="K50">
            <v>460052.25</v>
          </cell>
          <cell r="L50">
            <v>678501.88</v>
          </cell>
          <cell r="M50">
            <v>911952.3</v>
          </cell>
          <cell r="N50">
            <v>233884.72</v>
          </cell>
          <cell r="O50">
            <v>442203.19</v>
          </cell>
          <cell r="P50">
            <v>650007.30000000005</v>
          </cell>
          <cell r="Q50">
            <v>879797.72000000009</v>
          </cell>
          <cell r="R50">
            <v>221872.05</v>
          </cell>
          <cell r="S50">
            <v>462193.51</v>
          </cell>
          <cell r="T50">
            <v>701625.6</v>
          </cell>
          <cell r="U50">
            <v>914565.87</v>
          </cell>
          <cell r="V50">
            <v>230697.09</v>
          </cell>
          <cell r="W50">
            <v>450456.41000000003</v>
          </cell>
          <cell r="X50">
            <v>682761.88</v>
          </cell>
          <cell r="Y50">
            <v>892859.69</v>
          </cell>
          <cell r="Z50">
            <v>214147.18</v>
          </cell>
          <cell r="AA50">
            <v>452723.35</v>
          </cell>
          <cell r="AB50">
            <v>742460.82</v>
          </cell>
          <cell r="AC50">
            <v>1013464.2999999999</v>
          </cell>
          <cell r="AD50">
            <v>264743.69</v>
          </cell>
          <cell r="AE50">
            <v>482244.15</v>
          </cell>
          <cell r="AF50">
            <v>727653.9</v>
          </cell>
          <cell r="AG50">
            <v>943656.58000000007</v>
          </cell>
          <cell r="AH50">
            <v>220617.36</v>
          </cell>
          <cell r="AI50">
            <v>491878.04</v>
          </cell>
          <cell r="AJ50">
            <v>780214.28</v>
          </cell>
          <cell r="AK50">
            <v>1013565.99</v>
          </cell>
          <cell r="AL50">
            <v>253031.05</v>
          </cell>
          <cell r="AM50">
            <v>474115.53</v>
          </cell>
          <cell r="AN50">
            <v>702494.84000000008</v>
          </cell>
          <cell r="AO50">
            <v>965150.9800000001</v>
          </cell>
          <cell r="AP50">
            <v>283552.24</v>
          </cell>
          <cell r="AQ50">
            <v>532836.16</v>
          </cell>
          <cell r="AR50">
            <v>806214.53</v>
          </cell>
          <cell r="AS50">
            <v>1077779.97</v>
          </cell>
          <cell r="AT50">
            <v>242221.53</v>
          </cell>
          <cell r="AU50">
            <v>490204.36</v>
          </cell>
          <cell r="AV50">
            <v>886429.12</v>
          </cell>
          <cell r="AW50">
            <v>1129411.3599999999</v>
          </cell>
          <cell r="AX50">
            <v>267305.03000000003</v>
          </cell>
          <cell r="AY50">
            <v>533421.62000000011</v>
          </cell>
          <cell r="AZ50">
            <v>944573.93000000017</v>
          </cell>
          <cell r="BA50">
            <v>1332833.83</v>
          </cell>
          <cell r="BB50">
            <v>1565338.1800000002</v>
          </cell>
        </row>
        <row r="51">
          <cell r="A51" t="str">
            <v>qtd</v>
          </cell>
          <cell r="B51">
            <v>206720.16</v>
          </cell>
          <cell r="C51">
            <v>418411.72</v>
          </cell>
          <cell r="D51">
            <v>640874.05999999994</v>
          </cell>
          <cell r="E51">
            <v>828338.14999999991</v>
          </cell>
          <cell r="F51">
            <v>1077282.02</v>
          </cell>
          <cell r="G51">
            <v>1304989.82</v>
          </cell>
          <cell r="H51">
            <v>1512751.72</v>
          </cell>
          <cell r="I51">
            <v>1743099.47</v>
          </cell>
          <cell r="J51">
            <v>1998782.49</v>
          </cell>
          <cell r="K51">
            <v>2203151.7200000002</v>
          </cell>
          <cell r="L51">
            <v>2421601.35</v>
          </cell>
          <cell r="M51">
            <v>2655051.77</v>
          </cell>
          <cell r="N51">
            <v>233884.72</v>
          </cell>
          <cell r="O51">
            <v>442203.19</v>
          </cell>
          <cell r="P51">
            <v>650007.30000000005</v>
          </cell>
          <cell r="Q51">
            <v>879797.72000000009</v>
          </cell>
          <cell r="R51">
            <v>1101669.77</v>
          </cell>
          <cell r="S51">
            <v>1341991.23</v>
          </cell>
          <cell r="T51">
            <v>1581423.32</v>
          </cell>
          <cell r="U51">
            <v>1794363.59</v>
          </cell>
          <cell r="V51">
            <v>2025060.6800000002</v>
          </cell>
          <cell r="W51">
            <v>2244820</v>
          </cell>
          <cell r="X51">
            <v>2477125.4700000002</v>
          </cell>
          <cell r="Y51">
            <v>2687223.2800000003</v>
          </cell>
          <cell r="Z51">
            <v>214147.18</v>
          </cell>
          <cell r="AA51">
            <v>452723.35</v>
          </cell>
          <cell r="AB51">
            <v>742460.82</v>
          </cell>
          <cell r="AC51">
            <v>1013464.2999999999</v>
          </cell>
          <cell r="AD51">
            <v>1278207.99</v>
          </cell>
          <cell r="AE51">
            <v>1495708.45</v>
          </cell>
          <cell r="AF51">
            <v>1741118.2</v>
          </cell>
          <cell r="AG51">
            <v>1957120.88</v>
          </cell>
          <cell r="AH51">
            <v>2177738.2399999998</v>
          </cell>
          <cell r="AI51">
            <v>2448998.92</v>
          </cell>
          <cell r="AJ51">
            <v>2737335.16</v>
          </cell>
          <cell r="AK51">
            <v>2970686.87</v>
          </cell>
          <cell r="AL51">
            <v>253031.05</v>
          </cell>
          <cell r="AM51">
            <v>474115.53</v>
          </cell>
          <cell r="AN51">
            <v>702494.84000000008</v>
          </cell>
          <cell r="AO51">
            <v>965150.9800000001</v>
          </cell>
          <cell r="AP51">
            <v>1248703.2200000002</v>
          </cell>
          <cell r="AQ51">
            <v>1497987.1400000001</v>
          </cell>
          <cell r="AR51">
            <v>1771365.5100000002</v>
          </cell>
          <cell r="AS51">
            <v>2042930.9500000002</v>
          </cell>
          <cell r="AT51">
            <v>2285152.48</v>
          </cell>
          <cell r="AU51">
            <v>2533135.31</v>
          </cell>
          <cell r="AV51">
            <v>2929360.0700000003</v>
          </cell>
          <cell r="AW51">
            <v>3172342.3100000005</v>
          </cell>
          <cell r="AX51">
            <v>3439647.3400000008</v>
          </cell>
          <cell r="AY51">
            <v>3705763.9300000006</v>
          </cell>
          <cell r="AZ51">
            <v>4116916.2400000007</v>
          </cell>
          <cell r="BA51">
            <v>4505176.1400000006</v>
          </cell>
          <cell r="BB51">
            <v>4737680.49</v>
          </cell>
        </row>
        <row r="52">
          <cell r="A52" t="str">
            <v>ytd</v>
          </cell>
          <cell r="B52">
            <v>206720.16</v>
          </cell>
          <cell r="C52">
            <v>418411.72</v>
          </cell>
          <cell r="D52">
            <v>640874.05999999994</v>
          </cell>
          <cell r="E52">
            <v>828338.14999999991</v>
          </cell>
          <cell r="F52">
            <v>1077282.02</v>
          </cell>
          <cell r="G52">
            <v>1304989.82</v>
          </cell>
          <cell r="H52">
            <v>1512751.72</v>
          </cell>
          <cell r="I52">
            <v>1743099.47</v>
          </cell>
          <cell r="J52">
            <v>1998782.49</v>
          </cell>
          <cell r="K52">
            <v>2203151.7200000002</v>
          </cell>
          <cell r="L52">
            <v>2421601.35</v>
          </cell>
          <cell r="M52">
            <v>2655051.77</v>
          </cell>
          <cell r="N52">
            <v>2888936.49</v>
          </cell>
          <cell r="O52">
            <v>3097254.9600000004</v>
          </cell>
          <cell r="P52">
            <v>3305059.0700000003</v>
          </cell>
          <cell r="Q52">
            <v>3534849.49</v>
          </cell>
          <cell r="R52">
            <v>3756721.54</v>
          </cell>
          <cell r="S52">
            <v>3997043</v>
          </cell>
          <cell r="T52">
            <v>4236475.09</v>
          </cell>
          <cell r="U52">
            <v>4449415.3599999994</v>
          </cell>
          <cell r="V52">
            <v>4680112.4499999993</v>
          </cell>
          <cell r="W52">
            <v>4899871.7699999996</v>
          </cell>
          <cell r="X52">
            <v>5132177.2399999993</v>
          </cell>
          <cell r="Y52">
            <v>5342275.0499999989</v>
          </cell>
          <cell r="Z52">
            <v>5556422.2299999986</v>
          </cell>
          <cell r="AA52">
            <v>5794998.3999999985</v>
          </cell>
          <cell r="AB52">
            <v>6084735.8699999982</v>
          </cell>
          <cell r="AC52">
            <v>6355739.3499999978</v>
          </cell>
          <cell r="AD52">
            <v>6620483.0399999982</v>
          </cell>
          <cell r="AE52">
            <v>6837983.4999999981</v>
          </cell>
          <cell r="AF52">
            <v>7083393.2499999981</v>
          </cell>
          <cell r="AG52">
            <v>7299395.9299999978</v>
          </cell>
          <cell r="AH52">
            <v>7520013.2899999982</v>
          </cell>
          <cell r="AI52">
            <v>7791273.9699999979</v>
          </cell>
          <cell r="AJ52">
            <v>8079610.2099999981</v>
          </cell>
          <cell r="AK52">
            <v>8312961.9199999981</v>
          </cell>
          <cell r="AL52">
            <v>8565992.9699999988</v>
          </cell>
          <cell r="AM52">
            <v>8787077.4499999993</v>
          </cell>
          <cell r="AN52">
            <v>9015456.7599999998</v>
          </cell>
          <cell r="AO52">
            <v>9278112.9000000004</v>
          </cell>
          <cell r="AP52">
            <v>9561665.1400000006</v>
          </cell>
          <cell r="AQ52">
            <v>9810949.0600000005</v>
          </cell>
          <cell r="AR52">
            <v>10084327.43</v>
          </cell>
          <cell r="AS52">
            <v>10355892.869999999</v>
          </cell>
          <cell r="AT52">
            <v>10598114.399999999</v>
          </cell>
          <cell r="AU52">
            <v>10846097.229999999</v>
          </cell>
          <cell r="AV52">
            <v>11242321.989999998</v>
          </cell>
          <cell r="AW52">
            <v>11485304.229999999</v>
          </cell>
          <cell r="AX52">
            <v>11752609.259999998</v>
          </cell>
          <cell r="AY52">
            <v>12018725.849999998</v>
          </cell>
          <cell r="AZ52">
            <v>12429878.159999998</v>
          </cell>
          <cell r="BA52">
            <v>12818138.059999999</v>
          </cell>
          <cell r="BB52">
            <v>13050642.409999998</v>
          </cell>
        </row>
        <row r="53">
          <cell r="A53" t="str">
            <v>PREG</v>
          </cell>
          <cell r="B53">
            <v>306350</v>
          </cell>
          <cell r="C53">
            <v>287200</v>
          </cell>
          <cell r="D53">
            <v>306125</v>
          </cell>
          <cell r="E53">
            <v>264075</v>
          </cell>
          <cell r="F53">
            <v>304600</v>
          </cell>
          <cell r="G53">
            <v>296000</v>
          </cell>
          <cell r="H53">
            <v>339725</v>
          </cell>
          <cell r="I53">
            <v>293325</v>
          </cell>
          <cell r="J53">
            <v>332325</v>
          </cell>
          <cell r="K53">
            <v>300350</v>
          </cell>
          <cell r="L53">
            <v>364200</v>
          </cell>
          <cell r="M53">
            <v>468325</v>
          </cell>
          <cell r="N53">
            <v>293500</v>
          </cell>
          <cell r="O53">
            <v>353975</v>
          </cell>
          <cell r="P53">
            <v>336825</v>
          </cell>
          <cell r="Q53">
            <v>363700</v>
          </cell>
          <cell r="R53">
            <v>432800</v>
          </cell>
          <cell r="S53">
            <v>439675</v>
          </cell>
          <cell r="T53">
            <v>582100</v>
          </cell>
          <cell r="U53">
            <v>536125</v>
          </cell>
          <cell r="V53">
            <v>515925</v>
          </cell>
          <cell r="W53">
            <v>546950</v>
          </cell>
          <cell r="X53">
            <v>655925</v>
          </cell>
          <cell r="Y53">
            <v>683525</v>
          </cell>
          <cell r="Z53">
            <v>549750</v>
          </cell>
          <cell r="AA53">
            <v>503950</v>
          </cell>
          <cell r="AB53">
            <v>490150</v>
          </cell>
          <cell r="AC53">
            <v>489550</v>
          </cell>
          <cell r="AD53">
            <v>484800</v>
          </cell>
          <cell r="AE53">
            <v>471450</v>
          </cell>
          <cell r="AF53">
            <v>480600</v>
          </cell>
          <cell r="AG53">
            <v>483850</v>
          </cell>
          <cell r="AH53">
            <v>479600</v>
          </cell>
          <cell r="AI53">
            <v>523625</v>
          </cell>
          <cell r="AJ53">
            <v>497100</v>
          </cell>
          <cell r="AK53">
            <v>423150</v>
          </cell>
          <cell r="AL53">
            <v>472475</v>
          </cell>
          <cell r="AM53">
            <v>430250</v>
          </cell>
          <cell r="AN53">
            <v>427875</v>
          </cell>
          <cell r="AO53">
            <v>407875</v>
          </cell>
          <cell r="AP53">
            <v>425750</v>
          </cell>
          <cell r="AQ53">
            <v>432700</v>
          </cell>
          <cell r="AR53">
            <v>450425</v>
          </cell>
          <cell r="AS53">
            <v>413450</v>
          </cell>
          <cell r="AT53">
            <v>400625</v>
          </cell>
          <cell r="AU53">
            <v>430750</v>
          </cell>
          <cell r="AV53">
            <v>547975</v>
          </cell>
          <cell r="AW53">
            <v>627100</v>
          </cell>
          <cell r="AX53">
            <v>966325</v>
          </cell>
          <cell r="AY53">
            <v>1623975</v>
          </cell>
          <cell r="AZ53">
            <v>2890925</v>
          </cell>
          <cell r="BA53">
            <v>2877050</v>
          </cell>
          <cell r="BB53">
            <v>362175</v>
          </cell>
        </row>
        <row r="54">
          <cell r="A54" t="str">
            <v>ptd</v>
          </cell>
          <cell r="B54">
            <v>306350</v>
          </cell>
          <cell r="C54">
            <v>593550</v>
          </cell>
          <cell r="D54">
            <v>899675</v>
          </cell>
          <cell r="E54">
            <v>1163750</v>
          </cell>
          <cell r="F54">
            <v>304600</v>
          </cell>
          <cell r="G54">
            <v>600600</v>
          </cell>
          <cell r="H54">
            <v>940325</v>
          </cell>
          <cell r="I54">
            <v>1233650</v>
          </cell>
          <cell r="J54">
            <v>332325</v>
          </cell>
          <cell r="K54">
            <v>632675</v>
          </cell>
          <cell r="L54">
            <v>996875</v>
          </cell>
          <cell r="M54">
            <v>1465200</v>
          </cell>
          <cell r="N54">
            <v>293500</v>
          </cell>
          <cell r="O54">
            <v>647475</v>
          </cell>
          <cell r="P54">
            <v>984300</v>
          </cell>
          <cell r="Q54">
            <v>1348000</v>
          </cell>
          <cell r="R54">
            <v>432800</v>
          </cell>
          <cell r="S54">
            <v>872475</v>
          </cell>
          <cell r="T54">
            <v>1454575</v>
          </cell>
          <cell r="U54">
            <v>1990700</v>
          </cell>
          <cell r="V54">
            <v>515925</v>
          </cell>
          <cell r="W54">
            <v>1062875</v>
          </cell>
          <cell r="X54">
            <v>1718800</v>
          </cell>
          <cell r="Y54">
            <v>2402325</v>
          </cell>
          <cell r="Z54">
            <v>549750</v>
          </cell>
          <cell r="AA54">
            <v>1053700</v>
          </cell>
          <cell r="AB54">
            <v>1543850</v>
          </cell>
          <cell r="AC54">
            <v>2033400</v>
          </cell>
          <cell r="AD54">
            <v>484800</v>
          </cell>
          <cell r="AE54">
            <v>956250</v>
          </cell>
          <cell r="AF54">
            <v>1436850</v>
          </cell>
          <cell r="AG54">
            <v>1920700</v>
          </cell>
          <cell r="AH54">
            <v>479600</v>
          </cell>
          <cell r="AI54">
            <v>1003225</v>
          </cell>
          <cell r="AJ54">
            <v>1500325</v>
          </cell>
          <cell r="AK54">
            <v>1923475</v>
          </cell>
          <cell r="AL54">
            <v>472475</v>
          </cell>
          <cell r="AM54">
            <v>902725</v>
          </cell>
          <cell r="AN54">
            <v>1330600</v>
          </cell>
          <cell r="AO54">
            <v>1738475</v>
          </cell>
          <cell r="AP54">
            <v>425750</v>
          </cell>
          <cell r="AQ54">
            <v>858450</v>
          </cell>
          <cell r="AR54">
            <v>1308875</v>
          </cell>
          <cell r="AS54">
            <v>1722325</v>
          </cell>
          <cell r="AT54">
            <v>400625</v>
          </cell>
          <cell r="AU54">
            <v>831375</v>
          </cell>
          <cell r="AV54">
            <v>1379350</v>
          </cell>
          <cell r="AW54">
            <v>2006450</v>
          </cell>
          <cell r="AX54">
            <v>966325</v>
          </cell>
          <cell r="AY54">
            <v>2590300</v>
          </cell>
          <cell r="AZ54">
            <v>5481225</v>
          </cell>
          <cell r="BA54">
            <v>8358275</v>
          </cell>
          <cell r="BB54">
            <v>8720450</v>
          </cell>
        </row>
        <row r="55">
          <cell r="A55" t="str">
            <v>qtd</v>
          </cell>
          <cell r="B55">
            <v>306350</v>
          </cell>
          <cell r="C55">
            <v>593550</v>
          </cell>
          <cell r="D55">
            <v>899675</v>
          </cell>
          <cell r="E55">
            <v>1163750</v>
          </cell>
          <cell r="F55">
            <v>1468350</v>
          </cell>
          <cell r="G55">
            <v>1764350</v>
          </cell>
          <cell r="H55">
            <v>2104075</v>
          </cell>
          <cell r="I55">
            <v>2397400</v>
          </cell>
          <cell r="J55">
            <v>2729725</v>
          </cell>
          <cell r="K55">
            <v>3030075</v>
          </cell>
          <cell r="L55">
            <v>3394275</v>
          </cell>
          <cell r="M55">
            <v>3862600</v>
          </cell>
          <cell r="N55">
            <v>293500</v>
          </cell>
          <cell r="O55">
            <v>647475</v>
          </cell>
          <cell r="P55">
            <v>984300</v>
          </cell>
          <cell r="Q55">
            <v>1348000</v>
          </cell>
          <cell r="R55">
            <v>1780800</v>
          </cell>
          <cell r="S55">
            <v>2220475</v>
          </cell>
          <cell r="T55">
            <v>2802575</v>
          </cell>
          <cell r="U55">
            <v>3338700</v>
          </cell>
          <cell r="V55">
            <v>3854625</v>
          </cell>
          <cell r="W55">
            <v>4401575</v>
          </cell>
          <cell r="X55">
            <v>5057500</v>
          </cell>
          <cell r="Y55">
            <v>5741025</v>
          </cell>
          <cell r="Z55">
            <v>549750</v>
          </cell>
          <cell r="AA55">
            <v>1053700</v>
          </cell>
          <cell r="AB55">
            <v>1543850</v>
          </cell>
          <cell r="AC55">
            <v>2033400</v>
          </cell>
          <cell r="AD55">
            <v>2518200</v>
          </cell>
          <cell r="AE55">
            <v>2989650</v>
          </cell>
          <cell r="AF55">
            <v>3470250</v>
          </cell>
          <cell r="AG55">
            <v>3954100</v>
          </cell>
          <cell r="AH55">
            <v>4433700</v>
          </cell>
          <cell r="AI55">
            <v>4957325</v>
          </cell>
          <cell r="AJ55">
            <v>5454425</v>
          </cell>
          <cell r="AK55">
            <v>5877575</v>
          </cell>
          <cell r="AL55">
            <v>472475</v>
          </cell>
          <cell r="AM55">
            <v>902725</v>
          </cell>
          <cell r="AN55">
            <v>1330600</v>
          </cell>
          <cell r="AO55">
            <v>1738475</v>
          </cell>
          <cell r="AP55">
            <v>2164225</v>
          </cell>
          <cell r="AQ55">
            <v>2596925</v>
          </cell>
          <cell r="AR55">
            <v>3047350</v>
          </cell>
          <cell r="AS55">
            <v>3460800</v>
          </cell>
          <cell r="AT55">
            <v>3861425</v>
          </cell>
          <cell r="AU55">
            <v>4292175</v>
          </cell>
          <cell r="AV55">
            <v>4840150</v>
          </cell>
          <cell r="AW55">
            <v>5467250</v>
          </cell>
          <cell r="AX55">
            <v>6433575</v>
          </cell>
          <cell r="AY55">
            <v>8057550</v>
          </cell>
          <cell r="AZ55">
            <v>10948475</v>
          </cell>
          <cell r="BA55">
            <v>13825525</v>
          </cell>
          <cell r="BB55">
            <v>14187700</v>
          </cell>
        </row>
        <row r="56">
          <cell r="A56" t="str">
            <v>ytd</v>
          </cell>
          <cell r="B56">
            <v>306350</v>
          </cell>
          <cell r="C56">
            <v>593550</v>
          </cell>
          <cell r="D56">
            <v>899675</v>
          </cell>
          <cell r="E56">
            <v>1163750</v>
          </cell>
          <cell r="F56">
            <v>1468350</v>
          </cell>
          <cell r="G56">
            <v>1764350</v>
          </cell>
          <cell r="H56">
            <v>2104075</v>
          </cell>
          <cell r="I56">
            <v>2397400</v>
          </cell>
          <cell r="J56">
            <v>2729725</v>
          </cell>
          <cell r="K56">
            <v>3030075</v>
          </cell>
          <cell r="L56">
            <v>3394275</v>
          </cell>
          <cell r="M56">
            <v>3862600</v>
          </cell>
          <cell r="N56">
            <v>4156100</v>
          </cell>
          <cell r="O56">
            <v>4510075</v>
          </cell>
          <cell r="P56">
            <v>4846900</v>
          </cell>
          <cell r="Q56">
            <v>5210600</v>
          </cell>
          <cell r="R56">
            <v>5643400</v>
          </cell>
          <cell r="S56">
            <v>6083075</v>
          </cell>
          <cell r="T56">
            <v>6665175</v>
          </cell>
          <cell r="U56">
            <v>7201300</v>
          </cell>
          <cell r="V56">
            <v>7717225</v>
          </cell>
          <cell r="W56">
            <v>8264175</v>
          </cell>
          <cell r="X56">
            <v>8920100</v>
          </cell>
          <cell r="Y56">
            <v>9603625</v>
          </cell>
          <cell r="Z56">
            <v>10153375</v>
          </cell>
          <cell r="AA56">
            <v>10657325</v>
          </cell>
          <cell r="AB56">
            <v>11147475</v>
          </cell>
          <cell r="AC56">
            <v>11637025</v>
          </cell>
          <cell r="AD56">
            <v>12121825</v>
          </cell>
          <cell r="AE56">
            <v>12593275</v>
          </cell>
          <cell r="AF56">
            <v>13073875</v>
          </cell>
          <cell r="AG56">
            <v>13557725</v>
          </cell>
          <cell r="AH56">
            <v>14037325</v>
          </cell>
          <cell r="AI56">
            <v>14560950</v>
          </cell>
          <cell r="AJ56">
            <v>15058050</v>
          </cell>
          <cell r="AK56">
            <v>15481200</v>
          </cell>
          <cell r="AL56">
            <v>15953675</v>
          </cell>
          <cell r="AM56">
            <v>16383925</v>
          </cell>
          <cell r="AN56">
            <v>16811800</v>
          </cell>
          <cell r="AO56">
            <v>17219675</v>
          </cell>
          <cell r="AP56">
            <v>17645425</v>
          </cell>
          <cell r="AQ56">
            <v>18078125</v>
          </cell>
          <cell r="AR56">
            <v>18528550</v>
          </cell>
          <cell r="AS56">
            <v>18942000</v>
          </cell>
          <cell r="AT56">
            <v>19342625</v>
          </cell>
          <cell r="AU56">
            <v>19773375</v>
          </cell>
          <cell r="AV56">
            <v>20321350</v>
          </cell>
          <cell r="AW56">
            <v>20948450</v>
          </cell>
          <cell r="AX56">
            <v>21914775</v>
          </cell>
          <cell r="AY56">
            <v>23538750</v>
          </cell>
          <cell r="AZ56">
            <v>26429675</v>
          </cell>
          <cell r="BA56">
            <v>29306725</v>
          </cell>
          <cell r="BB56">
            <v>29668900</v>
          </cell>
        </row>
        <row r="57">
          <cell r="A57" t="str">
            <v>SPRT</v>
          </cell>
          <cell r="B57">
            <v>28675</v>
          </cell>
          <cell r="C57">
            <v>34225</v>
          </cell>
          <cell r="D57">
            <v>24200</v>
          </cell>
          <cell r="E57">
            <v>28850</v>
          </cell>
          <cell r="F57">
            <v>34625</v>
          </cell>
          <cell r="G57">
            <v>49900</v>
          </cell>
          <cell r="H57">
            <v>45325</v>
          </cell>
          <cell r="I57">
            <v>38200</v>
          </cell>
          <cell r="J57">
            <v>39450</v>
          </cell>
          <cell r="K57">
            <v>38950</v>
          </cell>
          <cell r="L57">
            <v>47975</v>
          </cell>
          <cell r="M57">
            <v>60150</v>
          </cell>
          <cell r="N57">
            <v>48525</v>
          </cell>
          <cell r="O57">
            <v>60300</v>
          </cell>
          <cell r="P57">
            <v>49500</v>
          </cell>
          <cell r="Q57">
            <v>49375</v>
          </cell>
          <cell r="R57">
            <v>56700</v>
          </cell>
          <cell r="S57">
            <v>60975</v>
          </cell>
          <cell r="T57">
            <v>87425</v>
          </cell>
          <cell r="U57">
            <v>67175</v>
          </cell>
          <cell r="V57">
            <v>67900</v>
          </cell>
          <cell r="W57">
            <v>64075</v>
          </cell>
          <cell r="X57">
            <v>88150</v>
          </cell>
          <cell r="Y57">
            <v>110275</v>
          </cell>
          <cell r="Z57">
            <v>72675</v>
          </cell>
          <cell r="AA57">
            <v>56750</v>
          </cell>
          <cell r="AB57">
            <v>53775</v>
          </cell>
          <cell r="AC57">
            <v>61600</v>
          </cell>
          <cell r="AD57">
            <v>49650</v>
          </cell>
          <cell r="AE57">
            <v>62600</v>
          </cell>
          <cell r="AF57">
            <v>57775</v>
          </cell>
          <cell r="AG57">
            <v>74050</v>
          </cell>
          <cell r="AH57">
            <v>74425</v>
          </cell>
          <cell r="AI57">
            <v>64100</v>
          </cell>
          <cell r="AJ57">
            <v>72800</v>
          </cell>
          <cell r="AK57">
            <v>41475</v>
          </cell>
          <cell r="AL57">
            <v>59975</v>
          </cell>
          <cell r="AM57">
            <v>52675</v>
          </cell>
          <cell r="AN57">
            <v>37175</v>
          </cell>
          <cell r="AO57">
            <v>38650</v>
          </cell>
          <cell r="AP57">
            <v>39900</v>
          </cell>
          <cell r="AQ57">
            <v>42525</v>
          </cell>
          <cell r="AR57">
            <v>41075</v>
          </cell>
          <cell r="AS57">
            <v>42050</v>
          </cell>
          <cell r="AT57">
            <v>40225</v>
          </cell>
          <cell r="AU57">
            <v>62125</v>
          </cell>
          <cell r="AV57">
            <v>72400</v>
          </cell>
          <cell r="AW57">
            <v>88475</v>
          </cell>
          <cell r="AX57">
            <v>150050</v>
          </cell>
          <cell r="AY57">
            <v>209525</v>
          </cell>
          <cell r="AZ57">
            <v>340400</v>
          </cell>
          <cell r="BA57">
            <v>375100</v>
          </cell>
          <cell r="BB57">
            <v>46700</v>
          </cell>
        </row>
        <row r="58">
          <cell r="A58" t="str">
            <v>ptd</v>
          </cell>
          <cell r="B58">
            <v>28675</v>
          </cell>
          <cell r="C58">
            <v>62900</v>
          </cell>
          <cell r="D58">
            <v>87100</v>
          </cell>
          <cell r="E58">
            <v>115950</v>
          </cell>
          <cell r="F58">
            <v>34625</v>
          </cell>
          <cell r="G58">
            <v>84525</v>
          </cell>
          <cell r="H58">
            <v>129850</v>
          </cell>
          <cell r="I58">
            <v>168050</v>
          </cell>
          <cell r="J58">
            <v>39450</v>
          </cell>
          <cell r="K58">
            <v>78400</v>
          </cell>
          <cell r="L58">
            <v>126375</v>
          </cell>
          <cell r="M58">
            <v>186525</v>
          </cell>
          <cell r="N58">
            <v>48525</v>
          </cell>
          <cell r="O58">
            <v>108825</v>
          </cell>
          <cell r="P58">
            <v>158325</v>
          </cell>
          <cell r="Q58">
            <v>207700</v>
          </cell>
          <cell r="R58">
            <v>56700</v>
          </cell>
          <cell r="S58">
            <v>117675</v>
          </cell>
          <cell r="T58">
            <v>205100</v>
          </cell>
          <cell r="U58">
            <v>272275</v>
          </cell>
          <cell r="V58">
            <v>67900</v>
          </cell>
          <cell r="W58">
            <v>131975</v>
          </cell>
          <cell r="X58">
            <v>220125</v>
          </cell>
          <cell r="Y58">
            <v>330400</v>
          </cell>
          <cell r="Z58">
            <v>72675</v>
          </cell>
          <cell r="AA58">
            <v>129425</v>
          </cell>
          <cell r="AB58">
            <v>183200</v>
          </cell>
          <cell r="AC58">
            <v>244800</v>
          </cell>
          <cell r="AD58">
            <v>49650</v>
          </cell>
          <cell r="AE58">
            <v>112250</v>
          </cell>
          <cell r="AF58">
            <v>170025</v>
          </cell>
          <cell r="AG58">
            <v>244075</v>
          </cell>
          <cell r="AH58">
            <v>74425</v>
          </cell>
          <cell r="AI58">
            <v>138525</v>
          </cell>
          <cell r="AJ58">
            <v>211325</v>
          </cell>
          <cell r="AK58">
            <v>252800</v>
          </cell>
          <cell r="AL58">
            <v>59975</v>
          </cell>
          <cell r="AM58">
            <v>112650</v>
          </cell>
          <cell r="AN58">
            <v>149825</v>
          </cell>
          <cell r="AO58">
            <v>188475</v>
          </cell>
          <cell r="AP58">
            <v>39900</v>
          </cell>
          <cell r="AQ58">
            <v>82425</v>
          </cell>
          <cell r="AR58">
            <v>123500</v>
          </cell>
          <cell r="AS58">
            <v>165550</v>
          </cell>
          <cell r="AT58">
            <v>40225</v>
          </cell>
          <cell r="AU58">
            <v>102350</v>
          </cell>
          <cell r="AV58">
            <v>174750</v>
          </cell>
          <cell r="AW58">
            <v>263225</v>
          </cell>
          <cell r="AX58">
            <v>150050</v>
          </cell>
          <cell r="AY58">
            <v>359575</v>
          </cell>
          <cell r="AZ58">
            <v>699975</v>
          </cell>
          <cell r="BA58">
            <v>1075075</v>
          </cell>
          <cell r="BB58">
            <v>1121775</v>
          </cell>
        </row>
        <row r="59">
          <cell r="A59" t="str">
            <v>qtd</v>
          </cell>
          <cell r="B59">
            <v>28675</v>
          </cell>
          <cell r="C59">
            <v>62900</v>
          </cell>
          <cell r="D59">
            <v>87100</v>
          </cell>
          <cell r="E59">
            <v>115950</v>
          </cell>
          <cell r="F59">
            <v>150575</v>
          </cell>
          <cell r="G59">
            <v>200475</v>
          </cell>
          <cell r="H59">
            <v>245800</v>
          </cell>
          <cell r="I59">
            <v>284000</v>
          </cell>
          <cell r="J59">
            <v>323450</v>
          </cell>
          <cell r="K59">
            <v>362400</v>
          </cell>
          <cell r="L59">
            <v>410375</v>
          </cell>
          <cell r="M59">
            <v>470525</v>
          </cell>
          <cell r="N59">
            <v>48525</v>
          </cell>
          <cell r="O59">
            <v>108825</v>
          </cell>
          <cell r="P59">
            <v>158325</v>
          </cell>
          <cell r="Q59">
            <v>207700</v>
          </cell>
          <cell r="R59">
            <v>264400</v>
          </cell>
          <cell r="S59">
            <v>325375</v>
          </cell>
          <cell r="T59">
            <v>412800</v>
          </cell>
          <cell r="U59">
            <v>479975</v>
          </cell>
          <cell r="V59">
            <v>547875</v>
          </cell>
          <cell r="W59">
            <v>611950</v>
          </cell>
          <cell r="X59">
            <v>700100</v>
          </cell>
          <cell r="Y59">
            <v>810375</v>
          </cell>
          <cell r="Z59">
            <v>72675</v>
          </cell>
          <cell r="AA59">
            <v>129425</v>
          </cell>
          <cell r="AB59">
            <v>183200</v>
          </cell>
          <cell r="AC59">
            <v>244800</v>
          </cell>
          <cell r="AD59">
            <v>294450</v>
          </cell>
          <cell r="AE59">
            <v>357050</v>
          </cell>
          <cell r="AF59">
            <v>414825</v>
          </cell>
          <cell r="AG59">
            <v>488875</v>
          </cell>
          <cell r="AH59">
            <v>563300</v>
          </cell>
          <cell r="AI59">
            <v>627400</v>
          </cell>
          <cell r="AJ59">
            <v>700200</v>
          </cell>
          <cell r="AK59">
            <v>741675</v>
          </cell>
          <cell r="AL59">
            <v>59975</v>
          </cell>
          <cell r="AM59">
            <v>112650</v>
          </cell>
          <cell r="AN59">
            <v>149825</v>
          </cell>
          <cell r="AO59">
            <v>188475</v>
          </cell>
          <cell r="AP59">
            <v>228375</v>
          </cell>
          <cell r="AQ59">
            <v>270900</v>
          </cell>
          <cell r="AR59">
            <v>311975</v>
          </cell>
          <cell r="AS59">
            <v>354025</v>
          </cell>
          <cell r="AT59">
            <v>394250</v>
          </cell>
          <cell r="AU59">
            <v>456375</v>
          </cell>
          <cell r="AV59">
            <v>528775</v>
          </cell>
          <cell r="AW59">
            <v>617250</v>
          </cell>
          <cell r="AX59">
            <v>767300</v>
          </cell>
          <cell r="AY59">
            <v>976825</v>
          </cell>
          <cell r="AZ59">
            <v>1317225</v>
          </cell>
          <cell r="BA59">
            <v>1692325</v>
          </cell>
          <cell r="BB59">
            <v>1739025</v>
          </cell>
        </row>
        <row r="60">
          <cell r="A60" t="str">
            <v>ytd</v>
          </cell>
          <cell r="B60">
            <v>28675</v>
          </cell>
          <cell r="C60">
            <v>62900</v>
          </cell>
          <cell r="D60">
            <v>87100</v>
          </cell>
          <cell r="E60">
            <v>115950</v>
          </cell>
          <cell r="F60">
            <v>150575</v>
          </cell>
          <cell r="G60">
            <v>200475</v>
          </cell>
          <cell r="H60">
            <v>245800</v>
          </cell>
          <cell r="I60">
            <v>284000</v>
          </cell>
          <cell r="J60">
            <v>323450</v>
          </cell>
          <cell r="K60">
            <v>362400</v>
          </cell>
          <cell r="L60">
            <v>410375</v>
          </cell>
          <cell r="M60">
            <v>470525</v>
          </cell>
          <cell r="N60">
            <v>519050</v>
          </cell>
          <cell r="O60">
            <v>579350</v>
          </cell>
          <cell r="P60">
            <v>628850</v>
          </cell>
          <cell r="Q60">
            <v>678225</v>
          </cell>
          <cell r="R60">
            <v>734925</v>
          </cell>
          <cell r="S60">
            <v>795900</v>
          </cell>
          <cell r="T60">
            <v>883325</v>
          </cell>
          <cell r="U60">
            <v>950500</v>
          </cell>
          <cell r="V60">
            <v>1018400</v>
          </cell>
          <cell r="W60">
            <v>1082475</v>
          </cell>
          <cell r="X60">
            <v>1170625</v>
          </cell>
          <cell r="Y60">
            <v>1280900</v>
          </cell>
          <cell r="Z60">
            <v>1353575</v>
          </cell>
          <cell r="AA60">
            <v>1410325</v>
          </cell>
          <cell r="AB60">
            <v>1464100</v>
          </cell>
          <cell r="AC60">
            <v>1525700</v>
          </cell>
          <cell r="AD60">
            <v>1575350</v>
          </cell>
          <cell r="AE60">
            <v>1637950</v>
          </cell>
          <cell r="AF60">
            <v>1695725</v>
          </cell>
          <cell r="AG60">
            <v>1769775</v>
          </cell>
          <cell r="AH60">
            <v>1844200</v>
          </cell>
          <cell r="AI60">
            <v>1908300</v>
          </cell>
          <cell r="AJ60">
            <v>1981100</v>
          </cell>
          <cell r="AK60">
            <v>2022575</v>
          </cell>
          <cell r="AL60">
            <v>2082550</v>
          </cell>
          <cell r="AM60">
            <v>2135225</v>
          </cell>
          <cell r="AN60">
            <v>2172400</v>
          </cell>
          <cell r="AO60">
            <v>2211050</v>
          </cell>
          <cell r="AP60">
            <v>2250950</v>
          </cell>
          <cell r="AQ60">
            <v>2293475</v>
          </cell>
          <cell r="AR60">
            <v>2334550</v>
          </cell>
          <cell r="AS60">
            <v>2376600</v>
          </cell>
          <cell r="AT60">
            <v>2416825</v>
          </cell>
          <cell r="AU60">
            <v>2478950</v>
          </cell>
          <cell r="AV60">
            <v>2551350</v>
          </cell>
          <cell r="AW60">
            <v>2639825</v>
          </cell>
          <cell r="AX60">
            <v>2789875</v>
          </cell>
          <cell r="AY60">
            <v>2999400</v>
          </cell>
          <cell r="AZ60">
            <v>3339800</v>
          </cell>
          <cell r="BA60">
            <v>3714900</v>
          </cell>
          <cell r="BB60">
            <v>3761600</v>
          </cell>
        </row>
        <row r="61">
          <cell r="A61" t="str">
            <v>TELE</v>
          </cell>
          <cell r="B61">
            <v>163321.29</v>
          </cell>
          <cell r="C61">
            <v>156667.44</v>
          </cell>
          <cell r="D61">
            <v>160666.23999999999</v>
          </cell>
          <cell r="E61">
            <v>158111.15</v>
          </cell>
          <cell r="F61">
            <v>177948.26</v>
          </cell>
          <cell r="G61">
            <v>177988.02</v>
          </cell>
          <cell r="H61">
            <v>173318.11</v>
          </cell>
          <cell r="I61">
            <v>168974.33</v>
          </cell>
          <cell r="J61">
            <v>181155.68</v>
          </cell>
          <cell r="K61">
            <v>186090.56</v>
          </cell>
          <cell r="L61">
            <v>193848.92</v>
          </cell>
          <cell r="M61">
            <v>196909.1</v>
          </cell>
          <cell r="N61">
            <v>161565.07</v>
          </cell>
          <cell r="O61">
            <v>194148.72</v>
          </cell>
          <cell r="P61">
            <v>180475.26</v>
          </cell>
          <cell r="Q61">
            <v>179901.5</v>
          </cell>
          <cell r="R61">
            <v>183851.48</v>
          </cell>
          <cell r="S61">
            <v>205083.21</v>
          </cell>
          <cell r="T61">
            <v>206732.94</v>
          </cell>
          <cell r="U61">
            <v>209117.53</v>
          </cell>
          <cell r="V61">
            <v>202533.79</v>
          </cell>
          <cell r="W61">
            <v>203832.82</v>
          </cell>
          <cell r="X61">
            <v>212367.46</v>
          </cell>
          <cell r="Y61">
            <v>216866.33</v>
          </cell>
          <cell r="Z61">
            <v>202729.66</v>
          </cell>
          <cell r="AA61">
            <v>208506.32</v>
          </cell>
          <cell r="AB61">
            <v>222609.98</v>
          </cell>
          <cell r="AC61">
            <v>209873.08</v>
          </cell>
          <cell r="AD61">
            <v>199864.41</v>
          </cell>
          <cell r="AE61">
            <v>198723.68</v>
          </cell>
          <cell r="AF61">
            <v>214112</v>
          </cell>
          <cell r="AG61">
            <v>217686.48</v>
          </cell>
          <cell r="AH61">
            <v>208681.33</v>
          </cell>
          <cell r="AI61">
            <v>219740.03</v>
          </cell>
          <cell r="AJ61">
            <v>224493.66</v>
          </cell>
          <cell r="AK61">
            <v>201622.51</v>
          </cell>
          <cell r="AL61">
            <v>194648.6</v>
          </cell>
          <cell r="AM61">
            <v>214880.01</v>
          </cell>
          <cell r="AN61">
            <v>195333.46</v>
          </cell>
          <cell r="AO61">
            <v>218475.45</v>
          </cell>
          <cell r="AP61">
            <v>197009.13</v>
          </cell>
          <cell r="AQ61">
            <v>209215.58</v>
          </cell>
          <cell r="AR61">
            <v>197243.09</v>
          </cell>
          <cell r="AS61">
            <v>198969.25</v>
          </cell>
          <cell r="AT61">
            <v>210256.95</v>
          </cell>
          <cell r="AU61">
            <v>198467.84</v>
          </cell>
          <cell r="AV61">
            <v>204362.1</v>
          </cell>
          <cell r="AW61">
            <v>213889.18</v>
          </cell>
          <cell r="AX61">
            <v>237018.35</v>
          </cell>
          <cell r="AY61">
            <v>245077.79</v>
          </cell>
          <cell r="AZ61">
            <v>268673.15999999997</v>
          </cell>
          <cell r="BA61">
            <v>255365.9</v>
          </cell>
          <cell r="BB61">
            <v>194628.07</v>
          </cell>
        </row>
        <row r="62">
          <cell r="A62" t="str">
            <v>ptd</v>
          </cell>
          <cell r="B62">
            <v>163321.29</v>
          </cell>
          <cell r="C62">
            <v>319988.73</v>
          </cell>
          <cell r="D62">
            <v>480654.97</v>
          </cell>
          <cell r="E62">
            <v>638766.12</v>
          </cell>
          <cell r="F62">
            <v>177948.26</v>
          </cell>
          <cell r="G62">
            <v>355936.28</v>
          </cell>
          <cell r="H62">
            <v>529254.39</v>
          </cell>
          <cell r="I62">
            <v>698228.72</v>
          </cell>
          <cell r="J62">
            <v>181155.68</v>
          </cell>
          <cell r="K62">
            <v>367246.24</v>
          </cell>
          <cell r="L62">
            <v>561095.16</v>
          </cell>
          <cell r="M62">
            <v>758004.26</v>
          </cell>
          <cell r="N62">
            <v>161565.07</v>
          </cell>
          <cell r="O62">
            <v>355713.79000000004</v>
          </cell>
          <cell r="P62">
            <v>536189.05000000005</v>
          </cell>
          <cell r="Q62">
            <v>716090.55</v>
          </cell>
          <cell r="R62">
            <v>183851.48</v>
          </cell>
          <cell r="S62">
            <v>388934.69</v>
          </cell>
          <cell r="T62">
            <v>595667.63</v>
          </cell>
          <cell r="U62">
            <v>804785.16</v>
          </cell>
          <cell r="V62">
            <v>202533.79</v>
          </cell>
          <cell r="W62">
            <v>406366.61</v>
          </cell>
          <cell r="X62">
            <v>618734.06999999995</v>
          </cell>
          <cell r="Y62">
            <v>835600.39999999991</v>
          </cell>
          <cell r="Z62">
            <v>202729.66</v>
          </cell>
          <cell r="AA62">
            <v>411235.98</v>
          </cell>
          <cell r="AB62">
            <v>633845.96</v>
          </cell>
          <cell r="AC62">
            <v>843719.03999999992</v>
          </cell>
          <cell r="AD62">
            <v>199864.41</v>
          </cell>
          <cell r="AE62">
            <v>398588.08999999997</v>
          </cell>
          <cell r="AF62">
            <v>612700.09</v>
          </cell>
          <cell r="AG62">
            <v>830386.57</v>
          </cell>
          <cell r="AH62">
            <v>208681.33</v>
          </cell>
          <cell r="AI62">
            <v>428421.36</v>
          </cell>
          <cell r="AJ62">
            <v>652915.02</v>
          </cell>
          <cell r="AK62">
            <v>854537.53</v>
          </cell>
          <cell r="AL62">
            <v>194648.6</v>
          </cell>
          <cell r="AM62">
            <v>409528.61</v>
          </cell>
          <cell r="AN62">
            <v>604862.06999999995</v>
          </cell>
          <cell r="AO62">
            <v>823337.52</v>
          </cell>
          <cell r="AP62">
            <v>197009.13</v>
          </cell>
          <cell r="AQ62">
            <v>406224.70999999996</v>
          </cell>
          <cell r="AR62">
            <v>603467.79999999993</v>
          </cell>
          <cell r="AS62">
            <v>802437.04999999993</v>
          </cell>
          <cell r="AT62">
            <v>210256.95</v>
          </cell>
          <cell r="AU62">
            <v>408724.79000000004</v>
          </cell>
          <cell r="AV62">
            <v>613086.89</v>
          </cell>
          <cell r="AW62">
            <v>826976.07000000007</v>
          </cell>
          <cell r="AX62">
            <v>237018.35</v>
          </cell>
          <cell r="AY62">
            <v>482096.14</v>
          </cell>
          <cell r="AZ62">
            <v>750769.3</v>
          </cell>
          <cell r="BA62">
            <v>1006135.2000000001</v>
          </cell>
          <cell r="BB62">
            <v>1200763.27</v>
          </cell>
        </row>
        <row r="63">
          <cell r="A63" t="str">
            <v>qtd</v>
          </cell>
          <cell r="B63">
            <v>163321.29</v>
          </cell>
          <cell r="C63">
            <v>319988.73</v>
          </cell>
          <cell r="D63">
            <v>480654.97</v>
          </cell>
          <cell r="E63">
            <v>638766.12</v>
          </cell>
          <cell r="F63">
            <v>816714.38</v>
          </cell>
          <cell r="G63">
            <v>994702.4</v>
          </cell>
          <cell r="H63">
            <v>1168020.51</v>
          </cell>
          <cell r="I63">
            <v>1336994.8400000001</v>
          </cell>
          <cell r="J63">
            <v>1518150.52</v>
          </cell>
          <cell r="K63">
            <v>1704241.08</v>
          </cell>
          <cell r="L63">
            <v>1898090</v>
          </cell>
          <cell r="M63">
            <v>2094999.1</v>
          </cell>
          <cell r="N63">
            <v>161565.07</v>
          </cell>
          <cell r="O63">
            <v>355713.79000000004</v>
          </cell>
          <cell r="P63">
            <v>536189.05000000005</v>
          </cell>
          <cell r="Q63">
            <v>716090.55</v>
          </cell>
          <cell r="R63">
            <v>899942.03</v>
          </cell>
          <cell r="S63">
            <v>1105025.24</v>
          </cell>
          <cell r="T63">
            <v>1311758.18</v>
          </cell>
          <cell r="U63">
            <v>1520875.71</v>
          </cell>
          <cell r="V63">
            <v>1723409.5</v>
          </cell>
          <cell r="W63">
            <v>1927242.32</v>
          </cell>
          <cell r="X63">
            <v>2139609.7800000003</v>
          </cell>
          <cell r="Y63">
            <v>2356476.1100000003</v>
          </cell>
          <cell r="Z63">
            <v>202729.66</v>
          </cell>
          <cell r="AA63">
            <v>411235.98</v>
          </cell>
          <cell r="AB63">
            <v>633845.96</v>
          </cell>
          <cell r="AC63">
            <v>843719.03999999992</v>
          </cell>
          <cell r="AD63">
            <v>1043583.45</v>
          </cell>
          <cell r="AE63">
            <v>1242307.1299999999</v>
          </cell>
          <cell r="AF63">
            <v>1456419.13</v>
          </cell>
          <cell r="AG63">
            <v>1674105.6099999999</v>
          </cell>
          <cell r="AH63">
            <v>1882786.94</v>
          </cell>
          <cell r="AI63">
            <v>2102526.9699999997</v>
          </cell>
          <cell r="AJ63">
            <v>2327020.63</v>
          </cell>
          <cell r="AK63">
            <v>2528643.1399999997</v>
          </cell>
          <cell r="AL63">
            <v>194648.6</v>
          </cell>
          <cell r="AM63">
            <v>409528.61</v>
          </cell>
          <cell r="AN63">
            <v>604862.06999999995</v>
          </cell>
          <cell r="AO63">
            <v>823337.52</v>
          </cell>
          <cell r="AP63">
            <v>1020346.65</v>
          </cell>
          <cell r="AQ63">
            <v>1229562.23</v>
          </cell>
          <cell r="AR63">
            <v>1426805.32</v>
          </cell>
          <cell r="AS63">
            <v>1625774.57</v>
          </cell>
          <cell r="AT63">
            <v>1836031.52</v>
          </cell>
          <cell r="AU63">
            <v>2034499.36</v>
          </cell>
          <cell r="AV63">
            <v>2238861.46</v>
          </cell>
          <cell r="AW63">
            <v>2452750.64</v>
          </cell>
          <cell r="AX63">
            <v>2689768.99</v>
          </cell>
          <cell r="AY63">
            <v>2934846.7800000003</v>
          </cell>
          <cell r="AZ63">
            <v>3203519.9400000004</v>
          </cell>
          <cell r="BA63">
            <v>3458885.8400000003</v>
          </cell>
          <cell r="BB63">
            <v>3653513.91</v>
          </cell>
        </row>
        <row r="64">
          <cell r="A64" t="str">
            <v>ytd</v>
          </cell>
          <cell r="B64">
            <v>163321.29</v>
          </cell>
          <cell r="C64">
            <v>319988.73</v>
          </cell>
          <cell r="D64">
            <v>480654.97</v>
          </cell>
          <cell r="E64">
            <v>638766.12</v>
          </cell>
          <cell r="F64">
            <v>816714.38</v>
          </cell>
          <cell r="G64">
            <v>994702.4</v>
          </cell>
          <cell r="H64">
            <v>1168020.51</v>
          </cell>
          <cell r="I64">
            <v>1336994.8400000001</v>
          </cell>
          <cell r="J64">
            <v>1518150.52</v>
          </cell>
          <cell r="K64">
            <v>1704241.08</v>
          </cell>
          <cell r="L64">
            <v>1898090</v>
          </cell>
          <cell r="M64">
            <v>2094999.1</v>
          </cell>
          <cell r="N64">
            <v>2256564.17</v>
          </cell>
          <cell r="O64">
            <v>2450712.89</v>
          </cell>
          <cell r="P64">
            <v>2631188.1500000004</v>
          </cell>
          <cell r="Q64">
            <v>2811089.6500000004</v>
          </cell>
          <cell r="R64">
            <v>2994941.1300000004</v>
          </cell>
          <cell r="S64">
            <v>3200024.3400000003</v>
          </cell>
          <cell r="T64">
            <v>3406757.2800000003</v>
          </cell>
          <cell r="U64">
            <v>3615874.81</v>
          </cell>
          <cell r="V64">
            <v>3818408.6</v>
          </cell>
          <cell r="W64">
            <v>4022241.42</v>
          </cell>
          <cell r="X64">
            <v>4234608.88</v>
          </cell>
          <cell r="Y64">
            <v>4451475.21</v>
          </cell>
          <cell r="Z64">
            <v>4654204.87</v>
          </cell>
          <cell r="AA64">
            <v>4862711.1900000004</v>
          </cell>
          <cell r="AB64">
            <v>5085321.1700000009</v>
          </cell>
          <cell r="AC64">
            <v>5295194.2500000009</v>
          </cell>
          <cell r="AD64">
            <v>5495058.6600000011</v>
          </cell>
          <cell r="AE64">
            <v>5693782.3400000008</v>
          </cell>
          <cell r="AF64">
            <v>5907894.3400000008</v>
          </cell>
          <cell r="AG64">
            <v>6125580.8200000012</v>
          </cell>
          <cell r="AH64">
            <v>6334262.1500000013</v>
          </cell>
          <cell r="AI64">
            <v>6554002.1800000016</v>
          </cell>
          <cell r="AJ64">
            <v>6778495.8400000017</v>
          </cell>
          <cell r="AK64">
            <v>6980118.3500000015</v>
          </cell>
          <cell r="AL64">
            <v>7174766.9500000011</v>
          </cell>
          <cell r="AM64">
            <v>7389646.9600000009</v>
          </cell>
          <cell r="AN64">
            <v>7584980.4200000009</v>
          </cell>
          <cell r="AO64">
            <v>7803455.870000001</v>
          </cell>
          <cell r="AP64">
            <v>8000465.0000000009</v>
          </cell>
          <cell r="AQ64">
            <v>8209680.580000001</v>
          </cell>
          <cell r="AR64">
            <v>8406923.6700000018</v>
          </cell>
          <cell r="AS64">
            <v>8605892.9200000018</v>
          </cell>
          <cell r="AT64">
            <v>8816149.870000001</v>
          </cell>
          <cell r="AU64">
            <v>9014617.7100000009</v>
          </cell>
          <cell r="AV64">
            <v>9218979.8100000005</v>
          </cell>
          <cell r="AW64">
            <v>9432868.9900000002</v>
          </cell>
          <cell r="AX64">
            <v>9669887.3399999999</v>
          </cell>
          <cell r="AY64">
            <v>9914965.129999999</v>
          </cell>
          <cell r="AZ64">
            <v>10183638.289999999</v>
          </cell>
          <cell r="BA64">
            <v>10439004.189999999</v>
          </cell>
          <cell r="BB64">
            <v>10633632.26</v>
          </cell>
        </row>
        <row r="65">
          <cell r="A65" t="str">
            <v>TICK</v>
          </cell>
          <cell r="AC65">
            <v>75</v>
          </cell>
          <cell r="AD65">
            <v>1150</v>
          </cell>
          <cell r="AE65">
            <v>1775</v>
          </cell>
          <cell r="AF65">
            <v>1700</v>
          </cell>
          <cell r="AG65">
            <v>2750</v>
          </cell>
          <cell r="AH65">
            <v>3450</v>
          </cell>
          <cell r="AI65">
            <v>2800</v>
          </cell>
          <cell r="AJ65">
            <v>5050</v>
          </cell>
          <cell r="AK65">
            <v>850</v>
          </cell>
          <cell r="AL65">
            <v>1300</v>
          </cell>
          <cell r="AM65">
            <v>1950</v>
          </cell>
          <cell r="AN65">
            <v>2575</v>
          </cell>
          <cell r="AO65">
            <v>1575</v>
          </cell>
          <cell r="AP65">
            <v>2800</v>
          </cell>
          <cell r="AQ65">
            <v>3000</v>
          </cell>
          <cell r="AR65">
            <v>2175</v>
          </cell>
          <cell r="AS65">
            <v>3525</v>
          </cell>
          <cell r="AT65">
            <v>1325</v>
          </cell>
          <cell r="AU65">
            <v>2550</v>
          </cell>
          <cell r="AV65">
            <v>1825</v>
          </cell>
          <cell r="AW65">
            <v>4325</v>
          </cell>
          <cell r="AX65">
            <v>4625</v>
          </cell>
          <cell r="AY65">
            <v>6975</v>
          </cell>
          <cell r="AZ65">
            <v>10100</v>
          </cell>
          <cell r="BA65">
            <v>9825</v>
          </cell>
          <cell r="BB65">
            <v>2575</v>
          </cell>
        </row>
        <row r="66">
          <cell r="A66" t="str">
            <v>ptd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75</v>
          </cell>
          <cell r="AD66">
            <v>1150</v>
          </cell>
          <cell r="AE66">
            <v>2925</v>
          </cell>
          <cell r="AF66">
            <v>4625</v>
          </cell>
          <cell r="AG66">
            <v>7375</v>
          </cell>
          <cell r="AH66">
            <v>3450</v>
          </cell>
          <cell r="AI66">
            <v>6250</v>
          </cell>
          <cell r="AJ66">
            <v>11300</v>
          </cell>
          <cell r="AK66">
            <v>12150</v>
          </cell>
          <cell r="AL66">
            <v>1300</v>
          </cell>
          <cell r="AM66">
            <v>3250</v>
          </cell>
          <cell r="AN66">
            <v>5825</v>
          </cell>
          <cell r="AO66">
            <v>7400</v>
          </cell>
          <cell r="AP66">
            <v>2800</v>
          </cell>
          <cell r="AQ66">
            <v>5800</v>
          </cell>
          <cell r="AR66">
            <v>7975</v>
          </cell>
          <cell r="AS66">
            <v>11500</v>
          </cell>
          <cell r="AT66">
            <v>1325</v>
          </cell>
          <cell r="AU66">
            <v>3875</v>
          </cell>
          <cell r="AV66">
            <v>5700</v>
          </cell>
          <cell r="AW66">
            <v>10025</v>
          </cell>
          <cell r="AX66">
            <v>4625</v>
          </cell>
          <cell r="AY66">
            <v>11600</v>
          </cell>
          <cell r="AZ66">
            <v>21700</v>
          </cell>
          <cell r="BA66">
            <v>31525</v>
          </cell>
          <cell r="BB66">
            <v>34100</v>
          </cell>
        </row>
        <row r="67">
          <cell r="A67" t="str">
            <v>qtd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75</v>
          </cell>
          <cell r="AD67">
            <v>1225</v>
          </cell>
          <cell r="AE67">
            <v>3000</v>
          </cell>
          <cell r="AF67">
            <v>4700</v>
          </cell>
          <cell r="AG67">
            <v>7450</v>
          </cell>
          <cell r="AH67">
            <v>10900</v>
          </cell>
          <cell r="AI67">
            <v>13700</v>
          </cell>
          <cell r="AJ67">
            <v>18750</v>
          </cell>
          <cell r="AK67">
            <v>19600</v>
          </cell>
          <cell r="AL67">
            <v>1300</v>
          </cell>
          <cell r="AM67">
            <v>3250</v>
          </cell>
          <cell r="AN67">
            <v>5825</v>
          </cell>
          <cell r="AO67">
            <v>7400</v>
          </cell>
          <cell r="AP67">
            <v>10200</v>
          </cell>
          <cell r="AQ67">
            <v>13200</v>
          </cell>
          <cell r="AR67">
            <v>15375</v>
          </cell>
          <cell r="AS67">
            <v>18900</v>
          </cell>
          <cell r="AT67">
            <v>20225</v>
          </cell>
          <cell r="AU67">
            <v>22775</v>
          </cell>
          <cell r="AV67">
            <v>24600</v>
          </cell>
          <cell r="AW67">
            <v>28925</v>
          </cell>
          <cell r="AX67">
            <v>33550</v>
          </cell>
          <cell r="AY67">
            <v>40525</v>
          </cell>
          <cell r="AZ67">
            <v>50625</v>
          </cell>
          <cell r="BA67">
            <v>60450</v>
          </cell>
          <cell r="BB67">
            <v>63025</v>
          </cell>
        </row>
        <row r="68">
          <cell r="A68" t="str">
            <v>ytd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75</v>
          </cell>
          <cell r="AD68">
            <v>1225</v>
          </cell>
          <cell r="AE68">
            <v>3000</v>
          </cell>
          <cell r="AF68">
            <v>4700</v>
          </cell>
          <cell r="AG68">
            <v>7450</v>
          </cell>
          <cell r="AH68">
            <v>10900</v>
          </cell>
          <cell r="AI68">
            <v>13700</v>
          </cell>
          <cell r="AJ68">
            <v>18750</v>
          </cell>
          <cell r="AK68">
            <v>19600</v>
          </cell>
          <cell r="AL68">
            <v>20900</v>
          </cell>
          <cell r="AM68">
            <v>22850</v>
          </cell>
          <cell r="AN68">
            <v>25425</v>
          </cell>
          <cell r="AO68">
            <v>27000</v>
          </cell>
          <cell r="AP68">
            <v>29800</v>
          </cell>
          <cell r="AQ68">
            <v>32800</v>
          </cell>
          <cell r="AR68">
            <v>34975</v>
          </cell>
          <cell r="AS68">
            <v>38500</v>
          </cell>
          <cell r="AT68">
            <v>39825</v>
          </cell>
          <cell r="AU68">
            <v>42375</v>
          </cell>
          <cell r="AV68">
            <v>44200</v>
          </cell>
          <cell r="AW68">
            <v>48525</v>
          </cell>
          <cell r="AX68">
            <v>53150</v>
          </cell>
          <cell r="AY68">
            <v>60125</v>
          </cell>
          <cell r="AZ68">
            <v>70225</v>
          </cell>
          <cell r="BA68">
            <v>80050</v>
          </cell>
          <cell r="BB68">
            <v>82625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5960796.4500000002</v>
          </cell>
          <cell r="C73">
            <v>5876658.9800000004</v>
          </cell>
          <cell r="D73">
            <v>6626593.5499999998</v>
          </cell>
          <cell r="E73">
            <v>6793745.2000000002</v>
          </cell>
          <cell r="F73">
            <v>6982392.1100000003</v>
          </cell>
          <cell r="G73">
            <v>7166260.7000000002</v>
          </cell>
          <cell r="H73">
            <v>7266344.8799999999</v>
          </cell>
          <cell r="I73">
            <v>6732957.0600000005</v>
          </cell>
          <cell r="J73">
            <v>6498383.6600000001</v>
          </cell>
          <cell r="K73">
            <v>6216104.7800000003</v>
          </cell>
          <cell r="L73">
            <v>7951148.54</v>
          </cell>
          <cell r="M73">
            <v>9455224.5099999998</v>
          </cell>
          <cell r="N73">
            <v>7173309.79</v>
          </cell>
          <cell r="O73">
            <v>8653092.1899999995</v>
          </cell>
          <cell r="P73">
            <v>8914279.3699999992</v>
          </cell>
          <cell r="Q73">
            <v>9689311.9100000001</v>
          </cell>
          <cell r="R73">
            <v>11201618.529999999</v>
          </cell>
          <cell r="S73">
            <v>11331169.67</v>
          </cell>
          <cell r="T73">
            <v>14465440.02</v>
          </cell>
          <cell r="U73">
            <v>12626482.800000001</v>
          </cell>
          <cell r="V73">
            <v>13178910.870000001</v>
          </cell>
          <cell r="W73">
            <v>12946532.140000001</v>
          </cell>
          <cell r="X73">
            <v>13940077.93</v>
          </cell>
          <cell r="Y73">
            <v>16349514.140000001</v>
          </cell>
          <cell r="Z73">
            <v>13196476.84</v>
          </cell>
          <cell r="AA73">
            <v>12952057.49</v>
          </cell>
          <cell r="AB73">
            <v>12814567.449999999</v>
          </cell>
          <cell r="AC73">
            <v>12177906.560000001</v>
          </cell>
          <cell r="AD73">
            <v>12349593.1</v>
          </cell>
          <cell r="AE73">
            <v>11882164.140000001</v>
          </cell>
          <cell r="AF73">
            <v>11721081.75</v>
          </cell>
          <cell r="AG73">
            <v>13804719.16</v>
          </cell>
          <cell r="AH73">
            <v>15089069.199999999</v>
          </cell>
          <cell r="AI73">
            <v>15886105.710000001</v>
          </cell>
          <cell r="AJ73">
            <v>16581844.9</v>
          </cell>
          <cell r="AK73">
            <v>10602779.220000001</v>
          </cell>
          <cell r="AL73">
            <v>10453219.65</v>
          </cell>
          <cell r="AM73">
            <v>10247334.49</v>
          </cell>
          <cell r="AN73">
            <v>10455612.77</v>
          </cell>
          <cell r="AO73">
            <v>10618571.59</v>
          </cell>
          <cell r="AP73">
            <v>10118526.35</v>
          </cell>
          <cell r="AQ73">
            <v>11539604.5</v>
          </cell>
          <cell r="AR73">
            <v>11907611.460000001</v>
          </cell>
          <cell r="AS73">
            <v>12193554.689999999</v>
          </cell>
          <cell r="AT73">
            <v>12215318.440000001</v>
          </cell>
          <cell r="AU73">
            <v>14395990.57</v>
          </cell>
          <cell r="AV73">
            <v>16319911.699999999</v>
          </cell>
          <cell r="AW73">
            <v>20163236.25</v>
          </cell>
          <cell r="AX73">
            <v>21721528.23</v>
          </cell>
          <cell r="AY73">
            <v>34066369.159999996</v>
          </cell>
          <cell r="AZ73">
            <v>44110755.129999995</v>
          </cell>
          <cell r="BA73">
            <v>41888665.5</v>
          </cell>
          <cell r="BB73">
            <v>9818242.4100000001</v>
          </cell>
        </row>
        <row r="74">
          <cell r="A74" t="str">
            <v>ptd</v>
          </cell>
          <cell r="B74">
            <v>5960796.4500000002</v>
          </cell>
          <cell r="C74">
            <v>11837455.43</v>
          </cell>
          <cell r="D74">
            <v>18464048.98</v>
          </cell>
          <cell r="E74">
            <v>25257794.18</v>
          </cell>
          <cell r="F74">
            <v>6982392.1100000003</v>
          </cell>
          <cell r="G74">
            <v>14148652.810000001</v>
          </cell>
          <cell r="H74">
            <v>21414997.690000001</v>
          </cell>
          <cell r="I74">
            <v>28147954.75</v>
          </cell>
          <cell r="J74">
            <v>6498383.6600000001</v>
          </cell>
          <cell r="K74">
            <v>12714488.440000001</v>
          </cell>
          <cell r="L74">
            <v>20665636.98</v>
          </cell>
          <cell r="M74">
            <v>30120861.490000002</v>
          </cell>
          <cell r="N74">
            <v>7173309.79</v>
          </cell>
          <cell r="O74">
            <v>15826401.98</v>
          </cell>
          <cell r="P74">
            <v>24740681.350000001</v>
          </cell>
          <cell r="Q74">
            <v>34429993.260000005</v>
          </cell>
          <cell r="R74">
            <v>11201618.529999999</v>
          </cell>
          <cell r="S74">
            <v>22532788.199999999</v>
          </cell>
          <cell r="T74">
            <v>36998228.219999999</v>
          </cell>
          <cell r="U74">
            <v>49624711.019999996</v>
          </cell>
          <cell r="V74">
            <v>13178910.870000001</v>
          </cell>
          <cell r="W74">
            <v>26125443.010000002</v>
          </cell>
          <cell r="X74">
            <v>40065520.939999998</v>
          </cell>
          <cell r="Y74">
            <v>56415035.079999998</v>
          </cell>
          <cell r="Z74">
            <v>13196476.84</v>
          </cell>
          <cell r="AA74">
            <v>26148534.329999998</v>
          </cell>
          <cell r="AB74">
            <v>38963101.780000001</v>
          </cell>
          <cell r="AC74">
            <v>51141008.340000004</v>
          </cell>
          <cell r="AD74">
            <v>12349593.1</v>
          </cell>
          <cell r="AE74">
            <v>24231757.240000002</v>
          </cell>
          <cell r="AF74">
            <v>35952838.990000002</v>
          </cell>
          <cell r="AG74">
            <v>49757558.150000006</v>
          </cell>
          <cell r="AH74">
            <v>15089069.199999999</v>
          </cell>
          <cell r="AI74">
            <v>30975174.91</v>
          </cell>
          <cell r="AJ74">
            <v>47557019.810000002</v>
          </cell>
          <cell r="AK74">
            <v>58159799.030000001</v>
          </cell>
          <cell r="AL74">
            <v>10453219.65</v>
          </cell>
          <cell r="AM74">
            <v>20700554.140000001</v>
          </cell>
          <cell r="AN74">
            <v>31156166.91</v>
          </cell>
          <cell r="AO74">
            <v>41774738.5</v>
          </cell>
          <cell r="AP74">
            <v>10118526.35</v>
          </cell>
          <cell r="AQ74">
            <v>21658130.850000001</v>
          </cell>
          <cell r="AR74">
            <v>33565742.310000002</v>
          </cell>
          <cell r="AS74">
            <v>45759297</v>
          </cell>
          <cell r="AT74">
            <v>12215318.440000001</v>
          </cell>
          <cell r="AU74">
            <v>26611309.010000002</v>
          </cell>
          <cell r="AV74">
            <v>42931220.710000001</v>
          </cell>
          <cell r="AW74">
            <v>63094456.960000001</v>
          </cell>
          <cell r="AX74">
            <v>21721528.23</v>
          </cell>
          <cell r="AY74">
            <v>55787897.390000001</v>
          </cell>
          <cell r="AZ74">
            <v>99898652.519999996</v>
          </cell>
          <cell r="BA74">
            <v>141787318.01999998</v>
          </cell>
          <cell r="BB74">
            <v>151605560.42999998</v>
          </cell>
        </row>
        <row r="75">
          <cell r="A75" t="str">
            <v>qtd</v>
          </cell>
          <cell r="B75">
            <v>5960796.4500000002</v>
          </cell>
          <cell r="C75">
            <v>11837455.43</v>
          </cell>
          <cell r="D75">
            <v>18464048.98</v>
          </cell>
          <cell r="E75">
            <v>25257794.18</v>
          </cell>
          <cell r="F75">
            <v>32240186.289999999</v>
          </cell>
          <cell r="G75">
            <v>39406446.990000002</v>
          </cell>
          <cell r="H75">
            <v>46672791.870000005</v>
          </cell>
          <cell r="I75">
            <v>53405748.930000007</v>
          </cell>
          <cell r="J75">
            <v>59904132.590000004</v>
          </cell>
          <cell r="K75">
            <v>66120237.370000005</v>
          </cell>
          <cell r="L75">
            <v>74071385.910000011</v>
          </cell>
          <cell r="M75">
            <v>83526610.420000017</v>
          </cell>
          <cell r="N75">
            <v>7173309.79</v>
          </cell>
          <cell r="O75">
            <v>15826401.98</v>
          </cell>
          <cell r="P75">
            <v>24740681.350000001</v>
          </cell>
          <cell r="Q75">
            <v>34429993.260000005</v>
          </cell>
          <cell r="R75">
            <v>45631611.790000007</v>
          </cell>
          <cell r="S75">
            <v>56962781.460000008</v>
          </cell>
          <cell r="T75">
            <v>71428221.480000004</v>
          </cell>
          <cell r="U75">
            <v>84054704.280000001</v>
          </cell>
          <cell r="V75">
            <v>97233615.150000006</v>
          </cell>
          <cell r="W75">
            <v>110180147.29000001</v>
          </cell>
          <cell r="X75">
            <v>124120225.22</v>
          </cell>
          <cell r="Y75">
            <v>140469739.36000001</v>
          </cell>
          <cell r="Z75">
            <v>13196476.84</v>
          </cell>
          <cell r="AA75">
            <v>26148534.329999998</v>
          </cell>
          <cell r="AB75">
            <v>38963101.780000001</v>
          </cell>
          <cell r="AC75">
            <v>51141008.340000004</v>
          </cell>
          <cell r="AD75">
            <v>63490601.440000005</v>
          </cell>
          <cell r="AE75">
            <v>75372765.580000013</v>
          </cell>
          <cell r="AF75">
            <v>87093847.330000013</v>
          </cell>
          <cell r="AG75">
            <v>100898566.49000001</v>
          </cell>
          <cell r="AH75">
            <v>115987635.69000001</v>
          </cell>
          <cell r="AI75">
            <v>131873741.40000001</v>
          </cell>
          <cell r="AJ75">
            <v>148455586.30000001</v>
          </cell>
          <cell r="AK75">
            <v>159058365.52000001</v>
          </cell>
          <cell r="AL75">
            <v>10453219.65</v>
          </cell>
          <cell r="AM75">
            <v>20700554.140000001</v>
          </cell>
          <cell r="AN75">
            <v>31156166.91</v>
          </cell>
          <cell r="AO75">
            <v>41774738.5</v>
          </cell>
          <cell r="AP75">
            <v>51893264.850000001</v>
          </cell>
          <cell r="AQ75">
            <v>63432869.350000001</v>
          </cell>
          <cell r="AR75">
            <v>75340480.810000002</v>
          </cell>
          <cell r="AS75">
            <v>87534035.5</v>
          </cell>
          <cell r="AT75">
            <v>99749353.939999998</v>
          </cell>
          <cell r="AU75">
            <v>114145344.50999999</v>
          </cell>
          <cell r="AV75">
            <v>130465256.20999999</v>
          </cell>
          <cell r="AW75">
            <v>150628492.45999998</v>
          </cell>
          <cell r="AX75">
            <v>172350020.68999997</v>
          </cell>
          <cell r="AY75">
            <v>206416389.84999996</v>
          </cell>
          <cell r="AZ75">
            <v>250527144.97999996</v>
          </cell>
          <cell r="BA75">
            <v>292415810.47999996</v>
          </cell>
          <cell r="BB75">
            <v>302234052.88999999</v>
          </cell>
        </row>
        <row r="76">
          <cell r="A76" t="str">
            <v>ytd</v>
          </cell>
          <cell r="B76">
            <v>5960796.4500000002</v>
          </cell>
          <cell r="C76">
            <v>11837455.43</v>
          </cell>
          <cell r="D76">
            <v>18464048.98</v>
          </cell>
          <cell r="E76">
            <v>25257794.18</v>
          </cell>
          <cell r="F76">
            <v>32240186.289999999</v>
          </cell>
          <cell r="G76">
            <v>39406446.990000002</v>
          </cell>
          <cell r="H76">
            <v>46672791.870000005</v>
          </cell>
          <cell r="I76">
            <v>53405748.930000007</v>
          </cell>
          <cell r="J76">
            <v>59904132.590000004</v>
          </cell>
          <cell r="K76">
            <v>66120237.370000005</v>
          </cell>
          <cell r="L76">
            <v>74071385.910000011</v>
          </cell>
          <cell r="M76">
            <v>83526610.420000017</v>
          </cell>
          <cell r="N76">
            <v>90699920.210000023</v>
          </cell>
          <cell r="O76">
            <v>99353012.400000021</v>
          </cell>
          <cell r="P76">
            <v>108267291.77000003</v>
          </cell>
          <cell r="Q76">
            <v>117956603.68000002</v>
          </cell>
          <cell r="R76">
            <v>129158222.21000002</v>
          </cell>
          <cell r="S76">
            <v>140489391.88000003</v>
          </cell>
          <cell r="T76">
            <v>154954831.90000004</v>
          </cell>
          <cell r="U76">
            <v>167581314.70000005</v>
          </cell>
          <cell r="V76">
            <v>180760225.57000005</v>
          </cell>
          <cell r="W76">
            <v>193706757.71000004</v>
          </cell>
          <cell r="X76">
            <v>207646835.64000005</v>
          </cell>
          <cell r="Y76">
            <v>223996349.78000003</v>
          </cell>
          <cell r="Z76">
            <v>237192826.62000003</v>
          </cell>
          <cell r="AA76">
            <v>250144884.11000004</v>
          </cell>
          <cell r="AB76">
            <v>262959451.56000003</v>
          </cell>
          <cell r="AC76">
            <v>275137358.12</v>
          </cell>
          <cell r="AD76">
            <v>287486951.22000003</v>
          </cell>
          <cell r="AE76">
            <v>299369115.36000001</v>
          </cell>
          <cell r="AF76">
            <v>311090197.11000001</v>
          </cell>
          <cell r="AG76">
            <v>324894916.27000004</v>
          </cell>
          <cell r="AH76">
            <v>339983985.47000003</v>
          </cell>
          <cell r="AI76">
            <v>355870091.18000001</v>
          </cell>
          <cell r="AJ76">
            <v>372451936.07999998</v>
          </cell>
          <cell r="AK76">
            <v>383054715.30000001</v>
          </cell>
          <cell r="AL76">
            <v>393507934.94999999</v>
          </cell>
          <cell r="AM76">
            <v>403755269.44</v>
          </cell>
          <cell r="AN76">
            <v>414210882.20999998</v>
          </cell>
          <cell r="AO76">
            <v>424829453.79999995</v>
          </cell>
          <cell r="AP76">
            <v>434947980.14999998</v>
          </cell>
          <cell r="AQ76">
            <v>446487584.64999998</v>
          </cell>
          <cell r="AR76">
            <v>458395196.10999995</v>
          </cell>
          <cell r="AS76">
            <v>470588750.79999995</v>
          </cell>
          <cell r="AT76">
            <v>482804069.23999995</v>
          </cell>
          <cell r="AU76">
            <v>497200059.80999994</v>
          </cell>
          <cell r="AV76">
            <v>513519971.50999993</v>
          </cell>
          <cell r="AW76">
            <v>533683207.75999993</v>
          </cell>
          <cell r="AX76">
            <v>555404735.98999989</v>
          </cell>
          <cell r="AY76">
            <v>589471105.14999986</v>
          </cell>
          <cell r="AZ76">
            <v>633581860.27999985</v>
          </cell>
          <cell r="BA76">
            <v>675470525.77999985</v>
          </cell>
          <cell r="BB76">
            <v>685288768.18999982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197124.3</v>
          </cell>
          <cell r="C79">
            <v>159229.25</v>
          </cell>
          <cell r="D79">
            <v>153403.15</v>
          </cell>
          <cell r="E79">
            <v>151737.35</v>
          </cell>
          <cell r="F79">
            <v>160456.4</v>
          </cell>
          <cell r="G79">
            <v>183247.4</v>
          </cell>
          <cell r="H79">
            <v>361811.9</v>
          </cell>
          <cell r="I79">
            <v>160554.35</v>
          </cell>
          <cell r="J79">
            <v>174391.85</v>
          </cell>
          <cell r="K79">
            <v>186226.4</v>
          </cell>
          <cell r="L79">
            <v>207769.3</v>
          </cell>
          <cell r="M79">
            <v>360223.65</v>
          </cell>
          <cell r="N79">
            <v>195979.51</v>
          </cell>
          <cell r="O79">
            <v>178938.63</v>
          </cell>
          <cell r="P79">
            <v>180305.95</v>
          </cell>
          <cell r="Q79">
            <v>192590.76</v>
          </cell>
          <cell r="R79">
            <v>226414.85</v>
          </cell>
          <cell r="S79">
            <v>221240.5</v>
          </cell>
          <cell r="T79">
            <v>388310.15</v>
          </cell>
          <cell r="U79">
            <v>305174.65000000002</v>
          </cell>
          <cell r="V79">
            <v>277962.09999999998</v>
          </cell>
          <cell r="W79">
            <v>296092.25</v>
          </cell>
          <cell r="X79">
            <v>368557.15</v>
          </cell>
          <cell r="Y79">
            <v>636373.85</v>
          </cell>
          <cell r="Z79">
            <v>409891.9</v>
          </cell>
          <cell r="AA79">
            <v>260188</v>
          </cell>
          <cell r="AB79">
            <v>232397.7</v>
          </cell>
          <cell r="AC79">
            <v>247272.1</v>
          </cell>
          <cell r="AD79">
            <v>228716.25</v>
          </cell>
          <cell r="AE79">
            <v>226900.65</v>
          </cell>
          <cell r="AF79">
            <v>228481.5</v>
          </cell>
          <cell r="AG79">
            <v>230151.6</v>
          </cell>
          <cell r="AH79">
            <v>219289.15</v>
          </cell>
          <cell r="AI79">
            <v>233245.1</v>
          </cell>
          <cell r="AJ79">
            <v>220951.4</v>
          </cell>
          <cell r="AK79">
            <v>205788.5</v>
          </cell>
          <cell r="AL79">
            <v>211861.3</v>
          </cell>
          <cell r="AM79">
            <v>206881.7</v>
          </cell>
          <cell r="AN79">
            <v>209231.3</v>
          </cell>
          <cell r="AO79">
            <v>205268.25</v>
          </cell>
          <cell r="AP79">
            <v>197083.1</v>
          </cell>
          <cell r="AQ79">
            <v>217214.1</v>
          </cell>
          <cell r="AR79">
            <v>202490.05</v>
          </cell>
          <cell r="AS79">
            <v>215552.8</v>
          </cell>
          <cell r="AT79">
            <v>222956.77</v>
          </cell>
          <cell r="AU79">
            <v>242318.81</v>
          </cell>
          <cell r="AV79">
            <v>256430.36</v>
          </cell>
          <cell r="AW79">
            <v>275345.38</v>
          </cell>
          <cell r="AX79">
            <v>455887.1</v>
          </cell>
          <cell r="AY79">
            <v>898629.89</v>
          </cell>
          <cell r="AZ79">
            <v>2163096.85</v>
          </cell>
          <cell r="BA79">
            <v>2800787.27</v>
          </cell>
          <cell r="BB79">
            <v>254976.35</v>
          </cell>
        </row>
        <row r="80">
          <cell r="A80" t="str">
            <v>ptd</v>
          </cell>
          <cell r="B80">
            <v>197124.3</v>
          </cell>
          <cell r="C80">
            <v>356353.55</v>
          </cell>
          <cell r="D80">
            <v>509756.69999999995</v>
          </cell>
          <cell r="E80">
            <v>661494.04999999993</v>
          </cell>
          <cell r="F80">
            <v>160456.4</v>
          </cell>
          <cell r="G80">
            <v>343703.8</v>
          </cell>
          <cell r="H80">
            <v>705515.7</v>
          </cell>
          <cell r="I80">
            <v>866070.04999999993</v>
          </cell>
          <cell r="J80">
            <v>174391.85</v>
          </cell>
          <cell r="K80">
            <v>360618.25</v>
          </cell>
          <cell r="L80">
            <v>568387.55000000005</v>
          </cell>
          <cell r="M80">
            <v>928611.20000000007</v>
          </cell>
          <cell r="N80">
            <v>195979.51</v>
          </cell>
          <cell r="O80">
            <v>374918.14</v>
          </cell>
          <cell r="P80">
            <v>555224.09000000008</v>
          </cell>
          <cell r="Q80">
            <v>747814.85000000009</v>
          </cell>
          <cell r="R80">
            <v>226414.85</v>
          </cell>
          <cell r="S80">
            <v>447655.35</v>
          </cell>
          <cell r="T80">
            <v>835965.5</v>
          </cell>
          <cell r="U80">
            <v>1141140.1499999999</v>
          </cell>
          <cell r="V80">
            <v>277962.09999999998</v>
          </cell>
          <cell r="W80">
            <v>574054.35</v>
          </cell>
          <cell r="X80">
            <v>942611.5</v>
          </cell>
          <cell r="Y80">
            <v>1578985.35</v>
          </cell>
          <cell r="Z80">
            <v>409891.9</v>
          </cell>
          <cell r="AA80">
            <v>670079.9</v>
          </cell>
          <cell r="AB80">
            <v>902477.60000000009</v>
          </cell>
          <cell r="AC80">
            <v>1149749.7000000002</v>
          </cell>
          <cell r="AD80">
            <v>228716.25</v>
          </cell>
          <cell r="AE80">
            <v>455616.9</v>
          </cell>
          <cell r="AF80">
            <v>684098.4</v>
          </cell>
          <cell r="AG80">
            <v>914250</v>
          </cell>
          <cell r="AH80">
            <v>219289.15</v>
          </cell>
          <cell r="AI80">
            <v>452534.25</v>
          </cell>
          <cell r="AJ80">
            <v>673485.65</v>
          </cell>
          <cell r="AK80">
            <v>879274.15</v>
          </cell>
          <cell r="AL80">
            <v>211861.3</v>
          </cell>
          <cell r="AM80">
            <v>418743</v>
          </cell>
          <cell r="AN80">
            <v>627974.30000000005</v>
          </cell>
          <cell r="AO80">
            <v>833242.55</v>
          </cell>
          <cell r="AP80">
            <v>197083.1</v>
          </cell>
          <cell r="AQ80">
            <v>414297.2</v>
          </cell>
          <cell r="AR80">
            <v>616787.25</v>
          </cell>
          <cell r="AS80">
            <v>832340.05</v>
          </cell>
          <cell r="AT80">
            <v>222956.77</v>
          </cell>
          <cell r="AU80">
            <v>465275.57999999996</v>
          </cell>
          <cell r="AV80">
            <v>721705.94</v>
          </cell>
          <cell r="AW80">
            <v>997051.32</v>
          </cell>
          <cell r="AX80">
            <v>455887.1</v>
          </cell>
          <cell r="AY80">
            <v>1354516.99</v>
          </cell>
          <cell r="AZ80">
            <v>3517613.84</v>
          </cell>
          <cell r="BA80">
            <v>6318401.1099999994</v>
          </cell>
          <cell r="BB80">
            <v>6573377.459999999</v>
          </cell>
        </row>
        <row r="81">
          <cell r="A81" t="str">
            <v>qtd</v>
          </cell>
          <cell r="B81">
            <v>197124.3</v>
          </cell>
          <cell r="C81">
            <v>356353.55</v>
          </cell>
          <cell r="D81">
            <v>509756.69999999995</v>
          </cell>
          <cell r="E81">
            <v>661494.04999999993</v>
          </cell>
          <cell r="F81">
            <v>821950.45</v>
          </cell>
          <cell r="G81">
            <v>1005197.85</v>
          </cell>
          <cell r="H81">
            <v>1367009.75</v>
          </cell>
          <cell r="I81">
            <v>1527564.1</v>
          </cell>
          <cell r="J81">
            <v>1701955.9500000002</v>
          </cell>
          <cell r="K81">
            <v>1888182.35</v>
          </cell>
          <cell r="L81">
            <v>2095951.6500000001</v>
          </cell>
          <cell r="M81">
            <v>2456175.3000000003</v>
          </cell>
          <cell r="N81">
            <v>195979.51</v>
          </cell>
          <cell r="O81">
            <v>374918.14</v>
          </cell>
          <cell r="P81">
            <v>555224.09000000008</v>
          </cell>
          <cell r="Q81">
            <v>747814.85000000009</v>
          </cell>
          <cell r="R81">
            <v>974229.70000000007</v>
          </cell>
          <cell r="S81">
            <v>1195470.2000000002</v>
          </cell>
          <cell r="T81">
            <v>1583780.35</v>
          </cell>
          <cell r="U81">
            <v>1888955</v>
          </cell>
          <cell r="V81">
            <v>2166917.1</v>
          </cell>
          <cell r="W81">
            <v>2463009.35</v>
          </cell>
          <cell r="X81">
            <v>2831566.5</v>
          </cell>
          <cell r="Y81">
            <v>3467940.35</v>
          </cell>
          <cell r="Z81">
            <v>409891.9</v>
          </cell>
          <cell r="AA81">
            <v>670079.9</v>
          </cell>
          <cell r="AB81">
            <v>902477.60000000009</v>
          </cell>
          <cell r="AC81">
            <v>1149749.7000000002</v>
          </cell>
          <cell r="AD81">
            <v>1378465.9500000002</v>
          </cell>
          <cell r="AE81">
            <v>1605366.6</v>
          </cell>
          <cell r="AF81">
            <v>1833848.1</v>
          </cell>
          <cell r="AG81">
            <v>2063999.7000000002</v>
          </cell>
          <cell r="AH81">
            <v>2283288.85</v>
          </cell>
          <cell r="AI81">
            <v>2516533.9500000002</v>
          </cell>
          <cell r="AJ81">
            <v>2737485.35</v>
          </cell>
          <cell r="AK81">
            <v>2943273.85</v>
          </cell>
          <cell r="AL81">
            <v>211861.3</v>
          </cell>
          <cell r="AM81">
            <v>418743</v>
          </cell>
          <cell r="AN81">
            <v>627974.30000000005</v>
          </cell>
          <cell r="AO81">
            <v>833242.55</v>
          </cell>
          <cell r="AP81">
            <v>1030325.65</v>
          </cell>
          <cell r="AQ81">
            <v>1247539.75</v>
          </cell>
          <cell r="AR81">
            <v>1450029.8</v>
          </cell>
          <cell r="AS81">
            <v>1665582.6</v>
          </cell>
          <cell r="AT81">
            <v>1888539.37</v>
          </cell>
          <cell r="AU81">
            <v>2130858.1800000002</v>
          </cell>
          <cell r="AV81">
            <v>2387288.54</v>
          </cell>
          <cell r="AW81">
            <v>2662633.92</v>
          </cell>
          <cell r="AX81">
            <v>3118521.02</v>
          </cell>
          <cell r="AY81">
            <v>4017150.91</v>
          </cell>
          <cell r="AZ81">
            <v>6180247.7599999998</v>
          </cell>
          <cell r="BA81">
            <v>8981035.0299999993</v>
          </cell>
          <cell r="BB81">
            <v>9236011.379999999</v>
          </cell>
        </row>
        <row r="82">
          <cell r="A82" t="str">
            <v>ytd</v>
          </cell>
          <cell r="B82">
            <v>197124.3</v>
          </cell>
          <cell r="C82">
            <v>356353.55</v>
          </cell>
          <cell r="D82">
            <v>509756.69999999995</v>
          </cell>
          <cell r="E82">
            <v>661494.04999999993</v>
          </cell>
          <cell r="F82">
            <v>821950.45</v>
          </cell>
          <cell r="G82">
            <v>1005197.85</v>
          </cell>
          <cell r="H82">
            <v>1367009.75</v>
          </cell>
          <cell r="I82">
            <v>1527564.1</v>
          </cell>
          <cell r="J82">
            <v>1701955.9500000002</v>
          </cell>
          <cell r="K82">
            <v>1888182.35</v>
          </cell>
          <cell r="L82">
            <v>2095951.6500000001</v>
          </cell>
          <cell r="M82">
            <v>2456175.3000000003</v>
          </cell>
          <cell r="N82">
            <v>2652154.8100000005</v>
          </cell>
          <cell r="O82">
            <v>2831093.4400000004</v>
          </cell>
          <cell r="P82">
            <v>3011399.3900000006</v>
          </cell>
          <cell r="Q82">
            <v>3203990.1500000004</v>
          </cell>
          <cell r="R82">
            <v>3430405.0000000005</v>
          </cell>
          <cell r="S82">
            <v>3651645.5000000005</v>
          </cell>
          <cell r="T82">
            <v>4039955.6500000004</v>
          </cell>
          <cell r="U82">
            <v>4345130.3000000007</v>
          </cell>
          <cell r="V82">
            <v>4623092.4000000004</v>
          </cell>
          <cell r="W82">
            <v>4919184.6500000004</v>
          </cell>
          <cell r="X82">
            <v>5287741.8000000007</v>
          </cell>
          <cell r="Y82">
            <v>5924115.6500000004</v>
          </cell>
          <cell r="Z82">
            <v>6334007.5500000007</v>
          </cell>
          <cell r="AA82">
            <v>6594195.5500000007</v>
          </cell>
          <cell r="AB82">
            <v>6826593.2500000009</v>
          </cell>
          <cell r="AC82">
            <v>7073865.3500000006</v>
          </cell>
          <cell r="AD82">
            <v>7302581.6000000006</v>
          </cell>
          <cell r="AE82">
            <v>7529482.2500000009</v>
          </cell>
          <cell r="AF82">
            <v>7757963.7500000009</v>
          </cell>
          <cell r="AG82">
            <v>7988115.3500000006</v>
          </cell>
          <cell r="AH82">
            <v>8207404.5000000009</v>
          </cell>
          <cell r="AI82">
            <v>8440649.6000000015</v>
          </cell>
          <cell r="AJ82">
            <v>8661601.0000000019</v>
          </cell>
          <cell r="AK82">
            <v>8867389.5000000019</v>
          </cell>
          <cell r="AL82">
            <v>9079250.8000000026</v>
          </cell>
          <cell r="AM82">
            <v>9286132.5000000019</v>
          </cell>
          <cell r="AN82">
            <v>9495363.8000000026</v>
          </cell>
          <cell r="AO82">
            <v>9700632.0500000026</v>
          </cell>
          <cell r="AP82">
            <v>9897715.1500000022</v>
          </cell>
          <cell r="AQ82">
            <v>10114929.250000002</v>
          </cell>
          <cell r="AR82">
            <v>10317419.300000003</v>
          </cell>
          <cell r="AS82">
            <v>10532972.100000003</v>
          </cell>
          <cell r="AT82">
            <v>10755928.870000003</v>
          </cell>
          <cell r="AU82">
            <v>10998247.680000003</v>
          </cell>
          <cell r="AV82">
            <v>11254678.040000003</v>
          </cell>
          <cell r="AW82">
            <v>11530023.420000004</v>
          </cell>
          <cell r="AX82">
            <v>11985910.520000003</v>
          </cell>
          <cell r="AY82">
            <v>12884540.410000004</v>
          </cell>
          <cell r="AZ82">
            <v>15047637.260000004</v>
          </cell>
          <cell r="BA82">
            <v>17848424.530000005</v>
          </cell>
          <cell r="BB82">
            <v>18103400.880000006</v>
          </cell>
        </row>
        <row r="83">
          <cell r="A83" t="str">
            <v>PART</v>
          </cell>
          <cell r="B83">
            <v>5215602.22</v>
          </cell>
          <cell r="C83">
            <v>4381382.88</v>
          </cell>
          <cell r="D83">
            <v>4229716.45</v>
          </cell>
          <cell r="E83">
            <v>4162208.48</v>
          </cell>
          <cell r="F83">
            <v>4303465.55</v>
          </cell>
          <cell r="G83">
            <v>4778849.91</v>
          </cell>
          <cell r="H83">
            <v>7561097.8600000003</v>
          </cell>
          <cell r="I83">
            <v>4263254.4000000004</v>
          </cell>
          <cell r="J83">
            <v>4362225.34</v>
          </cell>
          <cell r="K83">
            <v>4656074.21</v>
          </cell>
          <cell r="L83">
            <v>4893819.0999999996</v>
          </cell>
          <cell r="M83">
            <v>7028107.25</v>
          </cell>
          <cell r="N83">
            <v>4783202.6399999997</v>
          </cell>
          <cell r="O83">
            <v>4638498.7699999996</v>
          </cell>
          <cell r="P83">
            <v>4612695.7</v>
          </cell>
          <cell r="Q83">
            <v>4924205.34</v>
          </cell>
          <cell r="R83">
            <v>5793059.7699999996</v>
          </cell>
          <cell r="S83">
            <v>5604222.0499999998</v>
          </cell>
          <cell r="T83">
            <v>10538639.77</v>
          </cell>
          <cell r="U83">
            <v>7744897.6500000004</v>
          </cell>
          <cell r="V83">
            <v>6621367.2000000002</v>
          </cell>
          <cell r="W83">
            <v>6949144.6200000001</v>
          </cell>
          <cell r="X83">
            <v>8617955.8300000001</v>
          </cell>
          <cell r="Y83">
            <v>13408676.449999999</v>
          </cell>
          <cell r="Z83">
            <v>8937729.0700000003</v>
          </cell>
          <cell r="AA83">
            <v>6102386.1799999997</v>
          </cell>
          <cell r="AB83">
            <v>5130477.12</v>
          </cell>
          <cell r="AC83">
            <v>5227436.26</v>
          </cell>
          <cell r="AD83">
            <v>5569244.3799999999</v>
          </cell>
          <cell r="AE83">
            <v>5395155.2800000003</v>
          </cell>
          <cell r="AF83">
            <v>5534616.6799999997</v>
          </cell>
          <cell r="AG83">
            <v>5488039.2699999996</v>
          </cell>
          <cell r="AH83">
            <v>5619932.21</v>
          </cell>
          <cell r="AI83">
            <v>5990189.3200000003</v>
          </cell>
          <cell r="AJ83">
            <v>5412380.1100000003</v>
          </cell>
          <cell r="AK83">
            <v>5460358.3300000001</v>
          </cell>
          <cell r="AL83">
            <v>5479935.1900000004</v>
          </cell>
          <cell r="AM83">
            <v>5543843.5300000003</v>
          </cell>
          <cell r="AN83">
            <v>5293379</v>
          </cell>
          <cell r="AO83">
            <v>5491684.0700000003</v>
          </cell>
          <cell r="AP83">
            <v>5310341.26</v>
          </cell>
          <cell r="AQ83">
            <v>5584389.2000000002</v>
          </cell>
          <cell r="AR83">
            <v>5396323.96</v>
          </cell>
          <cell r="AS83">
            <v>5621434.4500000002</v>
          </cell>
          <cell r="AT83">
            <v>6293560.9699999997</v>
          </cell>
          <cell r="AU83">
            <v>6871847.75</v>
          </cell>
          <cell r="AV83">
            <v>7829067.9000000004</v>
          </cell>
          <cell r="AW83">
            <v>9309924.3300000001</v>
          </cell>
          <cell r="AX83">
            <v>14510518.859999999</v>
          </cell>
          <cell r="AY83">
            <v>27449874.539999999</v>
          </cell>
          <cell r="AZ83">
            <v>61595184.659999996</v>
          </cell>
          <cell r="BA83">
            <v>73080022.060000002</v>
          </cell>
          <cell r="BB83">
            <v>7318920.9699999997</v>
          </cell>
        </row>
        <row r="84">
          <cell r="A84" t="str">
            <v>ptd</v>
          </cell>
          <cell r="B84">
            <v>5215602.22</v>
          </cell>
          <cell r="C84">
            <v>9596985.0999999996</v>
          </cell>
          <cell r="D84">
            <v>13826701.550000001</v>
          </cell>
          <cell r="E84">
            <v>17988910.030000001</v>
          </cell>
          <cell r="F84">
            <v>4303465.55</v>
          </cell>
          <cell r="G84">
            <v>9082315.4600000009</v>
          </cell>
          <cell r="H84">
            <v>16643413.32</v>
          </cell>
          <cell r="I84">
            <v>20906667.719999999</v>
          </cell>
          <cell r="J84">
            <v>4362225.34</v>
          </cell>
          <cell r="K84">
            <v>9018299.5500000007</v>
          </cell>
          <cell r="L84">
            <v>13912118.65</v>
          </cell>
          <cell r="M84">
            <v>20940225.899999999</v>
          </cell>
          <cell r="N84">
            <v>4783202.6399999997</v>
          </cell>
          <cell r="O84">
            <v>9421701.4100000001</v>
          </cell>
          <cell r="P84">
            <v>14034397.109999999</v>
          </cell>
          <cell r="Q84">
            <v>18958602.449999999</v>
          </cell>
          <cell r="R84">
            <v>5793059.7699999996</v>
          </cell>
          <cell r="S84">
            <v>11397281.82</v>
          </cell>
          <cell r="T84">
            <v>21935921.59</v>
          </cell>
          <cell r="U84">
            <v>29680819.240000002</v>
          </cell>
          <cell r="V84">
            <v>6621367.2000000002</v>
          </cell>
          <cell r="W84">
            <v>13570511.82</v>
          </cell>
          <cell r="X84">
            <v>22188467.649999999</v>
          </cell>
          <cell r="Y84">
            <v>35597144.099999994</v>
          </cell>
          <cell r="Z84">
            <v>8937729.0700000003</v>
          </cell>
          <cell r="AA84">
            <v>15040115.25</v>
          </cell>
          <cell r="AB84">
            <v>20170592.370000001</v>
          </cell>
          <cell r="AC84">
            <v>25398028.630000003</v>
          </cell>
          <cell r="AD84">
            <v>5569244.3799999999</v>
          </cell>
          <cell r="AE84">
            <v>10964399.66</v>
          </cell>
          <cell r="AF84">
            <v>16499016.34</v>
          </cell>
          <cell r="AG84">
            <v>21987055.609999999</v>
          </cell>
          <cell r="AH84">
            <v>5619932.21</v>
          </cell>
          <cell r="AI84">
            <v>11610121.530000001</v>
          </cell>
          <cell r="AJ84">
            <v>17022501.640000001</v>
          </cell>
          <cell r="AK84">
            <v>22482859.969999999</v>
          </cell>
          <cell r="AL84">
            <v>5479935.1900000004</v>
          </cell>
          <cell r="AM84">
            <v>11023778.720000001</v>
          </cell>
          <cell r="AN84">
            <v>16317157.720000001</v>
          </cell>
          <cell r="AO84">
            <v>21808841.789999999</v>
          </cell>
          <cell r="AP84">
            <v>5310341.26</v>
          </cell>
          <cell r="AQ84">
            <v>10894730.460000001</v>
          </cell>
          <cell r="AR84">
            <v>16291054.420000002</v>
          </cell>
          <cell r="AS84">
            <v>21912488.870000001</v>
          </cell>
          <cell r="AT84">
            <v>6293560.9699999997</v>
          </cell>
          <cell r="AU84">
            <v>13165408.719999999</v>
          </cell>
          <cell r="AV84">
            <v>20994476.619999997</v>
          </cell>
          <cell r="AW84">
            <v>30304400.949999996</v>
          </cell>
          <cell r="AX84">
            <v>14510518.859999999</v>
          </cell>
          <cell r="AY84">
            <v>41960393.399999999</v>
          </cell>
          <cell r="AZ84">
            <v>103555578.06</v>
          </cell>
          <cell r="BA84">
            <v>176635600.12</v>
          </cell>
          <cell r="BB84">
            <v>183954521.09</v>
          </cell>
        </row>
        <row r="85">
          <cell r="A85" t="str">
            <v>qtd</v>
          </cell>
          <cell r="B85">
            <v>5215602.22</v>
          </cell>
          <cell r="C85">
            <v>9596985.0999999996</v>
          </cell>
          <cell r="D85">
            <v>13826701.550000001</v>
          </cell>
          <cell r="E85">
            <v>17988910.030000001</v>
          </cell>
          <cell r="F85">
            <v>22292375.580000002</v>
          </cell>
          <cell r="G85">
            <v>27071225.490000002</v>
          </cell>
          <cell r="H85">
            <v>34632323.350000001</v>
          </cell>
          <cell r="I85">
            <v>38895577.75</v>
          </cell>
          <cell r="J85">
            <v>43257803.090000004</v>
          </cell>
          <cell r="K85">
            <v>47913877.300000004</v>
          </cell>
          <cell r="L85">
            <v>52807696.400000006</v>
          </cell>
          <cell r="M85">
            <v>59835803.650000006</v>
          </cell>
          <cell r="N85">
            <v>4783202.6399999997</v>
          </cell>
          <cell r="O85">
            <v>9421701.4100000001</v>
          </cell>
          <cell r="P85">
            <v>14034397.109999999</v>
          </cell>
          <cell r="Q85">
            <v>18958602.449999999</v>
          </cell>
          <cell r="R85">
            <v>24751662.219999999</v>
          </cell>
          <cell r="S85">
            <v>30355884.27</v>
          </cell>
          <cell r="T85">
            <v>40894524.039999999</v>
          </cell>
          <cell r="U85">
            <v>48639421.689999998</v>
          </cell>
          <cell r="V85">
            <v>55260788.890000001</v>
          </cell>
          <cell r="W85">
            <v>62209933.509999998</v>
          </cell>
          <cell r="X85">
            <v>70827889.340000004</v>
          </cell>
          <cell r="Y85">
            <v>84236565.790000007</v>
          </cell>
          <cell r="Z85">
            <v>8937729.0700000003</v>
          </cell>
          <cell r="AA85">
            <v>15040115.25</v>
          </cell>
          <cell r="AB85">
            <v>20170592.370000001</v>
          </cell>
          <cell r="AC85">
            <v>25398028.630000003</v>
          </cell>
          <cell r="AD85">
            <v>30967273.010000002</v>
          </cell>
          <cell r="AE85">
            <v>36362428.289999999</v>
          </cell>
          <cell r="AF85">
            <v>41897044.969999999</v>
          </cell>
          <cell r="AG85">
            <v>47385084.239999995</v>
          </cell>
          <cell r="AH85">
            <v>53005016.449999996</v>
          </cell>
          <cell r="AI85">
            <v>58995205.769999996</v>
          </cell>
          <cell r="AJ85">
            <v>64407585.879999995</v>
          </cell>
          <cell r="AK85">
            <v>69867944.209999993</v>
          </cell>
          <cell r="AL85">
            <v>5479935.1900000004</v>
          </cell>
          <cell r="AM85">
            <v>11023778.720000001</v>
          </cell>
          <cell r="AN85">
            <v>16317157.720000001</v>
          </cell>
          <cell r="AO85">
            <v>21808841.789999999</v>
          </cell>
          <cell r="AP85">
            <v>27119183.049999997</v>
          </cell>
          <cell r="AQ85">
            <v>32703572.249999996</v>
          </cell>
          <cell r="AR85">
            <v>38099896.209999993</v>
          </cell>
          <cell r="AS85">
            <v>43721330.659999996</v>
          </cell>
          <cell r="AT85">
            <v>50014891.629999995</v>
          </cell>
          <cell r="AU85">
            <v>56886739.379999995</v>
          </cell>
          <cell r="AV85">
            <v>64715807.279999994</v>
          </cell>
          <cell r="AW85">
            <v>74025731.609999999</v>
          </cell>
          <cell r="AX85">
            <v>88536250.469999999</v>
          </cell>
          <cell r="AY85">
            <v>115986125.00999999</v>
          </cell>
          <cell r="AZ85">
            <v>177581309.66999999</v>
          </cell>
          <cell r="BA85">
            <v>250661331.72999999</v>
          </cell>
          <cell r="BB85">
            <v>257980252.69999999</v>
          </cell>
        </row>
        <row r="86">
          <cell r="A86" t="str">
            <v>ytd</v>
          </cell>
          <cell r="B86">
            <v>5215602.22</v>
          </cell>
          <cell r="C86">
            <v>9596985.0999999996</v>
          </cell>
          <cell r="D86">
            <v>13826701.550000001</v>
          </cell>
          <cell r="E86">
            <v>17988910.030000001</v>
          </cell>
          <cell r="F86">
            <v>22292375.580000002</v>
          </cell>
          <cell r="G86">
            <v>27071225.490000002</v>
          </cell>
          <cell r="H86">
            <v>34632323.350000001</v>
          </cell>
          <cell r="I86">
            <v>38895577.75</v>
          </cell>
          <cell r="J86">
            <v>43257803.090000004</v>
          </cell>
          <cell r="K86">
            <v>47913877.300000004</v>
          </cell>
          <cell r="L86">
            <v>52807696.400000006</v>
          </cell>
          <cell r="M86">
            <v>59835803.650000006</v>
          </cell>
          <cell r="N86">
            <v>64619006.290000007</v>
          </cell>
          <cell r="O86">
            <v>69257505.060000002</v>
          </cell>
          <cell r="P86">
            <v>73870200.760000005</v>
          </cell>
          <cell r="Q86">
            <v>78794406.100000009</v>
          </cell>
          <cell r="R86">
            <v>84587465.870000005</v>
          </cell>
          <cell r="S86">
            <v>90191687.920000002</v>
          </cell>
          <cell r="T86">
            <v>100730327.69</v>
          </cell>
          <cell r="U86">
            <v>108475225.34</v>
          </cell>
          <cell r="V86">
            <v>115096592.54000001</v>
          </cell>
          <cell r="W86">
            <v>122045737.16000001</v>
          </cell>
          <cell r="X86">
            <v>130663692.99000001</v>
          </cell>
          <cell r="Y86">
            <v>144072369.44</v>
          </cell>
          <cell r="Z86">
            <v>153010098.50999999</v>
          </cell>
          <cell r="AA86">
            <v>159112484.69</v>
          </cell>
          <cell r="AB86">
            <v>164242961.81</v>
          </cell>
          <cell r="AC86">
            <v>169470398.06999999</v>
          </cell>
          <cell r="AD86">
            <v>175039642.44999999</v>
          </cell>
          <cell r="AE86">
            <v>180434797.72999999</v>
          </cell>
          <cell r="AF86">
            <v>185969414.41</v>
          </cell>
          <cell r="AG86">
            <v>191457453.68000001</v>
          </cell>
          <cell r="AH86">
            <v>197077385.89000002</v>
          </cell>
          <cell r="AI86">
            <v>203067575.21000001</v>
          </cell>
          <cell r="AJ86">
            <v>208479955.32000002</v>
          </cell>
          <cell r="AK86">
            <v>213940313.65000004</v>
          </cell>
          <cell r="AL86">
            <v>219420248.84000003</v>
          </cell>
          <cell r="AM86">
            <v>224964092.37000003</v>
          </cell>
          <cell r="AN86">
            <v>230257471.37000003</v>
          </cell>
          <cell r="AO86">
            <v>235749155.44000003</v>
          </cell>
          <cell r="AP86">
            <v>241059496.70000002</v>
          </cell>
          <cell r="AQ86">
            <v>246643885.90000001</v>
          </cell>
          <cell r="AR86">
            <v>252040209.86000001</v>
          </cell>
          <cell r="AS86">
            <v>257661644.31</v>
          </cell>
          <cell r="AT86">
            <v>263955205.28</v>
          </cell>
          <cell r="AU86">
            <v>270827053.02999997</v>
          </cell>
          <cell r="AV86">
            <v>278656120.92999995</v>
          </cell>
          <cell r="AW86">
            <v>287966045.25999993</v>
          </cell>
          <cell r="AX86">
            <v>302476564.11999995</v>
          </cell>
          <cell r="AY86">
            <v>329926438.65999997</v>
          </cell>
          <cell r="AZ86">
            <v>391521623.31999993</v>
          </cell>
          <cell r="BA86">
            <v>464601645.37999994</v>
          </cell>
          <cell r="BB86">
            <v>471920566.34999996</v>
          </cell>
        </row>
        <row r="87">
          <cell r="A87" t="str">
            <v>PRED</v>
          </cell>
          <cell r="B87">
            <v>1880317.55</v>
          </cell>
          <cell r="C87">
            <v>1734234.06</v>
          </cell>
          <cell r="D87">
            <v>1873963.72</v>
          </cell>
          <cell r="E87">
            <v>1760734.32</v>
          </cell>
          <cell r="F87">
            <v>2077800.12</v>
          </cell>
          <cell r="G87">
            <v>2078695.45</v>
          </cell>
          <cell r="H87">
            <v>2054303.27</v>
          </cell>
          <cell r="I87">
            <v>1998057.18</v>
          </cell>
          <cell r="J87">
            <v>2136138.2200000002</v>
          </cell>
          <cell r="K87">
            <v>2192833.14</v>
          </cell>
          <cell r="L87">
            <v>2163185.4300000002</v>
          </cell>
          <cell r="M87">
            <v>2071559.63</v>
          </cell>
          <cell r="N87">
            <v>1861795.13</v>
          </cell>
          <cell r="O87">
            <v>2214338.7000000002</v>
          </cell>
          <cell r="P87">
            <v>1832161.12</v>
          </cell>
          <cell r="Q87">
            <v>1923050.07</v>
          </cell>
          <cell r="R87">
            <v>1834237.12</v>
          </cell>
          <cell r="S87">
            <v>2026807.29</v>
          </cell>
          <cell r="T87">
            <v>1914621.31</v>
          </cell>
          <cell r="U87">
            <v>1898969.74</v>
          </cell>
          <cell r="V87">
            <v>1975484.49</v>
          </cell>
          <cell r="W87">
            <v>1953031.69</v>
          </cell>
          <cell r="X87">
            <v>2314630.23</v>
          </cell>
          <cell r="Y87">
            <v>2138006.37</v>
          </cell>
          <cell r="Z87">
            <v>2147922.2799999998</v>
          </cell>
          <cell r="AA87">
            <v>2074131.05</v>
          </cell>
          <cell r="AB87">
            <v>2282252.66</v>
          </cell>
          <cell r="AC87">
            <v>2102662.27</v>
          </cell>
          <cell r="AD87">
            <v>2155056.3199999998</v>
          </cell>
          <cell r="AE87">
            <v>1954198.13</v>
          </cell>
          <cell r="AF87">
            <v>2147363.0499999998</v>
          </cell>
          <cell r="AG87">
            <v>2097749.9</v>
          </cell>
          <cell r="AH87">
            <v>2033968.23</v>
          </cell>
          <cell r="AI87">
            <v>2067140.61</v>
          </cell>
          <cell r="AJ87">
            <v>2119630.4700000002</v>
          </cell>
          <cell r="AK87">
            <v>2155612.4500000002</v>
          </cell>
          <cell r="AL87">
            <v>2104967.0499999998</v>
          </cell>
          <cell r="AM87">
            <v>2208460.92</v>
          </cell>
          <cell r="AN87">
            <v>2061424.48</v>
          </cell>
          <cell r="AO87">
            <v>2455787.38</v>
          </cell>
          <cell r="AP87">
            <v>2157102.6800000002</v>
          </cell>
          <cell r="AQ87">
            <v>2109366.94</v>
          </cell>
          <cell r="AR87">
            <v>1998349.7</v>
          </cell>
          <cell r="AS87">
            <v>1959735.33</v>
          </cell>
          <cell r="AT87">
            <v>2231025.63</v>
          </cell>
          <cell r="AU87">
            <v>2009455.25</v>
          </cell>
          <cell r="AV87">
            <v>2054342.12</v>
          </cell>
          <cell r="AW87">
            <v>1817711.92</v>
          </cell>
          <cell r="AX87">
            <v>2312899.48</v>
          </cell>
          <cell r="AY87">
            <v>2029658.45</v>
          </cell>
          <cell r="AZ87">
            <v>2331826.63</v>
          </cell>
          <cell r="BA87">
            <v>1803868.33</v>
          </cell>
          <cell r="BB87">
            <v>2018691.04</v>
          </cell>
        </row>
        <row r="88">
          <cell r="A88" t="str">
            <v>ptd</v>
          </cell>
          <cell r="B88">
            <v>1880317.55</v>
          </cell>
          <cell r="C88">
            <v>3614551.6100000003</v>
          </cell>
          <cell r="D88">
            <v>5488515.3300000001</v>
          </cell>
          <cell r="E88">
            <v>7249249.6500000004</v>
          </cell>
          <cell r="F88">
            <v>2077800.12</v>
          </cell>
          <cell r="G88">
            <v>4156495.5700000003</v>
          </cell>
          <cell r="H88">
            <v>6210798.8399999999</v>
          </cell>
          <cell r="I88">
            <v>8208856.0199999996</v>
          </cell>
          <cell r="J88">
            <v>2136138.2200000002</v>
          </cell>
          <cell r="K88">
            <v>4328971.3600000003</v>
          </cell>
          <cell r="L88">
            <v>6492156.790000001</v>
          </cell>
          <cell r="M88">
            <v>8563716.4200000018</v>
          </cell>
          <cell r="N88">
            <v>1861795.13</v>
          </cell>
          <cell r="O88">
            <v>4076133.83</v>
          </cell>
          <cell r="P88">
            <v>5908294.9500000002</v>
          </cell>
          <cell r="Q88">
            <v>7831345.0200000005</v>
          </cell>
          <cell r="R88">
            <v>1834237.12</v>
          </cell>
          <cell r="S88">
            <v>3861044.41</v>
          </cell>
          <cell r="T88">
            <v>5775665.7200000007</v>
          </cell>
          <cell r="U88">
            <v>7674635.4600000009</v>
          </cell>
          <cell r="V88">
            <v>1975484.49</v>
          </cell>
          <cell r="W88">
            <v>3928516.1799999997</v>
          </cell>
          <cell r="X88">
            <v>6243146.4100000001</v>
          </cell>
          <cell r="Y88">
            <v>8381152.7800000003</v>
          </cell>
          <cell r="Z88">
            <v>2147922.2799999998</v>
          </cell>
          <cell r="AA88">
            <v>4222053.33</v>
          </cell>
          <cell r="AB88">
            <v>6504305.9900000002</v>
          </cell>
          <cell r="AC88">
            <v>8606968.2599999998</v>
          </cell>
          <cell r="AD88">
            <v>2155056.3199999998</v>
          </cell>
          <cell r="AE88">
            <v>4109254.4499999997</v>
          </cell>
          <cell r="AF88">
            <v>6256617.5</v>
          </cell>
          <cell r="AG88">
            <v>8354367.4000000004</v>
          </cell>
          <cell r="AH88">
            <v>2033968.23</v>
          </cell>
          <cell r="AI88">
            <v>4101108.84</v>
          </cell>
          <cell r="AJ88">
            <v>6220739.3100000005</v>
          </cell>
          <cell r="AK88">
            <v>8376351.7600000007</v>
          </cell>
          <cell r="AL88">
            <v>2104967.0499999998</v>
          </cell>
          <cell r="AM88">
            <v>4313427.97</v>
          </cell>
          <cell r="AN88">
            <v>6374852.4499999993</v>
          </cell>
          <cell r="AO88">
            <v>8830639.8299999982</v>
          </cell>
          <cell r="AP88">
            <v>2157102.6800000002</v>
          </cell>
          <cell r="AQ88">
            <v>4266469.62</v>
          </cell>
          <cell r="AR88">
            <v>6264819.3200000003</v>
          </cell>
          <cell r="AS88">
            <v>8224554.6500000004</v>
          </cell>
          <cell r="AT88">
            <v>2231025.63</v>
          </cell>
          <cell r="AU88">
            <v>4240480.88</v>
          </cell>
          <cell r="AV88">
            <v>6294823</v>
          </cell>
          <cell r="AW88">
            <v>8112534.9199999999</v>
          </cell>
          <cell r="AX88">
            <v>2312899.48</v>
          </cell>
          <cell r="AY88">
            <v>4342557.93</v>
          </cell>
          <cell r="AZ88">
            <v>6674384.5599999996</v>
          </cell>
          <cell r="BA88">
            <v>8478252.8900000006</v>
          </cell>
          <cell r="BB88">
            <v>10496943.93</v>
          </cell>
        </row>
        <row r="89">
          <cell r="A89" t="str">
            <v>qtd</v>
          </cell>
          <cell r="B89">
            <v>1880317.55</v>
          </cell>
          <cell r="C89">
            <v>3614551.6100000003</v>
          </cell>
          <cell r="D89">
            <v>5488515.3300000001</v>
          </cell>
          <cell r="E89">
            <v>7249249.6500000004</v>
          </cell>
          <cell r="F89">
            <v>9327049.7699999996</v>
          </cell>
          <cell r="G89">
            <v>11405745.219999999</v>
          </cell>
          <cell r="H89">
            <v>13460048.489999998</v>
          </cell>
          <cell r="I89">
            <v>15458105.669999998</v>
          </cell>
          <cell r="J89">
            <v>17594243.889999997</v>
          </cell>
          <cell r="K89">
            <v>19787077.029999997</v>
          </cell>
          <cell r="L89">
            <v>21950262.459999997</v>
          </cell>
          <cell r="M89">
            <v>24021822.089999996</v>
          </cell>
          <cell r="N89">
            <v>1861795.13</v>
          </cell>
          <cell r="O89">
            <v>4076133.83</v>
          </cell>
          <cell r="P89">
            <v>5908294.9500000002</v>
          </cell>
          <cell r="Q89">
            <v>7831345.0200000005</v>
          </cell>
          <cell r="R89">
            <v>9665582.1400000006</v>
          </cell>
          <cell r="S89">
            <v>11692389.43</v>
          </cell>
          <cell r="T89">
            <v>13607010.74</v>
          </cell>
          <cell r="U89">
            <v>15505980.48</v>
          </cell>
          <cell r="V89">
            <v>17481464.969999999</v>
          </cell>
          <cell r="W89">
            <v>19434496.66</v>
          </cell>
          <cell r="X89">
            <v>21749126.890000001</v>
          </cell>
          <cell r="Y89">
            <v>23887133.260000002</v>
          </cell>
          <cell r="Z89">
            <v>2147922.2799999998</v>
          </cell>
          <cell r="AA89">
            <v>4222053.33</v>
          </cell>
          <cell r="AB89">
            <v>6504305.9900000002</v>
          </cell>
          <cell r="AC89">
            <v>8606968.2599999998</v>
          </cell>
          <cell r="AD89">
            <v>10762024.58</v>
          </cell>
          <cell r="AE89">
            <v>12716222.710000001</v>
          </cell>
          <cell r="AF89">
            <v>14863585.760000002</v>
          </cell>
          <cell r="AG89">
            <v>16961335.66</v>
          </cell>
          <cell r="AH89">
            <v>18995303.890000001</v>
          </cell>
          <cell r="AI89">
            <v>21062444.5</v>
          </cell>
          <cell r="AJ89">
            <v>23182074.969999999</v>
          </cell>
          <cell r="AK89">
            <v>25337687.419999998</v>
          </cell>
          <cell r="AL89">
            <v>2104967.0499999998</v>
          </cell>
          <cell r="AM89">
            <v>4313427.97</v>
          </cell>
          <cell r="AN89">
            <v>6374852.4499999993</v>
          </cell>
          <cell r="AO89">
            <v>8830639.8299999982</v>
          </cell>
          <cell r="AP89">
            <v>10987742.509999998</v>
          </cell>
          <cell r="AQ89">
            <v>13097109.449999997</v>
          </cell>
          <cell r="AR89">
            <v>15095459.149999997</v>
          </cell>
          <cell r="AS89">
            <v>17055194.479999997</v>
          </cell>
          <cell r="AT89">
            <v>19286220.109999996</v>
          </cell>
          <cell r="AU89">
            <v>21295675.359999996</v>
          </cell>
          <cell r="AV89">
            <v>23350017.479999997</v>
          </cell>
          <cell r="AW89">
            <v>25167729.399999999</v>
          </cell>
          <cell r="AX89">
            <v>27480628.879999999</v>
          </cell>
          <cell r="AY89">
            <v>29510287.329999998</v>
          </cell>
          <cell r="AZ89">
            <v>31842113.959999997</v>
          </cell>
          <cell r="BA89">
            <v>33645982.289999999</v>
          </cell>
          <cell r="BB89">
            <v>35664673.329999998</v>
          </cell>
        </row>
        <row r="90">
          <cell r="A90" t="str">
            <v>ytd</v>
          </cell>
          <cell r="B90">
            <v>1880317.55</v>
          </cell>
          <cell r="C90">
            <v>3614551.6100000003</v>
          </cell>
          <cell r="D90">
            <v>5488515.3300000001</v>
          </cell>
          <cell r="E90">
            <v>7249249.6500000004</v>
          </cell>
          <cell r="F90">
            <v>9327049.7699999996</v>
          </cell>
          <cell r="G90">
            <v>11405745.219999999</v>
          </cell>
          <cell r="H90">
            <v>13460048.489999998</v>
          </cell>
          <cell r="I90">
            <v>15458105.669999998</v>
          </cell>
          <cell r="J90">
            <v>17594243.889999997</v>
          </cell>
          <cell r="K90">
            <v>19787077.029999997</v>
          </cell>
          <cell r="L90">
            <v>21950262.459999997</v>
          </cell>
          <cell r="M90">
            <v>24021822.089999996</v>
          </cell>
          <cell r="N90">
            <v>25883617.219999995</v>
          </cell>
          <cell r="O90">
            <v>28097955.919999994</v>
          </cell>
          <cell r="P90">
            <v>29930117.039999995</v>
          </cell>
          <cell r="Q90">
            <v>31853167.109999996</v>
          </cell>
          <cell r="R90">
            <v>33687404.229999997</v>
          </cell>
          <cell r="S90">
            <v>35714211.519999996</v>
          </cell>
          <cell r="T90">
            <v>37628832.829999998</v>
          </cell>
          <cell r="U90">
            <v>39527802.57</v>
          </cell>
          <cell r="V90">
            <v>41503287.060000002</v>
          </cell>
          <cell r="W90">
            <v>43456318.75</v>
          </cell>
          <cell r="X90">
            <v>45770948.979999997</v>
          </cell>
          <cell r="Y90">
            <v>47908955.349999994</v>
          </cell>
          <cell r="Z90">
            <v>50056877.629999995</v>
          </cell>
          <cell r="AA90">
            <v>52131008.679999992</v>
          </cell>
          <cell r="AB90">
            <v>54413261.339999989</v>
          </cell>
          <cell r="AC90">
            <v>56515923.609999992</v>
          </cell>
          <cell r="AD90">
            <v>58670979.929999992</v>
          </cell>
          <cell r="AE90">
            <v>60625178.059999995</v>
          </cell>
          <cell r="AF90">
            <v>62772541.109999992</v>
          </cell>
          <cell r="AG90">
            <v>64870291.00999999</v>
          </cell>
          <cell r="AH90">
            <v>66904259.239999987</v>
          </cell>
          <cell r="AI90">
            <v>68971399.849999994</v>
          </cell>
          <cell r="AJ90">
            <v>71091030.319999993</v>
          </cell>
          <cell r="AK90">
            <v>73246642.769999996</v>
          </cell>
          <cell r="AL90">
            <v>75351609.819999993</v>
          </cell>
          <cell r="AM90">
            <v>77560070.739999995</v>
          </cell>
          <cell r="AN90">
            <v>79621495.219999999</v>
          </cell>
          <cell r="AO90">
            <v>82077282.599999994</v>
          </cell>
          <cell r="AP90">
            <v>84234385.280000001</v>
          </cell>
          <cell r="AQ90">
            <v>86343752.219999999</v>
          </cell>
          <cell r="AR90">
            <v>88342101.920000002</v>
          </cell>
          <cell r="AS90">
            <v>90301837.25</v>
          </cell>
          <cell r="AT90">
            <v>92532862.879999995</v>
          </cell>
          <cell r="AU90">
            <v>94542318.129999995</v>
          </cell>
          <cell r="AV90">
            <v>96596660.25</v>
          </cell>
          <cell r="AW90">
            <v>98414372.170000002</v>
          </cell>
          <cell r="AX90">
            <v>100727271.65000001</v>
          </cell>
          <cell r="AY90">
            <v>102756930.10000001</v>
          </cell>
          <cell r="AZ90">
            <v>105088756.73</v>
          </cell>
          <cell r="BA90">
            <v>106892625.06</v>
          </cell>
          <cell r="BB90">
            <v>108911316.10000001</v>
          </cell>
        </row>
        <row r="91">
          <cell r="A91" t="str">
            <v>PREG</v>
          </cell>
          <cell r="B91">
            <v>3031053.62</v>
          </cell>
          <cell r="C91">
            <v>2838407.19</v>
          </cell>
          <cell r="D91">
            <v>2643371.66</v>
          </cell>
          <cell r="E91">
            <v>2486877.4700000002</v>
          </cell>
          <cell r="F91">
            <v>2563694.75</v>
          </cell>
          <cell r="G91">
            <v>2747937.73</v>
          </cell>
          <cell r="H91">
            <v>3157323.6</v>
          </cell>
          <cell r="I91">
            <v>2557437.96</v>
          </cell>
          <cell r="J91">
            <v>2628475.4500000002</v>
          </cell>
          <cell r="K91">
            <v>2748741.85</v>
          </cell>
          <cell r="L91">
            <v>2846540.87</v>
          </cell>
          <cell r="M91">
            <v>3125279.32</v>
          </cell>
          <cell r="N91">
            <v>2657123.4300000002</v>
          </cell>
          <cell r="O91">
            <v>2777700.71</v>
          </cell>
          <cell r="P91">
            <v>2752461.41</v>
          </cell>
          <cell r="Q91">
            <v>2824498.56</v>
          </cell>
          <cell r="R91">
            <v>3274853.23</v>
          </cell>
          <cell r="S91">
            <v>3211029.17</v>
          </cell>
          <cell r="T91">
            <v>4627327.5999999996</v>
          </cell>
          <cell r="U91">
            <v>4121988.73</v>
          </cell>
          <cell r="V91">
            <v>4026496.3</v>
          </cell>
          <cell r="W91">
            <v>4042852.49</v>
          </cell>
          <cell r="X91">
            <v>4949842.34</v>
          </cell>
          <cell r="Y91">
            <v>5770553.0599999996</v>
          </cell>
          <cell r="Z91">
            <v>4115314.35</v>
          </cell>
          <cell r="AA91">
            <v>3318051.93</v>
          </cell>
          <cell r="AB91">
            <v>2989156.39</v>
          </cell>
          <cell r="AC91">
            <v>3008185.12</v>
          </cell>
          <cell r="AD91">
            <v>3106467.74</v>
          </cell>
          <cell r="AE91">
            <v>3138999.78</v>
          </cell>
          <cell r="AF91">
            <v>3236613.58</v>
          </cell>
          <cell r="AG91">
            <v>3234700.19</v>
          </cell>
          <cell r="AH91">
            <v>3307648.73</v>
          </cell>
          <cell r="AI91">
            <v>3404029.55</v>
          </cell>
          <cell r="AJ91">
            <v>3163492.03</v>
          </cell>
          <cell r="AK91">
            <v>2906023.17</v>
          </cell>
          <cell r="AL91">
            <v>3083305.49</v>
          </cell>
          <cell r="AM91">
            <v>3129055.95</v>
          </cell>
          <cell r="AN91">
            <v>3039056.01</v>
          </cell>
          <cell r="AO91">
            <v>3176108.38</v>
          </cell>
          <cell r="AP91">
            <v>2987216.04</v>
          </cell>
          <cell r="AQ91">
            <v>2935414.52</v>
          </cell>
          <cell r="AR91">
            <v>2945258.19</v>
          </cell>
          <cell r="AS91">
            <v>2970592.54</v>
          </cell>
          <cell r="AT91">
            <v>3195469.61</v>
          </cell>
          <cell r="AU91">
            <v>3129703.64</v>
          </cell>
          <cell r="AV91">
            <v>3563716.21</v>
          </cell>
          <cell r="AW91">
            <v>3825350.52</v>
          </cell>
          <cell r="AX91">
            <v>6214484.0999999996</v>
          </cell>
          <cell r="AY91">
            <v>11482736.939999999</v>
          </cell>
          <cell r="AZ91">
            <v>25392189.309999999</v>
          </cell>
          <cell r="BA91">
            <v>29061737.059999999</v>
          </cell>
          <cell r="BB91">
            <v>3461771.83</v>
          </cell>
        </row>
        <row r="92">
          <cell r="A92" t="str">
            <v>ptd</v>
          </cell>
          <cell r="B92">
            <v>3031053.62</v>
          </cell>
          <cell r="C92">
            <v>5869460.8100000005</v>
          </cell>
          <cell r="D92">
            <v>8512832.4700000007</v>
          </cell>
          <cell r="E92">
            <v>10999709.940000001</v>
          </cell>
          <cell r="F92">
            <v>2563694.75</v>
          </cell>
          <cell r="G92">
            <v>5311632.4800000004</v>
          </cell>
          <cell r="H92">
            <v>8468956.0800000001</v>
          </cell>
          <cell r="I92">
            <v>11026394.039999999</v>
          </cell>
          <cell r="J92">
            <v>2628475.4500000002</v>
          </cell>
          <cell r="K92">
            <v>5377217.3000000007</v>
          </cell>
          <cell r="L92">
            <v>8223758.1700000009</v>
          </cell>
          <cell r="M92">
            <v>11349037.49</v>
          </cell>
          <cell r="N92">
            <v>2657123.4300000002</v>
          </cell>
          <cell r="O92">
            <v>5434824.1400000006</v>
          </cell>
          <cell r="P92">
            <v>8187285.5500000007</v>
          </cell>
          <cell r="Q92">
            <v>11011784.110000001</v>
          </cell>
          <cell r="R92">
            <v>3274853.23</v>
          </cell>
          <cell r="S92">
            <v>6485882.4000000004</v>
          </cell>
          <cell r="T92">
            <v>11113210</v>
          </cell>
          <cell r="U92">
            <v>15235198.73</v>
          </cell>
          <cell r="V92">
            <v>4026496.3</v>
          </cell>
          <cell r="W92">
            <v>8069348.79</v>
          </cell>
          <cell r="X92">
            <v>13019191.129999999</v>
          </cell>
          <cell r="Y92">
            <v>18789744.189999998</v>
          </cell>
          <cell r="Z92">
            <v>4115314.35</v>
          </cell>
          <cell r="AA92">
            <v>7433366.2800000003</v>
          </cell>
          <cell r="AB92">
            <v>10422522.67</v>
          </cell>
          <cell r="AC92">
            <v>13430707.789999999</v>
          </cell>
          <cell r="AD92">
            <v>3106467.74</v>
          </cell>
          <cell r="AE92">
            <v>6245467.5199999996</v>
          </cell>
          <cell r="AF92">
            <v>9482081.0999999996</v>
          </cell>
          <cell r="AG92">
            <v>12716781.289999999</v>
          </cell>
          <cell r="AH92">
            <v>3307648.73</v>
          </cell>
          <cell r="AI92">
            <v>6711678.2799999993</v>
          </cell>
          <cell r="AJ92">
            <v>9875170.3099999987</v>
          </cell>
          <cell r="AK92">
            <v>12781193.479999999</v>
          </cell>
          <cell r="AL92">
            <v>3083305.49</v>
          </cell>
          <cell r="AM92">
            <v>6212361.4400000004</v>
          </cell>
          <cell r="AN92">
            <v>9251417.4499999993</v>
          </cell>
          <cell r="AO92">
            <v>12427525.829999998</v>
          </cell>
          <cell r="AP92">
            <v>2987216.04</v>
          </cell>
          <cell r="AQ92">
            <v>5922630.5600000005</v>
          </cell>
          <cell r="AR92">
            <v>8867888.75</v>
          </cell>
          <cell r="AS92">
            <v>11838481.289999999</v>
          </cell>
          <cell r="AT92">
            <v>3195469.61</v>
          </cell>
          <cell r="AU92">
            <v>6325173.25</v>
          </cell>
          <cell r="AV92">
            <v>9888889.4600000009</v>
          </cell>
          <cell r="AW92">
            <v>13714239.98</v>
          </cell>
          <cell r="AX92">
            <v>6214484.0999999996</v>
          </cell>
          <cell r="AY92">
            <v>17697221.039999999</v>
          </cell>
          <cell r="AZ92">
            <v>43089410.349999994</v>
          </cell>
          <cell r="BA92">
            <v>72151147.409999996</v>
          </cell>
          <cell r="BB92">
            <v>75612919.239999995</v>
          </cell>
        </row>
        <row r="93">
          <cell r="A93" t="str">
            <v>qtd</v>
          </cell>
          <cell r="B93">
            <v>3031053.62</v>
          </cell>
          <cell r="C93">
            <v>5869460.8100000005</v>
          </cell>
          <cell r="D93">
            <v>8512832.4700000007</v>
          </cell>
          <cell r="E93">
            <v>10999709.940000001</v>
          </cell>
          <cell r="F93">
            <v>13563404.690000001</v>
          </cell>
          <cell r="G93">
            <v>16311342.420000002</v>
          </cell>
          <cell r="H93">
            <v>19468666.020000003</v>
          </cell>
          <cell r="I93">
            <v>22026103.980000004</v>
          </cell>
          <cell r="J93">
            <v>24654579.430000003</v>
          </cell>
          <cell r="K93">
            <v>27403321.280000005</v>
          </cell>
          <cell r="L93">
            <v>30249862.150000006</v>
          </cell>
          <cell r="M93">
            <v>33375141.470000006</v>
          </cell>
          <cell r="N93">
            <v>2657123.4300000002</v>
          </cell>
          <cell r="O93">
            <v>5434824.1400000006</v>
          </cell>
          <cell r="P93">
            <v>8187285.5500000007</v>
          </cell>
          <cell r="Q93">
            <v>11011784.110000001</v>
          </cell>
          <cell r="R93">
            <v>14286637.340000002</v>
          </cell>
          <cell r="S93">
            <v>17497666.510000002</v>
          </cell>
          <cell r="T93">
            <v>22124994.109999999</v>
          </cell>
          <cell r="U93">
            <v>26246982.84</v>
          </cell>
          <cell r="V93">
            <v>30273479.140000001</v>
          </cell>
          <cell r="W93">
            <v>34316331.630000003</v>
          </cell>
          <cell r="X93">
            <v>39266173.969999999</v>
          </cell>
          <cell r="Y93">
            <v>45036727.030000001</v>
          </cell>
          <cell r="Z93">
            <v>4115314.35</v>
          </cell>
          <cell r="AA93">
            <v>7433366.2800000003</v>
          </cell>
          <cell r="AB93">
            <v>10422522.67</v>
          </cell>
          <cell r="AC93">
            <v>13430707.789999999</v>
          </cell>
          <cell r="AD93">
            <v>16537175.529999999</v>
          </cell>
          <cell r="AE93">
            <v>19676175.309999999</v>
          </cell>
          <cell r="AF93">
            <v>22912788.890000001</v>
          </cell>
          <cell r="AG93">
            <v>26147489.080000002</v>
          </cell>
          <cell r="AH93">
            <v>29455137.810000002</v>
          </cell>
          <cell r="AI93">
            <v>32859167.360000003</v>
          </cell>
          <cell r="AJ93">
            <v>36022659.390000001</v>
          </cell>
          <cell r="AK93">
            <v>38928682.560000002</v>
          </cell>
          <cell r="AL93">
            <v>3083305.49</v>
          </cell>
          <cell r="AM93">
            <v>6212361.4400000004</v>
          </cell>
          <cell r="AN93">
            <v>9251417.4499999993</v>
          </cell>
          <cell r="AO93">
            <v>12427525.829999998</v>
          </cell>
          <cell r="AP93">
            <v>15414741.869999997</v>
          </cell>
          <cell r="AQ93">
            <v>18350156.389999997</v>
          </cell>
          <cell r="AR93">
            <v>21295414.579999998</v>
          </cell>
          <cell r="AS93">
            <v>24266007.119999997</v>
          </cell>
          <cell r="AT93">
            <v>27461476.729999997</v>
          </cell>
          <cell r="AU93">
            <v>30591180.369999997</v>
          </cell>
          <cell r="AV93">
            <v>34154896.579999998</v>
          </cell>
          <cell r="AW93">
            <v>37980247.100000001</v>
          </cell>
          <cell r="AX93">
            <v>44194731.200000003</v>
          </cell>
          <cell r="AY93">
            <v>55677468.140000001</v>
          </cell>
          <cell r="AZ93">
            <v>81069657.450000003</v>
          </cell>
          <cell r="BA93">
            <v>110131394.51000001</v>
          </cell>
          <cell r="BB93">
            <v>113593166.34</v>
          </cell>
        </row>
        <row r="94">
          <cell r="A94" t="str">
            <v>ytd</v>
          </cell>
          <cell r="B94">
            <v>3031053.62</v>
          </cell>
          <cell r="C94">
            <v>5869460.8100000005</v>
          </cell>
          <cell r="D94">
            <v>8512832.4700000007</v>
          </cell>
          <cell r="E94">
            <v>10999709.940000001</v>
          </cell>
          <cell r="F94">
            <v>13563404.690000001</v>
          </cell>
          <cell r="G94">
            <v>16311342.420000002</v>
          </cell>
          <cell r="H94">
            <v>19468666.020000003</v>
          </cell>
          <cell r="I94">
            <v>22026103.980000004</v>
          </cell>
          <cell r="J94">
            <v>24654579.430000003</v>
          </cell>
          <cell r="K94">
            <v>27403321.280000005</v>
          </cell>
          <cell r="L94">
            <v>30249862.150000006</v>
          </cell>
          <cell r="M94">
            <v>33375141.470000006</v>
          </cell>
          <cell r="N94">
            <v>36032264.900000006</v>
          </cell>
          <cell r="O94">
            <v>38809965.610000007</v>
          </cell>
          <cell r="P94">
            <v>41562427.020000011</v>
          </cell>
          <cell r="Q94">
            <v>44386925.580000013</v>
          </cell>
          <cell r="R94">
            <v>47661778.81000001</v>
          </cell>
          <cell r="S94">
            <v>50872807.980000012</v>
          </cell>
          <cell r="T94">
            <v>55500135.580000013</v>
          </cell>
          <cell r="U94">
            <v>59622124.31000001</v>
          </cell>
          <cell r="V94">
            <v>63648620.610000007</v>
          </cell>
          <cell r="W94">
            <v>67691473.100000009</v>
          </cell>
          <cell r="X94">
            <v>72641315.440000013</v>
          </cell>
          <cell r="Y94">
            <v>78411868.500000015</v>
          </cell>
          <cell r="Z94">
            <v>82527182.850000009</v>
          </cell>
          <cell r="AA94">
            <v>85845234.780000016</v>
          </cell>
          <cell r="AB94">
            <v>88834391.170000017</v>
          </cell>
          <cell r="AC94">
            <v>91842576.290000021</v>
          </cell>
          <cell r="AD94">
            <v>94949044.030000016</v>
          </cell>
          <cell r="AE94">
            <v>98088043.810000017</v>
          </cell>
          <cell r="AF94">
            <v>101324657.39000002</v>
          </cell>
          <cell r="AG94">
            <v>104559357.58000001</v>
          </cell>
          <cell r="AH94">
            <v>107867006.31000002</v>
          </cell>
          <cell r="AI94">
            <v>111271035.86000001</v>
          </cell>
          <cell r="AJ94">
            <v>114434527.89000002</v>
          </cell>
          <cell r="AK94">
            <v>117340551.06000002</v>
          </cell>
          <cell r="AL94">
            <v>120423856.55000001</v>
          </cell>
          <cell r="AM94">
            <v>123552912.50000001</v>
          </cell>
          <cell r="AN94">
            <v>126591968.51000002</v>
          </cell>
          <cell r="AO94">
            <v>129768076.89000002</v>
          </cell>
          <cell r="AP94">
            <v>132755292.93000002</v>
          </cell>
          <cell r="AQ94">
            <v>135690707.45000002</v>
          </cell>
          <cell r="AR94">
            <v>138635965.64000002</v>
          </cell>
          <cell r="AS94">
            <v>141606558.18000001</v>
          </cell>
          <cell r="AT94">
            <v>144802027.79000002</v>
          </cell>
          <cell r="AU94">
            <v>147931731.43000001</v>
          </cell>
          <cell r="AV94">
            <v>151495447.64000002</v>
          </cell>
          <cell r="AW94">
            <v>155320798.16000003</v>
          </cell>
          <cell r="AX94">
            <v>161535282.26000002</v>
          </cell>
          <cell r="AY94">
            <v>173018019.20000002</v>
          </cell>
          <cell r="AZ94">
            <v>198410208.51000002</v>
          </cell>
          <cell r="BA94">
            <v>227471945.57000002</v>
          </cell>
          <cell r="BB94">
            <v>230933717.40000004</v>
          </cell>
        </row>
        <row r="95">
          <cell r="A95" t="str">
            <v>SPRT</v>
          </cell>
          <cell r="B95">
            <v>66850</v>
          </cell>
          <cell r="C95">
            <v>49875</v>
          </cell>
          <cell r="D95">
            <v>47824</v>
          </cell>
          <cell r="E95">
            <v>48508</v>
          </cell>
          <cell r="F95">
            <v>48950</v>
          </cell>
          <cell r="G95">
            <v>51873</v>
          </cell>
          <cell r="H95">
            <v>104349</v>
          </cell>
          <cell r="I95">
            <v>49125</v>
          </cell>
          <cell r="J95">
            <v>51773</v>
          </cell>
          <cell r="K95">
            <v>58166</v>
          </cell>
          <cell r="L95">
            <v>57697</v>
          </cell>
          <cell r="M95">
            <v>88848</v>
          </cell>
          <cell r="N95">
            <v>58973</v>
          </cell>
          <cell r="O95">
            <v>67949</v>
          </cell>
          <cell r="P95">
            <v>68547</v>
          </cell>
          <cell r="Q95">
            <v>72623</v>
          </cell>
          <cell r="R95">
            <v>72474</v>
          </cell>
          <cell r="S95">
            <v>68796</v>
          </cell>
          <cell r="T95">
            <v>97174</v>
          </cell>
          <cell r="U95">
            <v>78775</v>
          </cell>
          <cell r="V95">
            <v>77498</v>
          </cell>
          <cell r="W95">
            <v>87899</v>
          </cell>
          <cell r="X95">
            <v>106724</v>
          </cell>
          <cell r="Y95">
            <v>203297</v>
          </cell>
          <cell r="Z95">
            <v>134645</v>
          </cell>
          <cell r="AA95">
            <v>56149</v>
          </cell>
          <cell r="AB95">
            <v>47324</v>
          </cell>
          <cell r="AC95">
            <v>48750</v>
          </cell>
          <cell r="AD95">
            <v>52575</v>
          </cell>
          <cell r="AE95">
            <v>49775</v>
          </cell>
          <cell r="AF95">
            <v>50425</v>
          </cell>
          <cell r="AG95">
            <v>51525</v>
          </cell>
          <cell r="AH95">
            <v>53325</v>
          </cell>
          <cell r="AI95">
            <v>52075</v>
          </cell>
          <cell r="AJ95">
            <v>47450</v>
          </cell>
          <cell r="AK95">
            <v>50000</v>
          </cell>
          <cell r="AL95">
            <v>47950</v>
          </cell>
          <cell r="AM95">
            <v>49575</v>
          </cell>
          <cell r="AN95">
            <v>46100</v>
          </cell>
          <cell r="AO95">
            <v>44875</v>
          </cell>
          <cell r="AP95">
            <v>42725</v>
          </cell>
          <cell r="AQ95">
            <v>45075</v>
          </cell>
          <cell r="AR95">
            <v>39525</v>
          </cell>
          <cell r="AS95">
            <v>38700</v>
          </cell>
          <cell r="AT95">
            <v>43000</v>
          </cell>
          <cell r="AU95">
            <v>43925</v>
          </cell>
          <cell r="AV95">
            <v>46100</v>
          </cell>
          <cell r="AW95">
            <v>57125</v>
          </cell>
          <cell r="AX95">
            <v>92400</v>
          </cell>
          <cell r="AY95">
            <v>174700</v>
          </cell>
          <cell r="AZ95">
            <v>453375</v>
          </cell>
          <cell r="BA95">
            <v>688164.06</v>
          </cell>
          <cell r="BB95">
            <v>59900</v>
          </cell>
        </row>
        <row r="96">
          <cell r="A96" t="str">
            <v>ptd</v>
          </cell>
          <cell r="B96">
            <v>66850</v>
          </cell>
          <cell r="C96">
            <v>116725</v>
          </cell>
          <cell r="D96">
            <v>164549</v>
          </cell>
          <cell r="E96">
            <v>213057</v>
          </cell>
          <cell r="F96">
            <v>48950</v>
          </cell>
          <cell r="G96">
            <v>100823</v>
          </cell>
          <cell r="H96">
            <v>205172</v>
          </cell>
          <cell r="I96">
            <v>254297</v>
          </cell>
          <cell r="J96">
            <v>51773</v>
          </cell>
          <cell r="K96">
            <v>109939</v>
          </cell>
          <cell r="L96">
            <v>167636</v>
          </cell>
          <cell r="M96">
            <v>256484</v>
          </cell>
          <cell r="N96">
            <v>58973</v>
          </cell>
          <cell r="O96">
            <v>126922</v>
          </cell>
          <cell r="P96">
            <v>195469</v>
          </cell>
          <cell r="Q96">
            <v>268092</v>
          </cell>
          <cell r="R96">
            <v>72474</v>
          </cell>
          <cell r="S96">
            <v>141270</v>
          </cell>
          <cell r="T96">
            <v>238444</v>
          </cell>
          <cell r="U96">
            <v>317219</v>
          </cell>
          <cell r="V96">
            <v>77498</v>
          </cell>
          <cell r="W96">
            <v>165397</v>
          </cell>
          <cell r="X96">
            <v>272121</v>
          </cell>
          <cell r="Y96">
            <v>475418</v>
          </cell>
          <cell r="Z96">
            <v>134645</v>
          </cell>
          <cell r="AA96">
            <v>190794</v>
          </cell>
          <cell r="AB96">
            <v>238118</v>
          </cell>
          <cell r="AC96">
            <v>286868</v>
          </cell>
          <cell r="AD96">
            <v>52575</v>
          </cell>
          <cell r="AE96">
            <v>102350</v>
          </cell>
          <cell r="AF96">
            <v>152775</v>
          </cell>
          <cell r="AG96">
            <v>204300</v>
          </cell>
          <cell r="AH96">
            <v>53325</v>
          </cell>
          <cell r="AI96">
            <v>105400</v>
          </cell>
          <cell r="AJ96">
            <v>152850</v>
          </cell>
          <cell r="AK96">
            <v>202850</v>
          </cell>
          <cell r="AL96">
            <v>47950</v>
          </cell>
          <cell r="AM96">
            <v>97525</v>
          </cell>
          <cell r="AN96">
            <v>143625</v>
          </cell>
          <cell r="AO96">
            <v>188500</v>
          </cell>
          <cell r="AP96">
            <v>42725</v>
          </cell>
          <cell r="AQ96">
            <v>87800</v>
          </cell>
          <cell r="AR96">
            <v>127325</v>
          </cell>
          <cell r="AS96">
            <v>166025</v>
          </cell>
          <cell r="AT96">
            <v>43000</v>
          </cell>
          <cell r="AU96">
            <v>86925</v>
          </cell>
          <cell r="AV96">
            <v>133025</v>
          </cell>
          <cell r="AW96">
            <v>190150</v>
          </cell>
          <cell r="AX96">
            <v>92400</v>
          </cell>
          <cell r="AY96">
            <v>267100</v>
          </cell>
          <cell r="AZ96">
            <v>720475</v>
          </cell>
          <cell r="BA96">
            <v>1408639.06</v>
          </cell>
          <cell r="BB96">
            <v>1468539.06</v>
          </cell>
        </row>
        <row r="97">
          <cell r="A97" t="str">
            <v>qtd</v>
          </cell>
          <cell r="B97">
            <v>66850</v>
          </cell>
          <cell r="C97">
            <v>116725</v>
          </cell>
          <cell r="D97">
            <v>164549</v>
          </cell>
          <cell r="E97">
            <v>213057</v>
          </cell>
          <cell r="F97">
            <v>262007</v>
          </cell>
          <cell r="G97">
            <v>313880</v>
          </cell>
          <cell r="H97">
            <v>418229</v>
          </cell>
          <cell r="I97">
            <v>467354</v>
          </cell>
          <cell r="J97">
            <v>519127</v>
          </cell>
          <cell r="K97">
            <v>577293</v>
          </cell>
          <cell r="L97">
            <v>634990</v>
          </cell>
          <cell r="M97">
            <v>723838</v>
          </cell>
          <cell r="N97">
            <v>58973</v>
          </cell>
          <cell r="O97">
            <v>126922</v>
          </cell>
          <cell r="P97">
            <v>195469</v>
          </cell>
          <cell r="Q97">
            <v>268092</v>
          </cell>
          <cell r="R97">
            <v>340566</v>
          </cell>
          <cell r="S97">
            <v>409362</v>
          </cell>
          <cell r="T97">
            <v>506536</v>
          </cell>
          <cell r="U97">
            <v>585311</v>
          </cell>
          <cell r="V97">
            <v>662809</v>
          </cell>
          <cell r="W97">
            <v>750708</v>
          </cell>
          <cell r="X97">
            <v>857432</v>
          </cell>
          <cell r="Y97">
            <v>1060729</v>
          </cell>
          <cell r="Z97">
            <v>134645</v>
          </cell>
          <cell r="AA97">
            <v>190794</v>
          </cell>
          <cell r="AB97">
            <v>238118</v>
          </cell>
          <cell r="AC97">
            <v>286868</v>
          </cell>
          <cell r="AD97">
            <v>339443</v>
          </cell>
          <cell r="AE97">
            <v>389218</v>
          </cell>
          <cell r="AF97">
            <v>439643</v>
          </cell>
          <cell r="AG97">
            <v>491168</v>
          </cell>
          <cell r="AH97">
            <v>544493</v>
          </cell>
          <cell r="AI97">
            <v>596568</v>
          </cell>
          <cell r="AJ97">
            <v>644018</v>
          </cell>
          <cell r="AK97">
            <v>694018</v>
          </cell>
          <cell r="AL97">
            <v>47950</v>
          </cell>
          <cell r="AM97">
            <v>97525</v>
          </cell>
          <cell r="AN97">
            <v>143625</v>
          </cell>
          <cell r="AO97">
            <v>188500</v>
          </cell>
          <cell r="AP97">
            <v>231225</v>
          </cell>
          <cell r="AQ97">
            <v>276300</v>
          </cell>
          <cell r="AR97">
            <v>315825</v>
          </cell>
          <cell r="AS97">
            <v>354525</v>
          </cell>
          <cell r="AT97">
            <v>397525</v>
          </cell>
          <cell r="AU97">
            <v>441450</v>
          </cell>
          <cell r="AV97">
            <v>487550</v>
          </cell>
          <cell r="AW97">
            <v>544675</v>
          </cell>
          <cell r="AX97">
            <v>637075</v>
          </cell>
          <cell r="AY97">
            <v>811775</v>
          </cell>
          <cell r="AZ97">
            <v>1265150</v>
          </cell>
          <cell r="BA97">
            <v>1953314.06</v>
          </cell>
          <cell r="BB97">
            <v>2013214.06</v>
          </cell>
        </row>
        <row r="98">
          <cell r="A98" t="str">
            <v>ytd</v>
          </cell>
          <cell r="B98">
            <v>66850</v>
          </cell>
          <cell r="C98">
            <v>116725</v>
          </cell>
          <cell r="D98">
            <v>164549</v>
          </cell>
          <cell r="E98">
            <v>213057</v>
          </cell>
          <cell r="F98">
            <v>262007</v>
          </cell>
          <cell r="G98">
            <v>313880</v>
          </cell>
          <cell r="H98">
            <v>418229</v>
          </cell>
          <cell r="I98">
            <v>467354</v>
          </cell>
          <cell r="J98">
            <v>519127</v>
          </cell>
          <cell r="K98">
            <v>577293</v>
          </cell>
          <cell r="L98">
            <v>634990</v>
          </cell>
          <cell r="M98">
            <v>723838</v>
          </cell>
          <cell r="N98">
            <v>782811</v>
          </cell>
          <cell r="O98">
            <v>850760</v>
          </cell>
          <cell r="P98">
            <v>919307</v>
          </cell>
          <cell r="Q98">
            <v>991930</v>
          </cell>
          <cell r="R98">
            <v>1064404</v>
          </cell>
          <cell r="S98">
            <v>1133200</v>
          </cell>
          <cell r="T98">
            <v>1230374</v>
          </cell>
          <cell r="U98">
            <v>1309149</v>
          </cell>
          <cell r="V98">
            <v>1386647</v>
          </cell>
          <cell r="W98">
            <v>1474546</v>
          </cell>
          <cell r="X98">
            <v>1581270</v>
          </cell>
          <cell r="Y98">
            <v>1784567</v>
          </cell>
          <cell r="Z98">
            <v>1919212</v>
          </cell>
          <cell r="AA98">
            <v>1975361</v>
          </cell>
          <cell r="AB98">
            <v>2022685</v>
          </cell>
          <cell r="AC98">
            <v>2071435</v>
          </cell>
          <cell r="AD98">
            <v>2124010</v>
          </cell>
          <cell r="AE98">
            <v>2173785</v>
          </cell>
          <cell r="AF98">
            <v>2224210</v>
          </cell>
          <cell r="AG98">
            <v>2275735</v>
          </cell>
          <cell r="AH98">
            <v>2329060</v>
          </cell>
          <cell r="AI98">
            <v>2381135</v>
          </cell>
          <cell r="AJ98">
            <v>2428585</v>
          </cell>
          <cell r="AK98">
            <v>2478585</v>
          </cell>
          <cell r="AL98">
            <v>2526535</v>
          </cell>
          <cell r="AM98">
            <v>2576110</v>
          </cell>
          <cell r="AN98">
            <v>2622210</v>
          </cell>
          <cell r="AO98">
            <v>2667085</v>
          </cell>
          <cell r="AP98">
            <v>2709810</v>
          </cell>
          <cell r="AQ98">
            <v>2754885</v>
          </cell>
          <cell r="AR98">
            <v>2794410</v>
          </cell>
          <cell r="AS98">
            <v>2833110</v>
          </cell>
          <cell r="AT98">
            <v>2876110</v>
          </cell>
          <cell r="AU98">
            <v>2920035</v>
          </cell>
          <cell r="AV98">
            <v>2966135</v>
          </cell>
          <cell r="AW98">
            <v>3023260</v>
          </cell>
          <cell r="AX98">
            <v>3115660</v>
          </cell>
          <cell r="AY98">
            <v>3290360</v>
          </cell>
          <cell r="AZ98">
            <v>3743735</v>
          </cell>
          <cell r="BA98">
            <v>4431899.0600000005</v>
          </cell>
          <cell r="BB98">
            <v>4491799.0600000005</v>
          </cell>
        </row>
        <row r="99">
          <cell r="A99" t="str">
            <v>TELE</v>
          </cell>
          <cell r="B99">
            <v>957599.79</v>
          </cell>
          <cell r="C99">
            <v>892097.32</v>
          </cell>
          <cell r="D99">
            <v>891448.94</v>
          </cell>
          <cell r="E99">
            <v>860251.03</v>
          </cell>
          <cell r="F99">
            <v>949740.5</v>
          </cell>
          <cell r="G99">
            <v>940019.98</v>
          </cell>
          <cell r="H99">
            <v>925542.71</v>
          </cell>
          <cell r="I99">
            <v>882388.85</v>
          </cell>
          <cell r="J99">
            <v>919000.11</v>
          </cell>
          <cell r="K99">
            <v>927277.61</v>
          </cell>
          <cell r="L99">
            <v>875425.09</v>
          </cell>
          <cell r="M99">
            <v>913825.62</v>
          </cell>
          <cell r="N99">
            <v>889670.59</v>
          </cell>
          <cell r="O99">
            <v>987039.52</v>
          </cell>
          <cell r="P99">
            <v>904208.93</v>
          </cell>
          <cell r="Q99">
            <v>895942.64</v>
          </cell>
          <cell r="R99">
            <v>873204.4</v>
          </cell>
          <cell r="S99">
            <v>972523.47</v>
          </cell>
          <cell r="T99">
            <v>966279.7</v>
          </cell>
          <cell r="U99">
            <v>931946.18</v>
          </cell>
          <cell r="V99">
            <v>917710.66</v>
          </cell>
          <cell r="W99">
            <v>910081.49</v>
          </cell>
          <cell r="X99">
            <v>1006126.58</v>
          </cell>
          <cell r="Y99">
            <v>944755.76</v>
          </cell>
          <cell r="Z99">
            <v>944758.96</v>
          </cell>
          <cell r="AA99">
            <v>897543.34</v>
          </cell>
          <cell r="AB99">
            <v>1005952.78</v>
          </cell>
          <cell r="AC99">
            <v>932109.62</v>
          </cell>
          <cell r="AD99">
            <v>913374.66</v>
          </cell>
          <cell r="AE99">
            <v>892802.8</v>
          </cell>
          <cell r="AF99">
            <v>945207.01</v>
          </cell>
          <cell r="AG99">
            <v>927838.16</v>
          </cell>
          <cell r="AH99">
            <v>874323.14</v>
          </cell>
          <cell r="AI99">
            <v>866310.42</v>
          </cell>
          <cell r="AJ99">
            <v>876469.92</v>
          </cell>
          <cell r="AK99">
            <v>890961.76</v>
          </cell>
          <cell r="AL99">
            <v>816945.95</v>
          </cell>
          <cell r="AM99">
            <v>823325.79</v>
          </cell>
          <cell r="AN99">
            <v>758551.44</v>
          </cell>
          <cell r="AO99">
            <v>849579.93</v>
          </cell>
          <cell r="AP99">
            <v>786822.16</v>
          </cell>
          <cell r="AQ99">
            <v>756162.42</v>
          </cell>
          <cell r="AR99">
            <v>741413.29</v>
          </cell>
          <cell r="AS99">
            <v>755035.22</v>
          </cell>
          <cell r="AT99">
            <v>847648.3</v>
          </cell>
          <cell r="AU99">
            <v>793255.82</v>
          </cell>
          <cell r="AV99">
            <v>804527.9</v>
          </cell>
          <cell r="AW99">
            <v>793709</v>
          </cell>
          <cell r="AX99">
            <v>913658.88</v>
          </cell>
          <cell r="AY99">
            <v>849688.17</v>
          </cell>
          <cell r="AZ99">
            <v>961126.47</v>
          </cell>
          <cell r="BA99">
            <v>998871.02</v>
          </cell>
          <cell r="BB99">
            <v>905655.48</v>
          </cell>
        </row>
        <row r="100">
          <cell r="A100" t="str">
            <v>ptd</v>
          </cell>
          <cell r="B100">
            <v>957599.79</v>
          </cell>
          <cell r="C100">
            <v>1849697.1099999999</v>
          </cell>
          <cell r="D100">
            <v>2741146.05</v>
          </cell>
          <cell r="E100">
            <v>3601397.08</v>
          </cell>
          <cell r="F100">
            <v>949740.5</v>
          </cell>
          <cell r="G100">
            <v>1889760.48</v>
          </cell>
          <cell r="H100">
            <v>2815303.19</v>
          </cell>
          <cell r="I100">
            <v>3697692.04</v>
          </cell>
          <cell r="J100">
            <v>919000.11</v>
          </cell>
          <cell r="K100">
            <v>1846277.72</v>
          </cell>
          <cell r="L100">
            <v>2721702.81</v>
          </cell>
          <cell r="M100">
            <v>3635528.43</v>
          </cell>
          <cell r="N100">
            <v>889670.59</v>
          </cell>
          <cell r="O100">
            <v>1876710.1099999999</v>
          </cell>
          <cell r="P100">
            <v>2780919.04</v>
          </cell>
          <cell r="Q100">
            <v>3676861.68</v>
          </cell>
          <cell r="R100">
            <v>873204.4</v>
          </cell>
          <cell r="S100">
            <v>1845727.87</v>
          </cell>
          <cell r="T100">
            <v>2812007.5700000003</v>
          </cell>
          <cell r="U100">
            <v>3743953.7500000005</v>
          </cell>
          <cell r="V100">
            <v>917710.66</v>
          </cell>
          <cell r="W100">
            <v>1827792.15</v>
          </cell>
          <cell r="X100">
            <v>2833918.73</v>
          </cell>
          <cell r="Y100">
            <v>3778674.49</v>
          </cell>
          <cell r="Z100">
            <v>944758.96</v>
          </cell>
          <cell r="AA100">
            <v>1842302.2999999998</v>
          </cell>
          <cell r="AB100">
            <v>2848255.08</v>
          </cell>
          <cell r="AC100">
            <v>3780364.7</v>
          </cell>
          <cell r="AD100">
            <v>913374.66</v>
          </cell>
          <cell r="AE100">
            <v>1806177.46</v>
          </cell>
          <cell r="AF100">
            <v>2751384.4699999997</v>
          </cell>
          <cell r="AG100">
            <v>3679222.63</v>
          </cell>
          <cell r="AH100">
            <v>874323.14</v>
          </cell>
          <cell r="AI100">
            <v>1740633.56</v>
          </cell>
          <cell r="AJ100">
            <v>2617103.48</v>
          </cell>
          <cell r="AK100">
            <v>3508065.24</v>
          </cell>
          <cell r="AL100">
            <v>816945.95</v>
          </cell>
          <cell r="AM100">
            <v>1640271.74</v>
          </cell>
          <cell r="AN100">
            <v>2398823.1799999997</v>
          </cell>
          <cell r="AO100">
            <v>3248403.11</v>
          </cell>
          <cell r="AP100">
            <v>786822.16</v>
          </cell>
          <cell r="AQ100">
            <v>1542984.58</v>
          </cell>
          <cell r="AR100">
            <v>2284397.87</v>
          </cell>
          <cell r="AS100">
            <v>3039433.09</v>
          </cell>
          <cell r="AT100">
            <v>847648.3</v>
          </cell>
          <cell r="AU100">
            <v>1640904.12</v>
          </cell>
          <cell r="AV100">
            <v>2445432.02</v>
          </cell>
          <cell r="AW100">
            <v>3239141.02</v>
          </cell>
          <cell r="AX100">
            <v>913658.88</v>
          </cell>
          <cell r="AY100">
            <v>1763347.05</v>
          </cell>
          <cell r="AZ100">
            <v>2724473.52</v>
          </cell>
          <cell r="BA100">
            <v>3723344.54</v>
          </cell>
          <cell r="BB100">
            <v>4629000.0199999996</v>
          </cell>
        </row>
        <row r="101">
          <cell r="A101" t="str">
            <v>qtd</v>
          </cell>
          <cell r="B101">
            <v>957599.79</v>
          </cell>
          <cell r="C101">
            <v>1849697.1099999999</v>
          </cell>
          <cell r="D101">
            <v>2741146.05</v>
          </cell>
          <cell r="E101">
            <v>3601397.08</v>
          </cell>
          <cell r="F101">
            <v>4551137.58</v>
          </cell>
          <cell r="G101">
            <v>5491157.5600000005</v>
          </cell>
          <cell r="H101">
            <v>6416700.2700000005</v>
          </cell>
          <cell r="I101">
            <v>7299089.1200000001</v>
          </cell>
          <cell r="J101">
            <v>8218089.2300000004</v>
          </cell>
          <cell r="K101">
            <v>9145366.8399999999</v>
          </cell>
          <cell r="L101">
            <v>10020791.93</v>
          </cell>
          <cell r="M101">
            <v>10934617.549999999</v>
          </cell>
          <cell r="N101">
            <v>889670.59</v>
          </cell>
          <cell r="O101">
            <v>1876710.1099999999</v>
          </cell>
          <cell r="P101">
            <v>2780919.04</v>
          </cell>
          <cell r="Q101">
            <v>3676861.68</v>
          </cell>
          <cell r="R101">
            <v>4550066.08</v>
          </cell>
          <cell r="S101">
            <v>5522589.5499999998</v>
          </cell>
          <cell r="T101">
            <v>6488869.25</v>
          </cell>
          <cell r="U101">
            <v>7420815.4299999997</v>
          </cell>
          <cell r="V101">
            <v>8338526.0899999999</v>
          </cell>
          <cell r="W101">
            <v>9248607.5800000001</v>
          </cell>
          <cell r="X101">
            <v>10254734.16</v>
          </cell>
          <cell r="Y101">
            <v>11199489.92</v>
          </cell>
          <cell r="Z101">
            <v>944758.96</v>
          </cell>
          <cell r="AA101">
            <v>1842302.2999999998</v>
          </cell>
          <cell r="AB101">
            <v>2848255.08</v>
          </cell>
          <cell r="AC101">
            <v>3780364.7</v>
          </cell>
          <cell r="AD101">
            <v>4693739.3600000003</v>
          </cell>
          <cell r="AE101">
            <v>5586542.1600000001</v>
          </cell>
          <cell r="AF101">
            <v>6531749.1699999999</v>
          </cell>
          <cell r="AG101">
            <v>7459587.3300000001</v>
          </cell>
          <cell r="AH101">
            <v>8333910.4699999997</v>
          </cell>
          <cell r="AI101">
            <v>9200220.8900000006</v>
          </cell>
          <cell r="AJ101">
            <v>10076690.810000001</v>
          </cell>
          <cell r="AK101">
            <v>10967652.57</v>
          </cell>
          <cell r="AL101">
            <v>816945.95</v>
          </cell>
          <cell r="AM101">
            <v>1640271.74</v>
          </cell>
          <cell r="AN101">
            <v>2398823.1799999997</v>
          </cell>
          <cell r="AO101">
            <v>3248403.11</v>
          </cell>
          <cell r="AP101">
            <v>4035225.27</v>
          </cell>
          <cell r="AQ101">
            <v>4791387.6900000004</v>
          </cell>
          <cell r="AR101">
            <v>5532800.9800000004</v>
          </cell>
          <cell r="AS101">
            <v>6287836.2000000002</v>
          </cell>
          <cell r="AT101">
            <v>7135484.5</v>
          </cell>
          <cell r="AU101">
            <v>7928740.3200000003</v>
          </cell>
          <cell r="AV101">
            <v>8733268.2200000007</v>
          </cell>
          <cell r="AW101">
            <v>9526977.2200000007</v>
          </cell>
          <cell r="AX101">
            <v>10440636.100000001</v>
          </cell>
          <cell r="AY101">
            <v>11290324.270000001</v>
          </cell>
          <cell r="AZ101">
            <v>12251450.740000002</v>
          </cell>
          <cell r="BA101">
            <v>13250321.760000002</v>
          </cell>
          <cell r="BB101">
            <v>14155977.240000002</v>
          </cell>
        </row>
        <row r="102">
          <cell r="A102" t="str">
            <v>ytd</v>
          </cell>
          <cell r="B102">
            <v>957599.79</v>
          </cell>
          <cell r="C102">
            <v>1849697.1099999999</v>
          </cell>
          <cell r="D102">
            <v>2741146.05</v>
          </cell>
          <cell r="E102">
            <v>3601397.08</v>
          </cell>
          <cell r="F102">
            <v>4551137.58</v>
          </cell>
          <cell r="G102">
            <v>5491157.5600000005</v>
          </cell>
          <cell r="H102">
            <v>6416700.2700000005</v>
          </cell>
          <cell r="I102">
            <v>7299089.1200000001</v>
          </cell>
          <cell r="J102">
            <v>8218089.2300000004</v>
          </cell>
          <cell r="K102">
            <v>9145366.8399999999</v>
          </cell>
          <cell r="L102">
            <v>10020791.93</v>
          </cell>
          <cell r="M102">
            <v>10934617.549999999</v>
          </cell>
          <cell r="N102">
            <v>11824288.139999999</v>
          </cell>
          <cell r="O102">
            <v>12811327.659999998</v>
          </cell>
          <cell r="P102">
            <v>13715536.589999998</v>
          </cell>
          <cell r="Q102">
            <v>14611479.229999999</v>
          </cell>
          <cell r="R102">
            <v>15484683.629999999</v>
          </cell>
          <cell r="S102">
            <v>16457207.1</v>
          </cell>
          <cell r="T102">
            <v>17423486.800000001</v>
          </cell>
          <cell r="U102">
            <v>18355432.98</v>
          </cell>
          <cell r="V102">
            <v>19273143.640000001</v>
          </cell>
          <cell r="W102">
            <v>20183225.129999999</v>
          </cell>
          <cell r="X102">
            <v>21189351.709999997</v>
          </cell>
          <cell r="Y102">
            <v>22134107.469999999</v>
          </cell>
          <cell r="Z102">
            <v>23078866.43</v>
          </cell>
          <cell r="AA102">
            <v>23976409.77</v>
          </cell>
          <cell r="AB102">
            <v>24982362.550000001</v>
          </cell>
          <cell r="AC102">
            <v>25914472.170000002</v>
          </cell>
          <cell r="AD102">
            <v>26827846.830000002</v>
          </cell>
          <cell r="AE102">
            <v>27720649.630000003</v>
          </cell>
          <cell r="AF102">
            <v>28665856.640000004</v>
          </cell>
          <cell r="AG102">
            <v>29593694.800000004</v>
          </cell>
          <cell r="AH102">
            <v>30468017.940000005</v>
          </cell>
          <cell r="AI102">
            <v>31334328.360000007</v>
          </cell>
          <cell r="AJ102">
            <v>32210798.280000009</v>
          </cell>
          <cell r="AK102">
            <v>33101760.04000001</v>
          </cell>
          <cell r="AL102">
            <v>33918705.99000001</v>
          </cell>
          <cell r="AM102">
            <v>34742031.780000009</v>
          </cell>
          <cell r="AN102">
            <v>35500583.220000006</v>
          </cell>
          <cell r="AO102">
            <v>36350163.150000006</v>
          </cell>
          <cell r="AP102">
            <v>37136985.310000002</v>
          </cell>
          <cell r="AQ102">
            <v>37893147.730000004</v>
          </cell>
          <cell r="AR102">
            <v>38634561.020000003</v>
          </cell>
          <cell r="AS102">
            <v>39389596.240000002</v>
          </cell>
          <cell r="AT102">
            <v>40237244.539999999</v>
          </cell>
          <cell r="AU102">
            <v>41030500.359999999</v>
          </cell>
          <cell r="AV102">
            <v>41835028.259999998</v>
          </cell>
          <cell r="AW102">
            <v>42628737.259999998</v>
          </cell>
          <cell r="AX102">
            <v>43542396.140000001</v>
          </cell>
          <cell r="AY102">
            <v>44392084.310000002</v>
          </cell>
          <cell r="AZ102">
            <v>45353210.780000001</v>
          </cell>
          <cell r="BA102">
            <v>46352081.800000004</v>
          </cell>
          <cell r="BB102">
            <v>47257737.280000001</v>
          </cell>
        </row>
        <row r="103">
          <cell r="A103" t="str">
            <v>TICK</v>
          </cell>
          <cell r="B103">
            <v>211596.79999999999</v>
          </cell>
          <cell r="C103">
            <v>232323.62</v>
          </cell>
          <cell r="D103">
            <v>456275.65</v>
          </cell>
          <cell r="E103">
            <v>376489.36</v>
          </cell>
          <cell r="F103">
            <v>459364.82</v>
          </cell>
          <cell r="G103">
            <v>579206.75</v>
          </cell>
          <cell r="H103">
            <v>957778.8</v>
          </cell>
          <cell r="I103">
            <v>662015.1</v>
          </cell>
          <cell r="J103">
            <v>670563.29</v>
          </cell>
          <cell r="K103">
            <v>776592.67</v>
          </cell>
          <cell r="L103">
            <v>787078.9</v>
          </cell>
          <cell r="M103">
            <v>1007688.23</v>
          </cell>
          <cell r="N103">
            <v>1056499.43</v>
          </cell>
          <cell r="O103">
            <v>744115.92</v>
          </cell>
          <cell r="P103">
            <v>824060.03</v>
          </cell>
          <cell r="Q103">
            <v>632292.28</v>
          </cell>
          <cell r="R103">
            <v>568995.28</v>
          </cell>
          <cell r="S103">
            <v>534539.57999999996</v>
          </cell>
          <cell r="T103">
            <v>552681.27</v>
          </cell>
          <cell r="U103">
            <v>590456.81000000006</v>
          </cell>
          <cell r="V103">
            <v>496781.22</v>
          </cell>
          <cell r="W103">
            <v>599094.92000000004</v>
          </cell>
          <cell r="X103">
            <v>283152.26</v>
          </cell>
          <cell r="Y103">
            <v>363641.31</v>
          </cell>
          <cell r="Z103">
            <v>473809.69</v>
          </cell>
          <cell r="AA103">
            <v>534283.96</v>
          </cell>
          <cell r="AB103">
            <v>676611.99</v>
          </cell>
          <cell r="AC103">
            <v>642060.79</v>
          </cell>
          <cell r="AD103">
            <v>828642.48</v>
          </cell>
          <cell r="AE103">
            <v>898299.66</v>
          </cell>
          <cell r="AF103">
            <v>767861.29</v>
          </cell>
          <cell r="AG103">
            <v>798334.43</v>
          </cell>
          <cell r="AH103">
            <v>784828.22</v>
          </cell>
          <cell r="AI103">
            <v>975189.43</v>
          </cell>
          <cell r="AJ103">
            <v>824049.2</v>
          </cell>
          <cell r="AK103">
            <v>324445.59999999998</v>
          </cell>
          <cell r="AL103">
            <v>108942.93</v>
          </cell>
          <cell r="AM103">
            <v>91837.5</v>
          </cell>
          <cell r="AN103">
            <v>95253.64</v>
          </cell>
          <cell r="AO103">
            <v>132901.01999999999</v>
          </cell>
          <cell r="AP103">
            <v>160172.20000000001</v>
          </cell>
          <cell r="AQ103">
            <v>177552.53</v>
          </cell>
          <cell r="AR103">
            <v>264472.38</v>
          </cell>
          <cell r="AS103">
            <v>175404.15</v>
          </cell>
          <cell r="AT103">
            <v>119003.36</v>
          </cell>
          <cell r="AU103">
            <v>99352.83</v>
          </cell>
          <cell r="AV103">
            <v>139599.6</v>
          </cell>
          <cell r="AW103">
            <v>153246.68</v>
          </cell>
          <cell r="AX103">
            <v>146764.79999999999</v>
          </cell>
          <cell r="AY103">
            <v>247916.41</v>
          </cell>
          <cell r="AZ103">
            <v>381280.41</v>
          </cell>
          <cell r="BA103">
            <v>574411.98</v>
          </cell>
          <cell r="BB103">
            <v>228596.33</v>
          </cell>
        </row>
        <row r="104">
          <cell r="A104" t="str">
            <v>ptd</v>
          </cell>
          <cell r="B104">
            <v>211596.79999999999</v>
          </cell>
          <cell r="C104">
            <v>443920.42</v>
          </cell>
          <cell r="D104">
            <v>900196.07000000007</v>
          </cell>
          <cell r="E104">
            <v>1276685.4300000002</v>
          </cell>
          <cell r="F104">
            <v>459364.82</v>
          </cell>
          <cell r="G104">
            <v>1038571.5700000001</v>
          </cell>
          <cell r="H104">
            <v>1996350.37</v>
          </cell>
          <cell r="I104">
            <v>2658365.4700000002</v>
          </cell>
          <cell r="J104">
            <v>670563.29</v>
          </cell>
          <cell r="K104">
            <v>1447155.96</v>
          </cell>
          <cell r="L104">
            <v>2234234.86</v>
          </cell>
          <cell r="M104">
            <v>3241923.09</v>
          </cell>
          <cell r="N104">
            <v>1056499.43</v>
          </cell>
          <cell r="O104">
            <v>1800615.35</v>
          </cell>
          <cell r="P104">
            <v>2624675.38</v>
          </cell>
          <cell r="Q104">
            <v>3256967.66</v>
          </cell>
          <cell r="R104">
            <v>568995.28</v>
          </cell>
          <cell r="S104">
            <v>1103534.8599999999</v>
          </cell>
          <cell r="T104">
            <v>1656216.13</v>
          </cell>
          <cell r="U104">
            <v>2246672.94</v>
          </cell>
          <cell r="V104">
            <v>496781.22</v>
          </cell>
          <cell r="W104">
            <v>1095876.1400000001</v>
          </cell>
          <cell r="X104">
            <v>1379028.4000000001</v>
          </cell>
          <cell r="Y104">
            <v>1742669.7100000002</v>
          </cell>
          <cell r="Z104">
            <v>473809.69</v>
          </cell>
          <cell r="AA104">
            <v>1008093.6499999999</v>
          </cell>
          <cell r="AB104">
            <v>1684705.64</v>
          </cell>
          <cell r="AC104">
            <v>2326766.4299999997</v>
          </cell>
          <cell r="AD104">
            <v>828642.48</v>
          </cell>
          <cell r="AE104">
            <v>1726942.1400000001</v>
          </cell>
          <cell r="AF104">
            <v>2494803.4300000002</v>
          </cell>
          <cell r="AG104">
            <v>3293137.8600000003</v>
          </cell>
          <cell r="AH104">
            <v>784828.22</v>
          </cell>
          <cell r="AI104">
            <v>1760017.65</v>
          </cell>
          <cell r="AJ104">
            <v>2584066.8499999996</v>
          </cell>
          <cell r="AK104">
            <v>2908512.4499999997</v>
          </cell>
          <cell r="AL104">
            <v>108942.93</v>
          </cell>
          <cell r="AM104">
            <v>200780.43</v>
          </cell>
          <cell r="AN104">
            <v>296034.07</v>
          </cell>
          <cell r="AO104">
            <v>428935.08999999997</v>
          </cell>
          <cell r="AP104">
            <v>160172.20000000001</v>
          </cell>
          <cell r="AQ104">
            <v>337724.73</v>
          </cell>
          <cell r="AR104">
            <v>602197.11</v>
          </cell>
          <cell r="AS104">
            <v>777601.26</v>
          </cell>
          <cell r="AT104">
            <v>119003.36</v>
          </cell>
          <cell r="AU104">
            <v>218356.19</v>
          </cell>
          <cell r="AV104">
            <v>357955.79000000004</v>
          </cell>
          <cell r="AW104">
            <v>511202.47000000003</v>
          </cell>
          <cell r="AX104">
            <v>146764.79999999999</v>
          </cell>
          <cell r="AY104">
            <v>394681.20999999996</v>
          </cell>
          <cell r="AZ104">
            <v>775961.61999999988</v>
          </cell>
          <cell r="BA104">
            <v>1350373.5999999999</v>
          </cell>
          <cell r="BB104">
            <v>1578969.93</v>
          </cell>
        </row>
        <row r="105">
          <cell r="A105" t="str">
            <v>qtd</v>
          </cell>
          <cell r="B105">
            <v>211596.79999999999</v>
          </cell>
          <cell r="C105">
            <v>443920.42</v>
          </cell>
          <cell r="D105">
            <v>900196.07000000007</v>
          </cell>
          <cell r="E105">
            <v>1276685.4300000002</v>
          </cell>
          <cell r="F105">
            <v>1736050.2500000002</v>
          </cell>
          <cell r="G105">
            <v>2315257</v>
          </cell>
          <cell r="H105">
            <v>3273035.8</v>
          </cell>
          <cell r="I105">
            <v>3935050.9</v>
          </cell>
          <cell r="J105">
            <v>4605614.1899999995</v>
          </cell>
          <cell r="K105">
            <v>5382206.8599999994</v>
          </cell>
          <cell r="L105">
            <v>6169285.7599999998</v>
          </cell>
          <cell r="M105">
            <v>7176973.9900000002</v>
          </cell>
          <cell r="N105">
            <v>1056499.43</v>
          </cell>
          <cell r="O105">
            <v>1800615.35</v>
          </cell>
          <cell r="P105">
            <v>2624675.38</v>
          </cell>
          <cell r="Q105">
            <v>3256967.66</v>
          </cell>
          <cell r="R105">
            <v>3825962.9400000004</v>
          </cell>
          <cell r="S105">
            <v>4360502.5200000005</v>
          </cell>
          <cell r="T105">
            <v>4913183.790000001</v>
          </cell>
          <cell r="U105">
            <v>5503640.6000000015</v>
          </cell>
          <cell r="V105">
            <v>6000421.8200000012</v>
          </cell>
          <cell r="W105">
            <v>6599516.7400000012</v>
          </cell>
          <cell r="X105">
            <v>6882669.0000000009</v>
          </cell>
          <cell r="Y105">
            <v>7246310.3100000005</v>
          </cell>
          <cell r="Z105">
            <v>473809.69</v>
          </cell>
          <cell r="AA105">
            <v>1008093.6499999999</v>
          </cell>
          <cell r="AB105">
            <v>1684705.64</v>
          </cell>
          <cell r="AC105">
            <v>2326766.4299999997</v>
          </cell>
          <cell r="AD105">
            <v>3155408.9099999997</v>
          </cell>
          <cell r="AE105">
            <v>4053708.57</v>
          </cell>
          <cell r="AF105">
            <v>4821569.8599999994</v>
          </cell>
          <cell r="AG105">
            <v>5619904.2899999991</v>
          </cell>
          <cell r="AH105">
            <v>6404732.5099999988</v>
          </cell>
          <cell r="AI105">
            <v>7379921.9399999985</v>
          </cell>
          <cell r="AJ105">
            <v>8203971.1399999987</v>
          </cell>
          <cell r="AK105">
            <v>8528416.7399999984</v>
          </cell>
          <cell r="AL105">
            <v>108942.93</v>
          </cell>
          <cell r="AM105">
            <v>200780.43</v>
          </cell>
          <cell r="AN105">
            <v>296034.07</v>
          </cell>
          <cell r="AO105">
            <v>428935.08999999997</v>
          </cell>
          <cell r="AP105">
            <v>589107.29</v>
          </cell>
          <cell r="AQ105">
            <v>766659.82000000007</v>
          </cell>
          <cell r="AR105">
            <v>1031132.2000000001</v>
          </cell>
          <cell r="AS105">
            <v>1206536.3500000001</v>
          </cell>
          <cell r="AT105">
            <v>1325539.7100000002</v>
          </cell>
          <cell r="AU105">
            <v>1424892.5400000003</v>
          </cell>
          <cell r="AV105">
            <v>1564492.1400000004</v>
          </cell>
          <cell r="AW105">
            <v>1717738.8200000003</v>
          </cell>
          <cell r="AX105">
            <v>1864503.6200000003</v>
          </cell>
          <cell r="AY105">
            <v>2112420.0300000003</v>
          </cell>
          <cell r="AZ105">
            <v>2493700.4400000004</v>
          </cell>
          <cell r="BA105">
            <v>3068112.4200000004</v>
          </cell>
          <cell r="BB105">
            <v>3296708.7500000005</v>
          </cell>
        </row>
        <row r="106">
          <cell r="A106" t="str">
            <v>ytd</v>
          </cell>
          <cell r="B106">
            <v>211596.79999999999</v>
          </cell>
          <cell r="C106">
            <v>443920.42</v>
          </cell>
          <cell r="D106">
            <v>900196.07000000007</v>
          </cell>
          <cell r="E106">
            <v>1276685.4300000002</v>
          </cell>
          <cell r="F106">
            <v>1736050.2500000002</v>
          </cell>
          <cell r="G106">
            <v>2315257</v>
          </cell>
          <cell r="H106">
            <v>3273035.8</v>
          </cell>
          <cell r="I106">
            <v>3935050.9</v>
          </cell>
          <cell r="J106">
            <v>4605614.1899999995</v>
          </cell>
          <cell r="K106">
            <v>5382206.8599999994</v>
          </cell>
          <cell r="L106">
            <v>6169285.7599999998</v>
          </cell>
          <cell r="M106">
            <v>7176973.9900000002</v>
          </cell>
          <cell r="N106">
            <v>8233473.4199999999</v>
          </cell>
          <cell r="O106">
            <v>8977589.3399999999</v>
          </cell>
          <cell r="P106">
            <v>9801649.3699999992</v>
          </cell>
          <cell r="Q106">
            <v>10433941.649999999</v>
          </cell>
          <cell r="R106">
            <v>11002936.929999998</v>
          </cell>
          <cell r="S106">
            <v>11537476.509999998</v>
          </cell>
          <cell r="T106">
            <v>12090157.779999997</v>
          </cell>
          <cell r="U106">
            <v>12680614.589999998</v>
          </cell>
          <cell r="V106">
            <v>13177395.809999999</v>
          </cell>
          <cell r="W106">
            <v>13776490.729999999</v>
          </cell>
          <cell r="X106">
            <v>14059642.989999998</v>
          </cell>
          <cell r="Y106">
            <v>14423284.299999999</v>
          </cell>
          <cell r="Z106">
            <v>14897093.989999998</v>
          </cell>
          <cell r="AA106">
            <v>15431377.949999999</v>
          </cell>
          <cell r="AB106">
            <v>16107989.939999999</v>
          </cell>
          <cell r="AC106">
            <v>16750050.73</v>
          </cell>
          <cell r="AD106">
            <v>17578693.210000001</v>
          </cell>
          <cell r="AE106">
            <v>18476992.870000001</v>
          </cell>
          <cell r="AF106">
            <v>19244854.16</v>
          </cell>
          <cell r="AG106">
            <v>20043188.59</v>
          </cell>
          <cell r="AH106">
            <v>20828016.809999999</v>
          </cell>
          <cell r="AI106">
            <v>21803206.239999998</v>
          </cell>
          <cell r="AJ106">
            <v>22627255.439999998</v>
          </cell>
          <cell r="AK106">
            <v>22951701.039999999</v>
          </cell>
          <cell r="AL106">
            <v>23060643.969999999</v>
          </cell>
          <cell r="AM106">
            <v>23152481.469999999</v>
          </cell>
          <cell r="AN106">
            <v>23247735.109999999</v>
          </cell>
          <cell r="AO106">
            <v>23380636.129999999</v>
          </cell>
          <cell r="AP106">
            <v>23540808.329999998</v>
          </cell>
          <cell r="AQ106">
            <v>23718360.859999999</v>
          </cell>
          <cell r="AR106">
            <v>23982833.239999998</v>
          </cell>
          <cell r="AS106">
            <v>24158237.389999997</v>
          </cell>
          <cell r="AT106">
            <v>24277240.749999996</v>
          </cell>
          <cell r="AU106">
            <v>24376593.579999994</v>
          </cell>
          <cell r="AV106">
            <v>24516193.179999996</v>
          </cell>
          <cell r="AW106">
            <v>24669439.859999996</v>
          </cell>
          <cell r="AX106">
            <v>24816204.659999996</v>
          </cell>
          <cell r="AY106">
            <v>25064121.069999997</v>
          </cell>
          <cell r="AZ106">
            <v>25445401.479999997</v>
          </cell>
          <cell r="BA106">
            <v>26019813.459999997</v>
          </cell>
          <cell r="BB106">
            <v>26248409.789999995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11560144.280000001</v>
          </cell>
          <cell r="C111">
            <v>10287549.32</v>
          </cell>
          <cell r="D111">
            <v>10296003.57</v>
          </cell>
          <cell r="E111">
            <v>9846806.0099999998</v>
          </cell>
          <cell r="F111">
            <v>10563472.140000001</v>
          </cell>
          <cell r="G111">
            <v>11359830.220000001</v>
          </cell>
          <cell r="H111">
            <v>15122207.140000002</v>
          </cell>
          <cell r="I111">
            <v>10572832.84</v>
          </cell>
          <cell r="J111">
            <v>10942567.26</v>
          </cell>
          <cell r="K111">
            <v>11545911.880000001</v>
          </cell>
          <cell r="L111">
            <v>11831515.690000001</v>
          </cell>
          <cell r="M111">
            <v>14595531.700000001</v>
          </cell>
          <cell r="N111">
            <v>11503243.729999999</v>
          </cell>
          <cell r="O111">
            <v>11608581.250000002</v>
          </cell>
          <cell r="P111">
            <v>11174440.140000001</v>
          </cell>
          <cell r="Q111">
            <v>11465202.65</v>
          </cell>
          <cell r="R111">
            <v>12643238.65</v>
          </cell>
          <cell r="S111">
            <v>12639158.059999999</v>
          </cell>
          <cell r="T111">
            <v>19085033.799999997</v>
          </cell>
          <cell r="U111">
            <v>15672208.760000002</v>
          </cell>
          <cell r="V111">
            <v>14393299.970000001</v>
          </cell>
          <cell r="W111">
            <v>14838196.460000001</v>
          </cell>
          <cell r="X111">
            <v>17646988.390000001</v>
          </cell>
          <cell r="Y111">
            <v>23465303.800000001</v>
          </cell>
          <cell r="Z111">
            <v>17164071.25</v>
          </cell>
          <cell r="AA111">
            <v>13242733.460000001</v>
          </cell>
          <cell r="AB111">
            <v>12364172.640000001</v>
          </cell>
          <cell r="AC111">
            <v>12208476.16</v>
          </cell>
          <cell r="AD111">
            <v>12854076.830000002</v>
          </cell>
          <cell r="AE111">
            <v>12556131.300000001</v>
          </cell>
          <cell r="AF111">
            <v>12910568.109999999</v>
          </cell>
          <cell r="AG111">
            <v>12828338.549999999</v>
          </cell>
          <cell r="AH111">
            <v>12893314.680000002</v>
          </cell>
          <cell r="AI111">
            <v>13588179.430000002</v>
          </cell>
          <cell r="AJ111">
            <v>12664423.130000001</v>
          </cell>
          <cell r="AK111">
            <v>11993189.810000001</v>
          </cell>
          <cell r="AL111">
            <v>11853907.91</v>
          </cell>
          <cell r="AM111">
            <v>12052980.390000001</v>
          </cell>
          <cell r="AN111">
            <v>11502995.870000001</v>
          </cell>
          <cell r="AO111">
            <v>12356204.030000001</v>
          </cell>
          <cell r="AP111">
            <v>11641462.439999999</v>
          </cell>
          <cell r="AQ111">
            <v>11825174.709999999</v>
          </cell>
          <cell r="AR111">
            <v>11587832.57</v>
          </cell>
          <cell r="AS111">
            <v>11736454.490000002</v>
          </cell>
          <cell r="AT111">
            <v>12952664.639999999</v>
          </cell>
          <cell r="AU111">
            <v>13189859.1</v>
          </cell>
          <cell r="AV111">
            <v>14693784.09</v>
          </cell>
          <cell r="AW111">
            <v>16232412.83</v>
          </cell>
          <cell r="AX111">
            <v>24646613.219999999</v>
          </cell>
          <cell r="AY111">
            <v>43133204.399999999</v>
          </cell>
          <cell r="AZ111">
            <v>93278079.329999983</v>
          </cell>
          <cell r="BA111">
            <v>109007861.77999999</v>
          </cell>
          <cell r="BB111">
            <v>14248512</v>
          </cell>
        </row>
        <row r="112">
          <cell r="A112" t="str">
            <v>ptd</v>
          </cell>
          <cell r="B112">
            <v>11560144.280000001</v>
          </cell>
          <cell r="C112">
            <v>21847693.600000001</v>
          </cell>
          <cell r="D112">
            <v>32143697.170000002</v>
          </cell>
          <cell r="E112">
            <v>41990503.18</v>
          </cell>
          <cell r="F112">
            <v>10563472.140000001</v>
          </cell>
          <cell r="G112">
            <v>21923302.359999999</v>
          </cell>
          <cell r="H112">
            <v>37045509.5</v>
          </cell>
          <cell r="I112">
            <v>47618342.340000004</v>
          </cell>
          <cell r="J112">
            <v>10942567.26</v>
          </cell>
          <cell r="K112">
            <v>22488479.140000001</v>
          </cell>
          <cell r="L112">
            <v>34319994.829999998</v>
          </cell>
          <cell r="M112">
            <v>48915526.530000001</v>
          </cell>
          <cell r="N112">
            <v>11503243.729999999</v>
          </cell>
          <cell r="O112">
            <v>23111824.98</v>
          </cell>
          <cell r="P112">
            <v>34286265.120000005</v>
          </cell>
          <cell r="Q112">
            <v>45751467.770000003</v>
          </cell>
          <cell r="R112">
            <v>12643238.65</v>
          </cell>
          <cell r="S112">
            <v>25282396.710000001</v>
          </cell>
          <cell r="T112">
            <v>44367430.509999998</v>
          </cell>
          <cell r="U112">
            <v>60039639.269999996</v>
          </cell>
          <cell r="V112">
            <v>14393299.970000001</v>
          </cell>
          <cell r="W112">
            <v>29231496.43</v>
          </cell>
          <cell r="X112">
            <v>46878484.82</v>
          </cell>
          <cell r="Y112">
            <v>70343788.620000005</v>
          </cell>
          <cell r="Z112">
            <v>17164071.25</v>
          </cell>
          <cell r="AA112">
            <v>30406804.710000001</v>
          </cell>
          <cell r="AB112">
            <v>42770977.350000001</v>
          </cell>
          <cell r="AC112">
            <v>54979453.510000005</v>
          </cell>
          <cell r="AD112">
            <v>12854076.830000002</v>
          </cell>
          <cell r="AE112">
            <v>25410208.130000003</v>
          </cell>
          <cell r="AF112">
            <v>38320776.240000002</v>
          </cell>
          <cell r="AG112">
            <v>51149114.789999999</v>
          </cell>
          <cell r="AH112">
            <v>12893314.680000002</v>
          </cell>
          <cell r="AI112">
            <v>26481494.110000003</v>
          </cell>
          <cell r="AJ112">
            <v>39145917.240000002</v>
          </cell>
          <cell r="AK112">
            <v>51139107.050000004</v>
          </cell>
          <cell r="AL112">
            <v>11853907.91</v>
          </cell>
          <cell r="AM112">
            <v>23906888.300000001</v>
          </cell>
          <cell r="AN112">
            <v>35409884.170000002</v>
          </cell>
          <cell r="AO112">
            <v>47766088.200000003</v>
          </cell>
          <cell r="AP112">
            <v>11641462.439999999</v>
          </cell>
          <cell r="AQ112">
            <v>23466637.149999999</v>
          </cell>
          <cell r="AR112">
            <v>35054469.719999999</v>
          </cell>
          <cell r="AS112">
            <v>46790924.210000001</v>
          </cell>
          <cell r="AT112">
            <v>12952664.639999999</v>
          </cell>
          <cell r="AU112">
            <v>26142523.739999998</v>
          </cell>
          <cell r="AV112">
            <v>40836307.829999998</v>
          </cell>
          <cell r="AW112">
            <v>57068720.659999996</v>
          </cell>
          <cell r="AX112">
            <v>24646613.219999999</v>
          </cell>
          <cell r="AY112">
            <v>67779817.620000005</v>
          </cell>
          <cell r="AZ112">
            <v>161057896.94999999</v>
          </cell>
          <cell r="BA112">
            <v>270065758.72999996</v>
          </cell>
          <cell r="BB112">
            <v>284314270.72999996</v>
          </cell>
        </row>
        <row r="113">
          <cell r="A113" t="str">
            <v>qtd</v>
          </cell>
          <cell r="B113">
            <v>11560144.280000001</v>
          </cell>
          <cell r="C113">
            <v>21847693.600000001</v>
          </cell>
          <cell r="D113">
            <v>32143697.170000002</v>
          </cell>
          <cell r="E113">
            <v>41990503.18</v>
          </cell>
          <cell r="F113">
            <v>52553975.32</v>
          </cell>
          <cell r="G113">
            <v>63913805.539999999</v>
          </cell>
          <cell r="H113">
            <v>79036012.680000007</v>
          </cell>
          <cell r="I113">
            <v>89608845.520000011</v>
          </cell>
          <cell r="J113">
            <v>100551412.78000002</v>
          </cell>
          <cell r="K113">
            <v>112097324.66000001</v>
          </cell>
          <cell r="L113">
            <v>123928840.35000001</v>
          </cell>
          <cell r="M113">
            <v>138524372.05000001</v>
          </cell>
          <cell r="N113">
            <v>11503243.729999999</v>
          </cell>
          <cell r="O113">
            <v>23111824.98</v>
          </cell>
          <cell r="P113">
            <v>34286265.120000005</v>
          </cell>
          <cell r="Q113">
            <v>45751467.770000003</v>
          </cell>
          <cell r="R113">
            <v>58394706.420000002</v>
          </cell>
          <cell r="S113">
            <v>71033864.480000004</v>
          </cell>
          <cell r="T113">
            <v>90118898.280000001</v>
          </cell>
          <cell r="U113">
            <v>105791107.04000001</v>
          </cell>
          <cell r="V113">
            <v>120184407.01000001</v>
          </cell>
          <cell r="W113">
            <v>135022603.47</v>
          </cell>
          <cell r="X113">
            <v>152669591.86000001</v>
          </cell>
          <cell r="Y113">
            <v>176134895.66000003</v>
          </cell>
          <cell r="Z113">
            <v>17164071.25</v>
          </cell>
          <cell r="AA113">
            <v>30406804.710000001</v>
          </cell>
          <cell r="AB113">
            <v>42770977.350000001</v>
          </cell>
          <cell r="AC113">
            <v>54979453.510000005</v>
          </cell>
          <cell r="AD113">
            <v>67833530.340000004</v>
          </cell>
          <cell r="AE113">
            <v>80389661.640000001</v>
          </cell>
          <cell r="AF113">
            <v>93300229.75</v>
          </cell>
          <cell r="AG113">
            <v>106128568.3</v>
          </cell>
          <cell r="AH113">
            <v>119021882.98</v>
          </cell>
          <cell r="AI113">
            <v>132610062.41000001</v>
          </cell>
          <cell r="AJ113">
            <v>145274485.54000002</v>
          </cell>
          <cell r="AK113">
            <v>157267675.35000002</v>
          </cell>
          <cell r="AL113">
            <v>11853907.91</v>
          </cell>
          <cell r="AM113">
            <v>23906888.300000001</v>
          </cell>
          <cell r="AN113">
            <v>35409884.170000002</v>
          </cell>
          <cell r="AO113">
            <v>47766088.200000003</v>
          </cell>
          <cell r="AP113">
            <v>59407550.640000001</v>
          </cell>
          <cell r="AQ113">
            <v>71232725.349999994</v>
          </cell>
          <cell r="AR113">
            <v>82820557.919999987</v>
          </cell>
          <cell r="AS113">
            <v>94557012.409999996</v>
          </cell>
          <cell r="AT113">
            <v>107509677.05</v>
          </cell>
          <cell r="AU113">
            <v>120699536.14999999</v>
          </cell>
          <cell r="AV113">
            <v>135393320.23999998</v>
          </cell>
          <cell r="AW113">
            <v>151625733.06999999</v>
          </cell>
          <cell r="AX113">
            <v>176272346.28999999</v>
          </cell>
          <cell r="AY113">
            <v>219405550.69</v>
          </cell>
          <cell r="AZ113">
            <v>312683630.01999998</v>
          </cell>
          <cell r="BA113">
            <v>421691491.79999995</v>
          </cell>
          <cell r="BB113">
            <v>435940003.79999995</v>
          </cell>
        </row>
        <row r="114">
          <cell r="A114" t="str">
            <v>ytd</v>
          </cell>
          <cell r="B114">
            <v>11560144.280000001</v>
          </cell>
          <cell r="C114">
            <v>21847693.600000001</v>
          </cell>
          <cell r="D114">
            <v>32143697.170000002</v>
          </cell>
          <cell r="E114">
            <v>41990503.18</v>
          </cell>
          <cell r="F114">
            <v>52553975.32</v>
          </cell>
          <cell r="G114">
            <v>63913805.539999999</v>
          </cell>
          <cell r="H114">
            <v>79036012.680000007</v>
          </cell>
          <cell r="I114">
            <v>89608845.520000011</v>
          </cell>
          <cell r="J114">
            <v>100551412.78000002</v>
          </cell>
          <cell r="K114">
            <v>112097324.66000001</v>
          </cell>
          <cell r="L114">
            <v>123928840.35000001</v>
          </cell>
          <cell r="M114">
            <v>138524372.05000001</v>
          </cell>
          <cell r="N114">
            <v>150027615.78</v>
          </cell>
          <cell r="O114">
            <v>161636197.03</v>
          </cell>
          <cell r="P114">
            <v>172810637.17000002</v>
          </cell>
          <cell r="Q114">
            <v>184275839.82000002</v>
          </cell>
          <cell r="R114">
            <v>196919078.47000003</v>
          </cell>
          <cell r="S114">
            <v>209558236.53000003</v>
          </cell>
          <cell r="T114">
            <v>228643270.33000004</v>
          </cell>
          <cell r="U114">
            <v>244315479.09000003</v>
          </cell>
          <cell r="V114">
            <v>258708779.06000003</v>
          </cell>
          <cell r="W114">
            <v>273546975.52000004</v>
          </cell>
          <cell r="X114">
            <v>291193963.91000003</v>
          </cell>
          <cell r="Y114">
            <v>314659267.71000004</v>
          </cell>
          <cell r="Z114">
            <v>331823338.96000004</v>
          </cell>
          <cell r="AA114">
            <v>345066072.42000002</v>
          </cell>
          <cell r="AB114">
            <v>357430245.06</v>
          </cell>
          <cell r="AC114">
            <v>369638721.22000003</v>
          </cell>
          <cell r="AD114">
            <v>382492798.05000001</v>
          </cell>
          <cell r="AE114">
            <v>395048929.35000002</v>
          </cell>
          <cell r="AF114">
            <v>407959497.46000004</v>
          </cell>
          <cell r="AG114">
            <v>420787836.01000005</v>
          </cell>
          <cell r="AH114">
            <v>433681150.69000006</v>
          </cell>
          <cell r="AI114">
            <v>447269330.12000006</v>
          </cell>
          <cell r="AJ114">
            <v>459933753.25000006</v>
          </cell>
          <cell r="AK114">
            <v>471926943.06000006</v>
          </cell>
          <cell r="AL114">
            <v>483780850.97000009</v>
          </cell>
          <cell r="AM114">
            <v>495833831.36000007</v>
          </cell>
          <cell r="AN114">
            <v>507336827.23000008</v>
          </cell>
          <cell r="AO114">
            <v>519693031.26000011</v>
          </cell>
          <cell r="AP114">
            <v>531334493.70000011</v>
          </cell>
          <cell r="AQ114">
            <v>543159668.41000009</v>
          </cell>
          <cell r="AR114">
            <v>554747500.98000014</v>
          </cell>
          <cell r="AS114">
            <v>566483955.47000015</v>
          </cell>
          <cell r="AT114">
            <v>579436620.11000013</v>
          </cell>
          <cell r="AU114">
            <v>592626479.21000016</v>
          </cell>
          <cell r="AV114">
            <v>607320263.30000019</v>
          </cell>
          <cell r="AW114">
            <v>623552676.13000023</v>
          </cell>
          <cell r="AX114">
            <v>648199289.35000026</v>
          </cell>
          <cell r="AY114">
            <v>691332493.75000024</v>
          </cell>
          <cell r="AZ114">
            <v>784610573.08000016</v>
          </cell>
          <cell r="BA114">
            <v>893618434.86000013</v>
          </cell>
          <cell r="BB114">
            <v>907866946.86000013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222593.69</v>
          </cell>
          <cell r="C117">
            <v>177895.84</v>
          </cell>
          <cell r="D117">
            <v>176883.4</v>
          </cell>
          <cell r="E117">
            <v>155613.93</v>
          </cell>
          <cell r="F117">
            <v>171666.49</v>
          </cell>
          <cell r="G117">
            <v>189033.26</v>
          </cell>
          <cell r="H117">
            <v>324305.19</v>
          </cell>
          <cell r="I117">
            <v>155500.87</v>
          </cell>
          <cell r="J117">
            <v>167619.06</v>
          </cell>
          <cell r="K117">
            <v>169884.92</v>
          </cell>
          <cell r="L117">
            <v>191329.7</v>
          </cell>
          <cell r="M117">
            <v>347624.07</v>
          </cell>
          <cell r="N117">
            <v>186309.02</v>
          </cell>
          <cell r="O117">
            <v>172630.24</v>
          </cell>
          <cell r="P117">
            <v>166321.14000000001</v>
          </cell>
          <cell r="Q117">
            <v>186281.39</v>
          </cell>
          <cell r="R117">
            <v>222149.04</v>
          </cell>
          <cell r="S117">
            <v>209618.1</v>
          </cell>
          <cell r="T117">
            <v>402468.56</v>
          </cell>
          <cell r="U117">
            <v>308630.92</v>
          </cell>
          <cell r="V117">
            <v>258403.79</v>
          </cell>
          <cell r="W117">
            <v>288059.63</v>
          </cell>
          <cell r="X117">
            <v>352504.16</v>
          </cell>
          <cell r="Y117">
            <v>618468.49</v>
          </cell>
          <cell r="Z117">
            <v>440330.92</v>
          </cell>
          <cell r="AA117">
            <v>252245.33</v>
          </cell>
          <cell r="AB117">
            <v>236336.2</v>
          </cell>
          <cell r="AC117">
            <v>240899.08</v>
          </cell>
          <cell r="AD117">
            <v>267411.48</v>
          </cell>
          <cell r="AE117">
            <v>255714.81</v>
          </cell>
          <cell r="AF117">
            <v>267007.5</v>
          </cell>
          <cell r="AG117">
            <v>239373.19</v>
          </cell>
          <cell r="AH117">
            <v>236144.93</v>
          </cell>
          <cell r="AI117">
            <v>235268.3</v>
          </cell>
          <cell r="AJ117">
            <v>212647.22</v>
          </cell>
          <cell r="AK117">
            <v>200220.45</v>
          </cell>
          <cell r="AL117">
            <v>201648.36</v>
          </cell>
          <cell r="AM117">
            <v>205112.04</v>
          </cell>
          <cell r="AN117">
            <v>206341.09</v>
          </cell>
          <cell r="AO117">
            <v>207359.13</v>
          </cell>
          <cell r="AP117">
            <v>206009.49</v>
          </cell>
          <cell r="AQ117">
            <v>254263.06</v>
          </cell>
          <cell r="AR117">
            <v>239466.96</v>
          </cell>
          <cell r="AS117">
            <v>264581.34000000003</v>
          </cell>
          <cell r="AT117">
            <v>275724.78000000003</v>
          </cell>
          <cell r="AU117">
            <v>301638.55</v>
          </cell>
          <cell r="AV117">
            <v>337394.76</v>
          </cell>
          <cell r="AW117">
            <v>423568.93</v>
          </cell>
          <cell r="AX117">
            <v>679661.49</v>
          </cell>
          <cell r="AY117">
            <v>1280057.1499999999</v>
          </cell>
          <cell r="AZ117">
            <v>3018604.55</v>
          </cell>
          <cell r="BA117">
            <v>4153869.78</v>
          </cell>
          <cell r="BB117">
            <v>400517.52</v>
          </cell>
        </row>
        <row r="118">
          <cell r="A118" t="str">
            <v>ptd</v>
          </cell>
          <cell r="B118">
            <v>222593.69</v>
          </cell>
          <cell r="C118">
            <v>400489.53</v>
          </cell>
          <cell r="D118">
            <v>577372.93000000005</v>
          </cell>
          <cell r="E118">
            <v>732986.8600000001</v>
          </cell>
          <cell r="F118">
            <v>171666.49</v>
          </cell>
          <cell r="G118">
            <v>360699.75</v>
          </cell>
          <cell r="H118">
            <v>685004.94</v>
          </cell>
          <cell r="I118">
            <v>840505.80999999994</v>
          </cell>
          <cell r="J118">
            <v>167619.06</v>
          </cell>
          <cell r="K118">
            <v>337503.98</v>
          </cell>
          <cell r="L118">
            <v>528833.67999999993</v>
          </cell>
          <cell r="M118">
            <v>876457.75</v>
          </cell>
          <cell r="N118">
            <v>186309.02</v>
          </cell>
          <cell r="O118">
            <v>358939.26</v>
          </cell>
          <cell r="P118">
            <v>525260.4</v>
          </cell>
          <cell r="Q118">
            <v>711541.79</v>
          </cell>
          <cell r="R118">
            <v>222149.04</v>
          </cell>
          <cell r="S118">
            <v>431767.14</v>
          </cell>
          <cell r="T118">
            <v>834235.7</v>
          </cell>
          <cell r="U118">
            <v>1142866.6199999999</v>
          </cell>
          <cell r="V118">
            <v>258403.79</v>
          </cell>
          <cell r="W118">
            <v>546463.42000000004</v>
          </cell>
          <cell r="X118">
            <v>898967.58000000007</v>
          </cell>
          <cell r="Y118">
            <v>1517436.07</v>
          </cell>
          <cell r="Z118">
            <v>440330.92</v>
          </cell>
          <cell r="AA118">
            <v>692576.25</v>
          </cell>
          <cell r="AB118">
            <v>928912.45</v>
          </cell>
          <cell r="AC118">
            <v>1169811.53</v>
          </cell>
          <cell r="AD118">
            <v>267411.48</v>
          </cell>
          <cell r="AE118">
            <v>523126.29</v>
          </cell>
          <cell r="AF118">
            <v>790133.79</v>
          </cell>
          <cell r="AG118">
            <v>1029506.98</v>
          </cell>
          <cell r="AH118">
            <v>236144.93</v>
          </cell>
          <cell r="AI118">
            <v>471413.23</v>
          </cell>
          <cell r="AJ118">
            <v>684060.45</v>
          </cell>
          <cell r="AK118">
            <v>884280.89999999991</v>
          </cell>
          <cell r="AL118">
            <v>201648.36</v>
          </cell>
          <cell r="AM118">
            <v>406760.4</v>
          </cell>
          <cell r="AN118">
            <v>613101.49</v>
          </cell>
          <cell r="AO118">
            <v>820460.62</v>
          </cell>
          <cell r="AP118">
            <v>206009.49</v>
          </cell>
          <cell r="AQ118">
            <v>460272.55</v>
          </cell>
          <cell r="AR118">
            <v>699739.51</v>
          </cell>
          <cell r="AS118">
            <v>964320.85000000009</v>
          </cell>
          <cell r="AT118">
            <v>275724.78000000003</v>
          </cell>
          <cell r="AU118">
            <v>577363.33000000007</v>
          </cell>
          <cell r="AV118">
            <v>914758.09000000008</v>
          </cell>
          <cell r="AW118">
            <v>1338327.02</v>
          </cell>
          <cell r="AX118">
            <v>679661.49</v>
          </cell>
          <cell r="AY118">
            <v>1959718.64</v>
          </cell>
          <cell r="AZ118">
            <v>4978323.1899999995</v>
          </cell>
          <cell r="BA118">
            <v>9132192.9699999988</v>
          </cell>
          <cell r="BB118">
            <v>9532710.4899999984</v>
          </cell>
        </row>
        <row r="119">
          <cell r="A119" t="str">
            <v>qtd</v>
          </cell>
          <cell r="B119">
            <v>222593.69</v>
          </cell>
          <cell r="C119">
            <v>400489.53</v>
          </cell>
          <cell r="D119">
            <v>577372.93000000005</v>
          </cell>
          <cell r="E119">
            <v>732986.8600000001</v>
          </cell>
          <cell r="F119">
            <v>904653.35000000009</v>
          </cell>
          <cell r="G119">
            <v>1093686.6100000001</v>
          </cell>
          <cell r="H119">
            <v>1417991.8</v>
          </cell>
          <cell r="I119">
            <v>1573492.67</v>
          </cell>
          <cell r="J119">
            <v>1741111.73</v>
          </cell>
          <cell r="K119">
            <v>1910996.65</v>
          </cell>
          <cell r="L119">
            <v>2102326.35</v>
          </cell>
          <cell r="M119">
            <v>2449950.42</v>
          </cell>
          <cell r="N119">
            <v>186309.02</v>
          </cell>
          <cell r="O119">
            <v>358939.26</v>
          </cell>
          <cell r="P119">
            <v>525260.4</v>
          </cell>
          <cell r="Q119">
            <v>711541.79</v>
          </cell>
          <cell r="R119">
            <v>933690.83000000007</v>
          </cell>
          <cell r="S119">
            <v>1143308.9300000002</v>
          </cell>
          <cell r="T119">
            <v>1545777.4900000002</v>
          </cell>
          <cell r="U119">
            <v>1854408.4100000001</v>
          </cell>
          <cell r="V119">
            <v>2112812.2000000002</v>
          </cell>
          <cell r="W119">
            <v>2400871.83</v>
          </cell>
          <cell r="X119">
            <v>2753375.99</v>
          </cell>
          <cell r="Y119">
            <v>3371844.4800000004</v>
          </cell>
          <cell r="Z119">
            <v>440330.92</v>
          </cell>
          <cell r="AA119">
            <v>692576.25</v>
          </cell>
          <cell r="AB119">
            <v>928912.45</v>
          </cell>
          <cell r="AC119">
            <v>1169811.53</v>
          </cell>
          <cell r="AD119">
            <v>1437223.01</v>
          </cell>
          <cell r="AE119">
            <v>1692937.82</v>
          </cell>
          <cell r="AF119">
            <v>1959945.32</v>
          </cell>
          <cell r="AG119">
            <v>2199318.5100000002</v>
          </cell>
          <cell r="AH119">
            <v>2435463.4400000004</v>
          </cell>
          <cell r="AI119">
            <v>2670731.7400000002</v>
          </cell>
          <cell r="AJ119">
            <v>2883378.9600000004</v>
          </cell>
          <cell r="AK119">
            <v>3083599.4100000006</v>
          </cell>
          <cell r="AL119">
            <v>201648.36</v>
          </cell>
          <cell r="AM119">
            <v>406760.4</v>
          </cell>
          <cell r="AN119">
            <v>613101.49</v>
          </cell>
          <cell r="AO119">
            <v>820460.62</v>
          </cell>
          <cell r="AP119">
            <v>1026470.11</v>
          </cell>
          <cell r="AQ119">
            <v>1280733.17</v>
          </cell>
          <cell r="AR119">
            <v>1520200.13</v>
          </cell>
          <cell r="AS119">
            <v>1784781.47</v>
          </cell>
          <cell r="AT119">
            <v>2060506.25</v>
          </cell>
          <cell r="AU119">
            <v>2362144.7999999998</v>
          </cell>
          <cell r="AV119">
            <v>2699539.5599999996</v>
          </cell>
          <cell r="AW119">
            <v>3123108.4899999998</v>
          </cell>
          <cell r="AX119">
            <v>3802769.9799999995</v>
          </cell>
          <cell r="AY119">
            <v>5082827.129999999</v>
          </cell>
          <cell r="AZ119">
            <v>8101431.6799999988</v>
          </cell>
          <cell r="BA119">
            <v>12255301.459999999</v>
          </cell>
          <cell r="BB119">
            <v>12655818.979999999</v>
          </cell>
        </row>
        <row r="120">
          <cell r="A120" t="str">
            <v>ytd</v>
          </cell>
          <cell r="B120">
            <v>222593.69</v>
          </cell>
          <cell r="C120">
            <v>400489.53</v>
          </cell>
          <cell r="D120">
            <v>577372.93000000005</v>
          </cell>
          <cell r="E120">
            <v>732986.8600000001</v>
          </cell>
          <cell r="F120">
            <v>904653.35000000009</v>
          </cell>
          <cell r="G120">
            <v>1093686.6100000001</v>
          </cell>
          <cell r="H120">
            <v>1417991.8</v>
          </cell>
          <cell r="I120">
            <v>1573492.67</v>
          </cell>
          <cell r="J120">
            <v>1741111.73</v>
          </cell>
          <cell r="K120">
            <v>1910996.65</v>
          </cell>
          <cell r="L120">
            <v>2102326.35</v>
          </cell>
          <cell r="M120">
            <v>2449950.42</v>
          </cell>
          <cell r="N120">
            <v>2636259.44</v>
          </cell>
          <cell r="O120">
            <v>2808889.6799999997</v>
          </cell>
          <cell r="P120">
            <v>2975210.82</v>
          </cell>
          <cell r="Q120">
            <v>3161492.21</v>
          </cell>
          <cell r="R120">
            <v>3383641.25</v>
          </cell>
          <cell r="S120">
            <v>3593259.35</v>
          </cell>
          <cell r="T120">
            <v>3995727.91</v>
          </cell>
          <cell r="U120">
            <v>4304358.83</v>
          </cell>
          <cell r="V120">
            <v>4562762.62</v>
          </cell>
          <cell r="W120">
            <v>4850822.25</v>
          </cell>
          <cell r="X120">
            <v>5203326.41</v>
          </cell>
          <cell r="Y120">
            <v>5821794.9000000004</v>
          </cell>
          <cell r="Z120">
            <v>6262125.8200000003</v>
          </cell>
          <cell r="AA120">
            <v>6514371.1500000004</v>
          </cell>
          <cell r="AB120">
            <v>6750707.3500000006</v>
          </cell>
          <cell r="AC120">
            <v>6991606.4300000006</v>
          </cell>
          <cell r="AD120">
            <v>7259017.9100000001</v>
          </cell>
          <cell r="AE120">
            <v>7514732.7199999997</v>
          </cell>
          <cell r="AF120">
            <v>7781740.2199999997</v>
          </cell>
          <cell r="AG120">
            <v>8021113.4100000001</v>
          </cell>
          <cell r="AH120">
            <v>8257258.3399999999</v>
          </cell>
          <cell r="AI120">
            <v>8492526.6400000006</v>
          </cell>
          <cell r="AJ120">
            <v>8705173.8600000013</v>
          </cell>
          <cell r="AK120">
            <v>8905394.3100000005</v>
          </cell>
          <cell r="AL120">
            <v>9107042.6699999999</v>
          </cell>
          <cell r="AM120">
            <v>9312154.709999999</v>
          </cell>
          <cell r="AN120">
            <v>9518495.7999999989</v>
          </cell>
          <cell r="AO120">
            <v>9725854.9299999997</v>
          </cell>
          <cell r="AP120">
            <v>9931864.4199999999</v>
          </cell>
          <cell r="AQ120">
            <v>10186127.48</v>
          </cell>
          <cell r="AR120">
            <v>10425594.440000001</v>
          </cell>
          <cell r="AS120">
            <v>10690175.780000001</v>
          </cell>
          <cell r="AT120">
            <v>10965900.560000001</v>
          </cell>
          <cell r="AU120">
            <v>11267539.110000001</v>
          </cell>
          <cell r="AV120">
            <v>11604933.870000001</v>
          </cell>
          <cell r="AW120">
            <v>12028502.800000001</v>
          </cell>
          <cell r="AX120">
            <v>12708164.290000001</v>
          </cell>
          <cell r="AY120">
            <v>13988221.440000001</v>
          </cell>
          <cell r="AZ120">
            <v>17006825.990000002</v>
          </cell>
          <cell r="BA120">
            <v>21160695.770000003</v>
          </cell>
          <cell r="BB120">
            <v>21561213.290000003</v>
          </cell>
        </row>
        <row r="121">
          <cell r="A121" t="str">
            <v>PART</v>
          </cell>
          <cell r="B121">
            <v>13167337.98</v>
          </cell>
          <cell r="C121">
            <v>10658626.890000001</v>
          </cell>
          <cell r="D121">
            <v>10151384.25</v>
          </cell>
          <cell r="E121">
            <v>9981556.5800000001</v>
          </cell>
          <cell r="F121">
            <v>10460774.66</v>
          </cell>
          <cell r="G121">
            <v>11785820.52</v>
          </cell>
          <cell r="H121">
            <v>18824988.75</v>
          </cell>
          <cell r="I121">
            <v>10319121.91</v>
          </cell>
          <cell r="J121">
            <v>10792863.279999999</v>
          </cell>
          <cell r="K121">
            <v>11215798</v>
          </cell>
          <cell r="L121">
            <v>12303046.91</v>
          </cell>
          <cell r="M121">
            <v>18883752.52</v>
          </cell>
          <cell r="N121">
            <v>11180974.890000001</v>
          </cell>
          <cell r="O121">
            <v>11194883.77</v>
          </cell>
          <cell r="P121">
            <v>11098860.939999999</v>
          </cell>
          <cell r="Q121">
            <v>11737869.4</v>
          </cell>
          <cell r="R121">
            <v>13795459.630000001</v>
          </cell>
          <cell r="S121">
            <v>14054864.289999999</v>
          </cell>
          <cell r="T121">
            <v>26849893.649999999</v>
          </cell>
          <cell r="U121">
            <v>19468342.489999998</v>
          </cell>
          <cell r="V121">
            <v>16294607.07</v>
          </cell>
          <cell r="W121">
            <v>16468858.470000001</v>
          </cell>
          <cell r="X121">
            <v>19848838.800000001</v>
          </cell>
          <cell r="Y121">
            <v>33323368.649999999</v>
          </cell>
          <cell r="Z121">
            <v>24078903.640000001</v>
          </cell>
          <cell r="AA121">
            <v>15747302.050000001</v>
          </cell>
          <cell r="AB121">
            <v>13031451.460000001</v>
          </cell>
          <cell r="AC121">
            <v>12854148.27</v>
          </cell>
          <cell r="AD121">
            <v>13374277.9</v>
          </cell>
          <cell r="AE121">
            <v>13295276.09</v>
          </cell>
          <cell r="AF121">
            <v>13841360.300000001</v>
          </cell>
          <cell r="AG121">
            <v>13695434.880000001</v>
          </cell>
          <cell r="AH121">
            <v>13697686.27</v>
          </cell>
          <cell r="AI121">
            <v>13584538.300000001</v>
          </cell>
          <cell r="AJ121">
            <v>13187793.380000001</v>
          </cell>
          <cell r="AK121">
            <v>12882092.439999999</v>
          </cell>
          <cell r="AL121">
            <v>13177673.85</v>
          </cell>
          <cell r="AM121">
            <v>13329449.470000001</v>
          </cell>
          <cell r="AN121">
            <v>13180974.15</v>
          </cell>
          <cell r="AO121">
            <v>13482275.08</v>
          </cell>
          <cell r="AP121">
            <v>13298259.029999999</v>
          </cell>
          <cell r="AQ121">
            <v>14617988.17</v>
          </cell>
          <cell r="AR121">
            <v>13829297.76</v>
          </cell>
          <cell r="AS121">
            <v>14486151.35</v>
          </cell>
          <cell r="AT121">
            <v>15162381.359999999</v>
          </cell>
          <cell r="AU121">
            <v>17131224.420000002</v>
          </cell>
          <cell r="AV121">
            <v>19966168.100000001</v>
          </cell>
          <cell r="AW121">
            <v>26171159.629999999</v>
          </cell>
          <cell r="AX121">
            <v>40165105.939999998</v>
          </cell>
          <cell r="AY121">
            <v>72397466.980000004</v>
          </cell>
          <cell r="AZ121">
            <v>156257493.69999999</v>
          </cell>
          <cell r="BA121">
            <v>207331447.84</v>
          </cell>
          <cell r="BB121">
            <v>21498704.120000001</v>
          </cell>
        </row>
        <row r="122">
          <cell r="A122" t="str">
            <v>ptd</v>
          </cell>
          <cell r="B122">
            <v>13167337.98</v>
          </cell>
          <cell r="C122">
            <v>23825964.870000001</v>
          </cell>
          <cell r="D122">
            <v>33977349.120000005</v>
          </cell>
          <cell r="E122">
            <v>43958905.700000003</v>
          </cell>
          <cell r="F122">
            <v>10460774.66</v>
          </cell>
          <cell r="G122">
            <v>22246595.18</v>
          </cell>
          <cell r="H122">
            <v>41071583.93</v>
          </cell>
          <cell r="I122">
            <v>51390705.840000004</v>
          </cell>
          <cell r="J122">
            <v>10792863.279999999</v>
          </cell>
          <cell r="K122">
            <v>22008661.280000001</v>
          </cell>
          <cell r="L122">
            <v>34311708.189999998</v>
          </cell>
          <cell r="M122">
            <v>53195460.709999993</v>
          </cell>
          <cell r="N122">
            <v>11180974.890000001</v>
          </cell>
          <cell r="O122">
            <v>22375858.66</v>
          </cell>
          <cell r="P122">
            <v>33474719.600000001</v>
          </cell>
          <cell r="Q122">
            <v>45212589</v>
          </cell>
          <cell r="R122">
            <v>13795459.630000001</v>
          </cell>
          <cell r="S122">
            <v>27850323.920000002</v>
          </cell>
          <cell r="T122">
            <v>54700217.57</v>
          </cell>
          <cell r="U122">
            <v>74168560.060000002</v>
          </cell>
          <cell r="V122">
            <v>16294607.07</v>
          </cell>
          <cell r="W122">
            <v>32763465.539999999</v>
          </cell>
          <cell r="X122">
            <v>52612304.340000004</v>
          </cell>
          <cell r="Y122">
            <v>85935672.99000001</v>
          </cell>
          <cell r="Z122">
            <v>24078903.640000001</v>
          </cell>
          <cell r="AA122">
            <v>39826205.689999998</v>
          </cell>
          <cell r="AB122">
            <v>52857657.149999999</v>
          </cell>
          <cell r="AC122">
            <v>65711805.420000002</v>
          </cell>
          <cell r="AD122">
            <v>13374277.9</v>
          </cell>
          <cell r="AE122">
            <v>26669553.990000002</v>
          </cell>
          <cell r="AF122">
            <v>40510914.290000007</v>
          </cell>
          <cell r="AG122">
            <v>54206349.170000009</v>
          </cell>
          <cell r="AH122">
            <v>13697686.27</v>
          </cell>
          <cell r="AI122">
            <v>27282224.57</v>
          </cell>
          <cell r="AJ122">
            <v>40470017.950000003</v>
          </cell>
          <cell r="AK122">
            <v>53352110.390000001</v>
          </cell>
          <cell r="AL122">
            <v>13177673.85</v>
          </cell>
          <cell r="AM122">
            <v>26507123.32</v>
          </cell>
          <cell r="AN122">
            <v>39688097.469999999</v>
          </cell>
          <cell r="AO122">
            <v>53170372.549999997</v>
          </cell>
          <cell r="AP122">
            <v>13298259.029999999</v>
          </cell>
          <cell r="AQ122">
            <v>27916247.199999999</v>
          </cell>
          <cell r="AR122">
            <v>41745544.960000001</v>
          </cell>
          <cell r="AS122">
            <v>56231696.310000002</v>
          </cell>
          <cell r="AT122">
            <v>15162381.359999999</v>
          </cell>
          <cell r="AU122">
            <v>32293605.780000001</v>
          </cell>
          <cell r="AV122">
            <v>52259773.880000003</v>
          </cell>
          <cell r="AW122">
            <v>78430933.510000005</v>
          </cell>
          <cell r="AX122">
            <v>40165105.939999998</v>
          </cell>
          <cell r="AY122">
            <v>112562572.92</v>
          </cell>
          <cell r="AZ122">
            <v>268820066.62</v>
          </cell>
          <cell r="BA122">
            <v>476151514.46000004</v>
          </cell>
          <cell r="BB122">
            <v>497650218.58000004</v>
          </cell>
        </row>
        <row r="123">
          <cell r="A123" t="str">
            <v>qtd</v>
          </cell>
          <cell r="B123">
            <v>13167337.98</v>
          </cell>
          <cell r="C123">
            <v>23825964.870000001</v>
          </cell>
          <cell r="D123">
            <v>33977349.120000005</v>
          </cell>
          <cell r="E123">
            <v>43958905.700000003</v>
          </cell>
          <cell r="F123">
            <v>54419680.359999999</v>
          </cell>
          <cell r="G123">
            <v>66205500.879999995</v>
          </cell>
          <cell r="H123">
            <v>85030489.629999995</v>
          </cell>
          <cell r="I123">
            <v>95349611.539999992</v>
          </cell>
          <cell r="J123">
            <v>106142474.81999999</v>
          </cell>
          <cell r="K123">
            <v>117358272.81999999</v>
          </cell>
          <cell r="L123">
            <v>129661319.72999999</v>
          </cell>
          <cell r="M123">
            <v>148545072.25</v>
          </cell>
          <cell r="N123">
            <v>11180974.890000001</v>
          </cell>
          <cell r="O123">
            <v>22375858.66</v>
          </cell>
          <cell r="P123">
            <v>33474719.600000001</v>
          </cell>
          <cell r="Q123">
            <v>45212589</v>
          </cell>
          <cell r="R123">
            <v>59008048.630000003</v>
          </cell>
          <cell r="S123">
            <v>73062912.920000002</v>
          </cell>
          <cell r="T123">
            <v>99912806.569999993</v>
          </cell>
          <cell r="U123">
            <v>119381149.05999999</v>
          </cell>
          <cell r="V123">
            <v>135675756.13</v>
          </cell>
          <cell r="W123">
            <v>152144614.59999999</v>
          </cell>
          <cell r="X123">
            <v>171993453.40000001</v>
          </cell>
          <cell r="Y123">
            <v>205316822.05000001</v>
          </cell>
          <cell r="Z123">
            <v>24078903.640000001</v>
          </cell>
          <cell r="AA123">
            <v>39826205.689999998</v>
          </cell>
          <cell r="AB123">
            <v>52857657.149999999</v>
          </cell>
          <cell r="AC123">
            <v>65711805.420000002</v>
          </cell>
          <cell r="AD123">
            <v>79086083.320000008</v>
          </cell>
          <cell r="AE123">
            <v>92381359.410000011</v>
          </cell>
          <cell r="AF123">
            <v>106222719.71000001</v>
          </cell>
          <cell r="AG123">
            <v>119918154.59</v>
          </cell>
          <cell r="AH123">
            <v>133615840.86</v>
          </cell>
          <cell r="AI123">
            <v>147200379.16</v>
          </cell>
          <cell r="AJ123">
            <v>160388172.53999999</v>
          </cell>
          <cell r="AK123">
            <v>173270264.97999999</v>
          </cell>
          <cell r="AL123">
            <v>13177673.85</v>
          </cell>
          <cell r="AM123">
            <v>26507123.32</v>
          </cell>
          <cell r="AN123">
            <v>39688097.469999999</v>
          </cell>
          <cell r="AO123">
            <v>53170372.549999997</v>
          </cell>
          <cell r="AP123">
            <v>66468631.579999998</v>
          </cell>
          <cell r="AQ123">
            <v>81086619.75</v>
          </cell>
          <cell r="AR123">
            <v>94915917.510000005</v>
          </cell>
          <cell r="AS123">
            <v>109402068.86</v>
          </cell>
          <cell r="AT123">
            <v>124564450.22</v>
          </cell>
          <cell r="AU123">
            <v>141695674.63999999</v>
          </cell>
          <cell r="AV123">
            <v>161661842.73999998</v>
          </cell>
          <cell r="AW123">
            <v>187833002.36999997</v>
          </cell>
          <cell r="AX123">
            <v>227998108.30999997</v>
          </cell>
          <cell r="AY123">
            <v>300395575.28999996</v>
          </cell>
          <cell r="AZ123">
            <v>456653068.98999995</v>
          </cell>
          <cell r="BA123">
            <v>663984516.82999992</v>
          </cell>
          <cell r="BB123">
            <v>685483220.94999993</v>
          </cell>
        </row>
        <row r="124">
          <cell r="A124" t="str">
            <v>ytd</v>
          </cell>
          <cell r="B124">
            <v>13167337.98</v>
          </cell>
          <cell r="C124">
            <v>23825964.870000001</v>
          </cell>
          <cell r="D124">
            <v>33977349.120000005</v>
          </cell>
          <cell r="E124">
            <v>43958905.700000003</v>
          </cell>
          <cell r="F124">
            <v>54419680.359999999</v>
          </cell>
          <cell r="G124">
            <v>66205500.879999995</v>
          </cell>
          <cell r="H124">
            <v>85030489.629999995</v>
          </cell>
          <cell r="I124">
            <v>95349611.539999992</v>
          </cell>
          <cell r="J124">
            <v>106142474.81999999</v>
          </cell>
          <cell r="K124">
            <v>117358272.81999999</v>
          </cell>
          <cell r="L124">
            <v>129661319.72999999</v>
          </cell>
          <cell r="M124">
            <v>148545072.25</v>
          </cell>
          <cell r="N124">
            <v>159726047.13999999</v>
          </cell>
          <cell r="O124">
            <v>170920930.91</v>
          </cell>
          <cell r="P124">
            <v>182019791.84999999</v>
          </cell>
          <cell r="Q124">
            <v>193757661.25</v>
          </cell>
          <cell r="R124">
            <v>207553120.88</v>
          </cell>
          <cell r="S124">
            <v>221607985.16999999</v>
          </cell>
          <cell r="T124">
            <v>248457878.81999999</v>
          </cell>
          <cell r="U124">
            <v>267926221.31</v>
          </cell>
          <cell r="V124">
            <v>284220828.38</v>
          </cell>
          <cell r="W124">
            <v>300689686.85000002</v>
          </cell>
          <cell r="X124">
            <v>320538525.65000004</v>
          </cell>
          <cell r="Y124">
            <v>353861894.30000001</v>
          </cell>
          <cell r="Z124">
            <v>377940797.94</v>
          </cell>
          <cell r="AA124">
            <v>393688099.99000001</v>
          </cell>
          <cell r="AB124">
            <v>406719551.44999999</v>
          </cell>
          <cell r="AC124">
            <v>419573699.71999997</v>
          </cell>
          <cell r="AD124">
            <v>432947977.61999995</v>
          </cell>
          <cell r="AE124">
            <v>446243253.70999992</v>
          </cell>
          <cell r="AF124">
            <v>460084614.00999993</v>
          </cell>
          <cell r="AG124">
            <v>473780048.88999993</v>
          </cell>
          <cell r="AH124">
            <v>487477735.15999991</v>
          </cell>
          <cell r="AI124">
            <v>501062273.45999992</v>
          </cell>
          <cell r="AJ124">
            <v>514250066.83999991</v>
          </cell>
          <cell r="AK124">
            <v>527132159.27999991</v>
          </cell>
          <cell r="AL124">
            <v>540309833.12999988</v>
          </cell>
          <cell r="AM124">
            <v>553639282.5999999</v>
          </cell>
          <cell r="AN124">
            <v>566820256.74999988</v>
          </cell>
          <cell r="AO124">
            <v>580302531.82999992</v>
          </cell>
          <cell r="AP124">
            <v>593600790.8599999</v>
          </cell>
          <cell r="AQ124">
            <v>608218779.02999985</v>
          </cell>
          <cell r="AR124">
            <v>622048076.78999984</v>
          </cell>
          <cell r="AS124">
            <v>636534228.13999987</v>
          </cell>
          <cell r="AT124">
            <v>651696609.49999988</v>
          </cell>
          <cell r="AU124">
            <v>668827833.91999984</v>
          </cell>
          <cell r="AV124">
            <v>688794002.01999986</v>
          </cell>
          <cell r="AW124">
            <v>714965161.64999986</v>
          </cell>
          <cell r="AX124">
            <v>755130267.58999991</v>
          </cell>
          <cell r="AY124">
            <v>827527734.56999993</v>
          </cell>
          <cell r="AZ124">
            <v>983785228.26999998</v>
          </cell>
          <cell r="BA124">
            <v>1191116676.1099999</v>
          </cell>
          <cell r="BB124">
            <v>1212615380.2299998</v>
          </cell>
        </row>
        <row r="125">
          <cell r="A125" t="str">
            <v>PRED</v>
          </cell>
          <cell r="B125">
            <v>210955.88</v>
          </cell>
          <cell r="C125">
            <v>214223.29</v>
          </cell>
          <cell r="D125">
            <v>196177.8</v>
          </cell>
          <cell r="E125">
            <v>202608.07</v>
          </cell>
          <cell r="F125">
            <v>214365.43</v>
          </cell>
          <cell r="G125">
            <v>208686.43</v>
          </cell>
          <cell r="H125">
            <v>202641.25</v>
          </cell>
          <cell r="I125">
            <v>203341.68</v>
          </cell>
          <cell r="J125">
            <v>231417.60000000001</v>
          </cell>
          <cell r="K125">
            <v>223173.54</v>
          </cell>
          <cell r="L125">
            <v>238365.57</v>
          </cell>
          <cell r="M125">
            <v>206948.82</v>
          </cell>
          <cell r="N125">
            <v>175151.55</v>
          </cell>
          <cell r="O125">
            <v>215284.07</v>
          </cell>
          <cell r="P125">
            <v>196952.76</v>
          </cell>
          <cell r="Q125">
            <v>203174.15</v>
          </cell>
          <cell r="R125">
            <v>190072.52</v>
          </cell>
          <cell r="S125">
            <v>190223.41</v>
          </cell>
          <cell r="T125">
            <v>208460.65</v>
          </cell>
          <cell r="U125">
            <v>199231.89</v>
          </cell>
          <cell r="V125">
            <v>201891.87</v>
          </cell>
          <cell r="W125">
            <v>180885.06</v>
          </cell>
          <cell r="X125">
            <v>221072.83</v>
          </cell>
          <cell r="Y125">
            <v>210332.87</v>
          </cell>
          <cell r="Z125">
            <v>210195.3</v>
          </cell>
          <cell r="AA125">
            <v>201213.98</v>
          </cell>
          <cell r="AB125">
            <v>203090.11</v>
          </cell>
          <cell r="AC125">
            <v>203205.99</v>
          </cell>
          <cell r="AD125">
            <v>186523</v>
          </cell>
          <cell r="AE125">
            <v>180610.6</v>
          </cell>
          <cell r="AF125">
            <v>190329.52</v>
          </cell>
          <cell r="AG125">
            <v>191703.25</v>
          </cell>
          <cell r="AH125">
            <v>184514.22</v>
          </cell>
          <cell r="AI125">
            <v>191459.85</v>
          </cell>
          <cell r="AJ125">
            <v>190593.96</v>
          </cell>
          <cell r="AK125">
            <v>222692.19</v>
          </cell>
          <cell r="AL125">
            <v>195094.9</v>
          </cell>
          <cell r="AM125">
            <v>213019.97</v>
          </cell>
          <cell r="AN125">
            <v>183899.97</v>
          </cell>
          <cell r="AO125">
            <v>204589.31</v>
          </cell>
          <cell r="AP125">
            <v>176356.35</v>
          </cell>
          <cell r="AQ125">
            <v>166888.56</v>
          </cell>
          <cell r="AR125">
            <v>179938.24</v>
          </cell>
          <cell r="AS125">
            <v>175971.14</v>
          </cell>
          <cell r="AT125">
            <v>156827.14000000001</v>
          </cell>
          <cell r="AU125">
            <v>148060.22</v>
          </cell>
          <cell r="AV125">
            <v>173093.46</v>
          </cell>
          <cell r="AW125">
            <v>178942.35</v>
          </cell>
          <cell r="AX125">
            <v>249649.59</v>
          </cell>
          <cell r="AY125">
            <v>337127.83</v>
          </cell>
          <cell r="AZ125">
            <v>502265.13</v>
          </cell>
          <cell r="BA125">
            <v>634165.06999999995</v>
          </cell>
          <cell r="BB125">
            <v>323161.52</v>
          </cell>
        </row>
        <row r="126">
          <cell r="A126" t="str">
            <v>ptd</v>
          </cell>
          <cell r="B126">
            <v>210955.88</v>
          </cell>
          <cell r="C126">
            <v>425179.17000000004</v>
          </cell>
          <cell r="D126">
            <v>621356.97</v>
          </cell>
          <cell r="E126">
            <v>823965.04</v>
          </cell>
          <cell r="F126">
            <v>214365.43</v>
          </cell>
          <cell r="G126">
            <v>423051.86</v>
          </cell>
          <cell r="H126">
            <v>625693.11</v>
          </cell>
          <cell r="I126">
            <v>829034.79</v>
          </cell>
          <cell r="J126">
            <v>231417.60000000001</v>
          </cell>
          <cell r="K126">
            <v>454591.14</v>
          </cell>
          <cell r="L126">
            <v>692956.71</v>
          </cell>
          <cell r="M126">
            <v>899905.53</v>
          </cell>
          <cell r="N126">
            <v>175151.55</v>
          </cell>
          <cell r="O126">
            <v>390435.62</v>
          </cell>
          <cell r="P126">
            <v>587388.38</v>
          </cell>
          <cell r="Q126">
            <v>790562.53</v>
          </cell>
          <cell r="R126">
            <v>190072.52</v>
          </cell>
          <cell r="S126">
            <v>380295.93</v>
          </cell>
          <cell r="T126">
            <v>588756.57999999996</v>
          </cell>
          <cell r="U126">
            <v>787988.47</v>
          </cell>
          <cell r="V126">
            <v>201891.87</v>
          </cell>
          <cell r="W126">
            <v>382776.93</v>
          </cell>
          <cell r="X126">
            <v>603849.76</v>
          </cell>
          <cell r="Y126">
            <v>814182.63</v>
          </cell>
          <cell r="Z126">
            <v>210195.3</v>
          </cell>
          <cell r="AA126">
            <v>411409.28</v>
          </cell>
          <cell r="AB126">
            <v>614499.39</v>
          </cell>
          <cell r="AC126">
            <v>817705.38</v>
          </cell>
          <cell r="AD126">
            <v>186523</v>
          </cell>
          <cell r="AE126">
            <v>367133.6</v>
          </cell>
          <cell r="AF126">
            <v>557463.12</v>
          </cell>
          <cell r="AG126">
            <v>749166.37</v>
          </cell>
          <cell r="AH126">
            <v>184514.22</v>
          </cell>
          <cell r="AI126">
            <v>375974.07</v>
          </cell>
          <cell r="AJ126">
            <v>566568.03</v>
          </cell>
          <cell r="AK126">
            <v>789260.22</v>
          </cell>
          <cell r="AL126">
            <v>195094.9</v>
          </cell>
          <cell r="AM126">
            <v>408114.87</v>
          </cell>
          <cell r="AN126">
            <v>592014.84</v>
          </cell>
          <cell r="AO126">
            <v>796604.14999999991</v>
          </cell>
          <cell r="AP126">
            <v>176356.35</v>
          </cell>
          <cell r="AQ126">
            <v>343244.91000000003</v>
          </cell>
          <cell r="AR126">
            <v>523183.15</v>
          </cell>
          <cell r="AS126">
            <v>699154.29</v>
          </cell>
          <cell r="AT126">
            <v>156827.14000000001</v>
          </cell>
          <cell r="AU126">
            <v>304887.36</v>
          </cell>
          <cell r="AV126">
            <v>477980.81999999995</v>
          </cell>
          <cell r="AW126">
            <v>656923.16999999993</v>
          </cell>
          <cell r="AX126">
            <v>249649.59</v>
          </cell>
          <cell r="AY126">
            <v>586777.42000000004</v>
          </cell>
          <cell r="AZ126">
            <v>1089042.55</v>
          </cell>
          <cell r="BA126">
            <v>1723207.62</v>
          </cell>
          <cell r="BB126">
            <v>2046369.1400000001</v>
          </cell>
        </row>
        <row r="127">
          <cell r="A127" t="str">
            <v>qtd</v>
          </cell>
          <cell r="B127">
            <v>210955.88</v>
          </cell>
          <cell r="C127">
            <v>425179.17000000004</v>
          </cell>
          <cell r="D127">
            <v>621356.97</v>
          </cell>
          <cell r="E127">
            <v>823965.04</v>
          </cell>
          <cell r="F127">
            <v>1038330.47</v>
          </cell>
          <cell r="G127">
            <v>1247016.8999999999</v>
          </cell>
          <cell r="H127">
            <v>1449658.15</v>
          </cell>
          <cell r="I127">
            <v>1652999.8299999998</v>
          </cell>
          <cell r="J127">
            <v>1884417.43</v>
          </cell>
          <cell r="K127">
            <v>2107590.9699999997</v>
          </cell>
          <cell r="L127">
            <v>2345956.5399999996</v>
          </cell>
          <cell r="M127">
            <v>2552905.3599999994</v>
          </cell>
          <cell r="N127">
            <v>175151.55</v>
          </cell>
          <cell r="O127">
            <v>390435.62</v>
          </cell>
          <cell r="P127">
            <v>587388.38</v>
          </cell>
          <cell r="Q127">
            <v>790562.53</v>
          </cell>
          <cell r="R127">
            <v>980635.05</v>
          </cell>
          <cell r="S127">
            <v>1170858.46</v>
          </cell>
          <cell r="T127">
            <v>1379319.1099999999</v>
          </cell>
          <cell r="U127">
            <v>1578551</v>
          </cell>
          <cell r="V127">
            <v>1780442.87</v>
          </cell>
          <cell r="W127">
            <v>1961327.9300000002</v>
          </cell>
          <cell r="X127">
            <v>2182400.7600000002</v>
          </cell>
          <cell r="Y127">
            <v>2392733.6300000004</v>
          </cell>
          <cell r="Z127">
            <v>210195.3</v>
          </cell>
          <cell r="AA127">
            <v>411409.28</v>
          </cell>
          <cell r="AB127">
            <v>614499.39</v>
          </cell>
          <cell r="AC127">
            <v>817705.38</v>
          </cell>
          <cell r="AD127">
            <v>1004228.38</v>
          </cell>
          <cell r="AE127">
            <v>1184838.98</v>
          </cell>
          <cell r="AF127">
            <v>1375168.5</v>
          </cell>
          <cell r="AG127">
            <v>1566871.75</v>
          </cell>
          <cell r="AH127">
            <v>1751385.97</v>
          </cell>
          <cell r="AI127">
            <v>1942845.82</v>
          </cell>
          <cell r="AJ127">
            <v>2133439.7800000003</v>
          </cell>
          <cell r="AK127">
            <v>2356131.9700000002</v>
          </cell>
          <cell r="AL127">
            <v>195094.9</v>
          </cell>
          <cell r="AM127">
            <v>408114.87</v>
          </cell>
          <cell r="AN127">
            <v>592014.84</v>
          </cell>
          <cell r="AO127">
            <v>796604.14999999991</v>
          </cell>
          <cell r="AP127">
            <v>972960.49999999988</v>
          </cell>
          <cell r="AQ127">
            <v>1139849.0599999998</v>
          </cell>
          <cell r="AR127">
            <v>1319787.2999999998</v>
          </cell>
          <cell r="AS127">
            <v>1495758.44</v>
          </cell>
          <cell r="AT127">
            <v>1652585.58</v>
          </cell>
          <cell r="AU127">
            <v>1800645.8</v>
          </cell>
          <cell r="AV127">
            <v>1973739.26</v>
          </cell>
          <cell r="AW127">
            <v>2152681.61</v>
          </cell>
          <cell r="AX127">
            <v>2402331.1999999997</v>
          </cell>
          <cell r="AY127">
            <v>2739459.03</v>
          </cell>
          <cell r="AZ127">
            <v>3241724.1599999997</v>
          </cell>
          <cell r="BA127">
            <v>3875889.2299999995</v>
          </cell>
          <cell r="BB127">
            <v>4199050.75</v>
          </cell>
        </row>
        <row r="128">
          <cell r="A128" t="str">
            <v>ytd</v>
          </cell>
          <cell r="B128">
            <v>210955.88</v>
          </cell>
          <cell r="C128">
            <v>425179.17000000004</v>
          </cell>
          <cell r="D128">
            <v>621356.97</v>
          </cell>
          <cell r="E128">
            <v>823965.04</v>
          </cell>
          <cell r="F128">
            <v>1038330.47</v>
          </cell>
          <cell r="G128">
            <v>1247016.8999999999</v>
          </cell>
          <cell r="H128">
            <v>1449658.15</v>
          </cell>
          <cell r="I128">
            <v>1652999.8299999998</v>
          </cell>
          <cell r="J128">
            <v>1884417.43</v>
          </cell>
          <cell r="K128">
            <v>2107590.9699999997</v>
          </cell>
          <cell r="L128">
            <v>2345956.5399999996</v>
          </cell>
          <cell r="M128">
            <v>2552905.3599999994</v>
          </cell>
          <cell r="N128">
            <v>2728056.9099999992</v>
          </cell>
          <cell r="O128">
            <v>2943340.9799999991</v>
          </cell>
          <cell r="P128">
            <v>3140293.7399999993</v>
          </cell>
          <cell r="Q128">
            <v>3343467.8899999992</v>
          </cell>
          <cell r="R128">
            <v>3533540.4099999992</v>
          </cell>
          <cell r="S128">
            <v>3723763.8199999994</v>
          </cell>
          <cell r="T128">
            <v>3932224.4699999993</v>
          </cell>
          <cell r="U128">
            <v>4131456.3599999994</v>
          </cell>
          <cell r="V128">
            <v>4333348.2299999995</v>
          </cell>
          <cell r="W128">
            <v>4514233.2899999991</v>
          </cell>
          <cell r="X128">
            <v>4735306.1199999992</v>
          </cell>
          <cell r="Y128">
            <v>4945638.9899999993</v>
          </cell>
          <cell r="Z128">
            <v>5155834.2899999991</v>
          </cell>
          <cell r="AA128">
            <v>5357048.2699999996</v>
          </cell>
          <cell r="AB128">
            <v>5560138.3799999999</v>
          </cell>
          <cell r="AC128">
            <v>5763344.3700000001</v>
          </cell>
          <cell r="AD128">
            <v>5949867.3700000001</v>
          </cell>
          <cell r="AE128">
            <v>6130477.9699999997</v>
          </cell>
          <cell r="AF128">
            <v>6320807.4899999993</v>
          </cell>
          <cell r="AG128">
            <v>6512510.7399999993</v>
          </cell>
          <cell r="AH128">
            <v>6697024.959999999</v>
          </cell>
          <cell r="AI128">
            <v>6888484.8099999987</v>
          </cell>
          <cell r="AJ128">
            <v>7079078.7699999986</v>
          </cell>
          <cell r="AK128">
            <v>7301770.959999999</v>
          </cell>
          <cell r="AL128">
            <v>7496865.8599999994</v>
          </cell>
          <cell r="AM128">
            <v>7709885.8299999991</v>
          </cell>
          <cell r="AN128">
            <v>7893785.7999999989</v>
          </cell>
          <cell r="AO128">
            <v>8098375.1099999985</v>
          </cell>
          <cell r="AP128">
            <v>8274731.4599999981</v>
          </cell>
          <cell r="AQ128">
            <v>8441620.0199999977</v>
          </cell>
          <cell r="AR128">
            <v>8621558.2599999979</v>
          </cell>
          <cell r="AS128">
            <v>8797529.3999999985</v>
          </cell>
          <cell r="AT128">
            <v>8954356.5399999991</v>
          </cell>
          <cell r="AU128">
            <v>9102416.7599999998</v>
          </cell>
          <cell r="AV128">
            <v>9275510.2200000007</v>
          </cell>
          <cell r="AW128">
            <v>9454452.5700000003</v>
          </cell>
          <cell r="AX128">
            <v>9704102.1600000001</v>
          </cell>
          <cell r="AY128">
            <v>10041229.99</v>
          </cell>
          <cell r="AZ128">
            <v>10543495.120000001</v>
          </cell>
          <cell r="BA128">
            <v>11177660.190000001</v>
          </cell>
          <cell r="BB128">
            <v>11500821.710000001</v>
          </cell>
        </row>
        <row r="129">
          <cell r="A129" t="str">
            <v>PREG</v>
          </cell>
          <cell r="B129">
            <v>4925941.66</v>
          </cell>
          <cell r="C129">
            <v>4360799.43</v>
          </cell>
          <cell r="D129">
            <v>4137101.84</v>
          </cell>
          <cell r="E129">
            <v>3950829.26</v>
          </cell>
          <cell r="F129">
            <v>4017205.7</v>
          </cell>
          <cell r="G129">
            <v>4113481.71</v>
          </cell>
          <cell r="H129">
            <v>4770884.6399999997</v>
          </cell>
          <cell r="I129">
            <v>3940490.73</v>
          </cell>
          <cell r="J129">
            <v>4186472.93</v>
          </cell>
          <cell r="K129">
            <v>4274748.55</v>
          </cell>
          <cell r="L129">
            <v>4411488.4000000004</v>
          </cell>
          <cell r="M129">
            <v>5382725.0199999996</v>
          </cell>
          <cell r="N129">
            <v>4243011.46</v>
          </cell>
          <cell r="O129">
            <v>4421374.49</v>
          </cell>
          <cell r="P129">
            <v>4377034.38</v>
          </cell>
          <cell r="Q129">
            <v>4391583.1500000004</v>
          </cell>
          <cell r="R129">
            <v>4974780.05</v>
          </cell>
          <cell r="S129">
            <v>5013671.42</v>
          </cell>
          <cell r="T129">
            <v>7346741.9900000002</v>
          </cell>
          <cell r="U129">
            <v>6326165.1299999999</v>
          </cell>
          <cell r="V129">
            <v>5825221.3200000003</v>
          </cell>
          <cell r="W129">
            <v>5967430.0199999996</v>
          </cell>
          <cell r="X129">
            <v>7091217.5499999998</v>
          </cell>
          <cell r="Y129">
            <v>8927391.7699999996</v>
          </cell>
          <cell r="Z129">
            <v>7976451.7699999996</v>
          </cell>
          <cell r="AA129">
            <v>6303115.7199999997</v>
          </cell>
          <cell r="AB129">
            <v>5105124.22</v>
          </cell>
          <cell r="AC129">
            <v>4922540.53</v>
          </cell>
          <cell r="AD129">
            <v>5042750.25</v>
          </cell>
          <cell r="AE129">
            <v>4991108.2300000004</v>
          </cell>
          <cell r="AF129">
            <v>5143200.41</v>
          </cell>
          <cell r="AG129">
            <v>5103591.88</v>
          </cell>
          <cell r="AH129">
            <v>5209975.3899999997</v>
          </cell>
          <cell r="AI129">
            <v>5099672.1100000003</v>
          </cell>
          <cell r="AJ129">
            <v>4956602.1399999997</v>
          </cell>
          <cell r="AK129">
            <v>4559766.71</v>
          </cell>
          <cell r="AL129">
            <v>4666179.04</v>
          </cell>
          <cell r="AM129">
            <v>4796411.71</v>
          </cell>
          <cell r="AN129">
            <v>4669012.0999999996</v>
          </cell>
          <cell r="AO129">
            <v>4778252.97</v>
          </cell>
          <cell r="AP129">
            <v>4621128.08</v>
          </cell>
          <cell r="AQ129">
            <v>4783741.75</v>
          </cell>
          <cell r="AR129">
            <v>4588856.3099999996</v>
          </cell>
          <cell r="AS129">
            <v>4660223.66</v>
          </cell>
          <cell r="AT129">
            <v>5002012.38</v>
          </cell>
          <cell r="AU129">
            <v>5756893.2199999997</v>
          </cell>
          <cell r="AV129">
            <v>6709922</v>
          </cell>
          <cell r="AW129">
            <v>7524371.5499999998</v>
          </cell>
          <cell r="AX129">
            <v>11182881.289999999</v>
          </cell>
          <cell r="AY129">
            <v>22811322.32</v>
          </cell>
          <cell r="AZ129">
            <v>53146769.880000003</v>
          </cell>
          <cell r="BA129">
            <v>70025991.239999995</v>
          </cell>
          <cell r="BB129">
            <v>9134088.2300000004</v>
          </cell>
        </row>
        <row r="130">
          <cell r="A130" t="str">
            <v>ptd</v>
          </cell>
          <cell r="B130">
            <v>4925941.66</v>
          </cell>
          <cell r="C130">
            <v>9286741.0899999999</v>
          </cell>
          <cell r="D130">
            <v>13423842.93</v>
          </cell>
          <cell r="E130">
            <v>17374672.189999998</v>
          </cell>
          <cell r="F130">
            <v>4017205.7</v>
          </cell>
          <cell r="G130">
            <v>8130687.4100000001</v>
          </cell>
          <cell r="H130">
            <v>12901572.050000001</v>
          </cell>
          <cell r="I130">
            <v>16842062.780000001</v>
          </cell>
          <cell r="J130">
            <v>4186472.93</v>
          </cell>
          <cell r="K130">
            <v>8461221.4800000004</v>
          </cell>
          <cell r="L130">
            <v>12872709.880000001</v>
          </cell>
          <cell r="M130">
            <v>18255434.899999999</v>
          </cell>
          <cell r="N130">
            <v>4243011.46</v>
          </cell>
          <cell r="O130">
            <v>8664385.9499999993</v>
          </cell>
          <cell r="P130">
            <v>13041420.329999998</v>
          </cell>
          <cell r="Q130">
            <v>17433003.479999997</v>
          </cell>
          <cell r="R130">
            <v>4974780.05</v>
          </cell>
          <cell r="S130">
            <v>9988451.4699999988</v>
          </cell>
          <cell r="T130">
            <v>17335193.460000001</v>
          </cell>
          <cell r="U130">
            <v>23661358.59</v>
          </cell>
          <cell r="V130">
            <v>5825221.3200000003</v>
          </cell>
          <cell r="W130">
            <v>11792651.34</v>
          </cell>
          <cell r="X130">
            <v>18883868.890000001</v>
          </cell>
          <cell r="Y130">
            <v>27811260.66</v>
          </cell>
          <cell r="Z130">
            <v>7976451.7699999996</v>
          </cell>
          <cell r="AA130">
            <v>14279567.489999998</v>
          </cell>
          <cell r="AB130">
            <v>19384691.709999997</v>
          </cell>
          <cell r="AC130">
            <v>24307232.239999998</v>
          </cell>
          <cell r="AD130">
            <v>5042750.25</v>
          </cell>
          <cell r="AE130">
            <v>10033858.48</v>
          </cell>
          <cell r="AF130">
            <v>15177058.890000001</v>
          </cell>
          <cell r="AG130">
            <v>20280650.77</v>
          </cell>
          <cell r="AH130">
            <v>5209975.3899999997</v>
          </cell>
          <cell r="AI130">
            <v>10309647.5</v>
          </cell>
          <cell r="AJ130">
            <v>15266249.640000001</v>
          </cell>
          <cell r="AK130">
            <v>19826016.350000001</v>
          </cell>
          <cell r="AL130">
            <v>4666179.04</v>
          </cell>
          <cell r="AM130">
            <v>9462590.75</v>
          </cell>
          <cell r="AN130">
            <v>14131602.85</v>
          </cell>
          <cell r="AO130">
            <v>18909855.82</v>
          </cell>
          <cell r="AP130">
            <v>4621128.08</v>
          </cell>
          <cell r="AQ130">
            <v>9404869.8300000001</v>
          </cell>
          <cell r="AR130">
            <v>13993726.140000001</v>
          </cell>
          <cell r="AS130">
            <v>18653949.800000001</v>
          </cell>
          <cell r="AT130">
            <v>5002012.38</v>
          </cell>
          <cell r="AU130">
            <v>10758905.6</v>
          </cell>
          <cell r="AV130">
            <v>17468827.600000001</v>
          </cell>
          <cell r="AW130">
            <v>24993199.150000002</v>
          </cell>
          <cell r="AX130">
            <v>11182881.289999999</v>
          </cell>
          <cell r="AY130">
            <v>33994203.609999999</v>
          </cell>
          <cell r="AZ130">
            <v>87140973.49000001</v>
          </cell>
          <cell r="BA130">
            <v>157166964.73000002</v>
          </cell>
          <cell r="BB130">
            <v>166301052.96000001</v>
          </cell>
        </row>
        <row r="131">
          <cell r="A131" t="str">
            <v>qtd</v>
          </cell>
          <cell r="B131">
            <v>4925941.66</v>
          </cell>
          <cell r="C131">
            <v>9286741.0899999999</v>
          </cell>
          <cell r="D131">
            <v>13423842.93</v>
          </cell>
          <cell r="E131">
            <v>17374672.189999998</v>
          </cell>
          <cell r="F131">
            <v>21391877.889999997</v>
          </cell>
          <cell r="G131">
            <v>25505359.599999998</v>
          </cell>
          <cell r="H131">
            <v>30276244.239999998</v>
          </cell>
          <cell r="I131">
            <v>34216734.969999999</v>
          </cell>
          <cell r="J131">
            <v>38403207.899999999</v>
          </cell>
          <cell r="K131">
            <v>42677956.449999996</v>
          </cell>
          <cell r="L131">
            <v>47089444.849999994</v>
          </cell>
          <cell r="M131">
            <v>52472169.86999999</v>
          </cell>
          <cell r="N131">
            <v>4243011.46</v>
          </cell>
          <cell r="O131">
            <v>8664385.9499999993</v>
          </cell>
          <cell r="P131">
            <v>13041420.329999998</v>
          </cell>
          <cell r="Q131">
            <v>17433003.479999997</v>
          </cell>
          <cell r="R131">
            <v>22407783.529999997</v>
          </cell>
          <cell r="S131">
            <v>27421454.949999996</v>
          </cell>
          <cell r="T131">
            <v>34768196.939999998</v>
          </cell>
          <cell r="U131">
            <v>41094362.07</v>
          </cell>
          <cell r="V131">
            <v>46919583.390000001</v>
          </cell>
          <cell r="W131">
            <v>52887013.409999996</v>
          </cell>
          <cell r="X131">
            <v>59978230.959999993</v>
          </cell>
          <cell r="Y131">
            <v>68905622.729999989</v>
          </cell>
          <cell r="Z131">
            <v>7976451.7699999996</v>
          </cell>
          <cell r="AA131">
            <v>14279567.489999998</v>
          </cell>
          <cell r="AB131">
            <v>19384691.709999997</v>
          </cell>
          <cell r="AC131">
            <v>24307232.239999998</v>
          </cell>
          <cell r="AD131">
            <v>29349982.489999998</v>
          </cell>
          <cell r="AE131">
            <v>34341090.719999999</v>
          </cell>
          <cell r="AF131">
            <v>39484291.129999995</v>
          </cell>
          <cell r="AG131">
            <v>44587883.009999998</v>
          </cell>
          <cell r="AH131">
            <v>49797858.399999999</v>
          </cell>
          <cell r="AI131">
            <v>54897530.509999998</v>
          </cell>
          <cell r="AJ131">
            <v>59854132.649999999</v>
          </cell>
          <cell r="AK131">
            <v>64413899.359999999</v>
          </cell>
          <cell r="AL131">
            <v>4666179.04</v>
          </cell>
          <cell r="AM131">
            <v>9462590.75</v>
          </cell>
          <cell r="AN131">
            <v>14131602.85</v>
          </cell>
          <cell r="AO131">
            <v>18909855.82</v>
          </cell>
          <cell r="AP131">
            <v>23530983.899999999</v>
          </cell>
          <cell r="AQ131">
            <v>28314725.649999999</v>
          </cell>
          <cell r="AR131">
            <v>32903581.959999997</v>
          </cell>
          <cell r="AS131">
            <v>37563805.619999997</v>
          </cell>
          <cell r="AT131">
            <v>42565818</v>
          </cell>
          <cell r="AU131">
            <v>48322711.219999999</v>
          </cell>
          <cell r="AV131">
            <v>55032633.219999999</v>
          </cell>
          <cell r="AW131">
            <v>62557004.769999996</v>
          </cell>
          <cell r="AX131">
            <v>73739886.060000002</v>
          </cell>
          <cell r="AY131">
            <v>96551208.379999995</v>
          </cell>
          <cell r="AZ131">
            <v>149697978.25999999</v>
          </cell>
          <cell r="BA131">
            <v>219723969.5</v>
          </cell>
          <cell r="BB131">
            <v>228858057.72999999</v>
          </cell>
        </row>
        <row r="132">
          <cell r="A132" t="str">
            <v>ytd</v>
          </cell>
          <cell r="B132">
            <v>4925941.66</v>
          </cell>
          <cell r="C132">
            <v>9286741.0899999999</v>
          </cell>
          <cell r="D132">
            <v>13423842.93</v>
          </cell>
          <cell r="E132">
            <v>17374672.189999998</v>
          </cell>
          <cell r="F132">
            <v>21391877.889999997</v>
          </cell>
          <cell r="G132">
            <v>25505359.599999998</v>
          </cell>
          <cell r="H132">
            <v>30276244.239999998</v>
          </cell>
          <cell r="I132">
            <v>34216734.969999999</v>
          </cell>
          <cell r="J132">
            <v>38403207.899999999</v>
          </cell>
          <cell r="K132">
            <v>42677956.449999996</v>
          </cell>
          <cell r="L132">
            <v>47089444.849999994</v>
          </cell>
          <cell r="M132">
            <v>52472169.86999999</v>
          </cell>
          <cell r="N132">
            <v>56715181.329999991</v>
          </cell>
          <cell r="O132">
            <v>61136555.819999993</v>
          </cell>
          <cell r="P132">
            <v>65513590.199999996</v>
          </cell>
          <cell r="Q132">
            <v>69905173.349999994</v>
          </cell>
          <cell r="R132">
            <v>74879953.399999991</v>
          </cell>
          <cell r="S132">
            <v>79893624.819999993</v>
          </cell>
          <cell r="T132">
            <v>87240366.809999987</v>
          </cell>
          <cell r="U132">
            <v>93566531.939999983</v>
          </cell>
          <cell r="V132">
            <v>99391753.25999999</v>
          </cell>
          <cell r="W132">
            <v>105359183.27999999</v>
          </cell>
          <cell r="X132">
            <v>112450400.82999998</v>
          </cell>
          <cell r="Y132">
            <v>121377792.59999998</v>
          </cell>
          <cell r="Z132">
            <v>129354244.36999997</v>
          </cell>
          <cell r="AA132">
            <v>135657360.08999997</v>
          </cell>
          <cell r="AB132">
            <v>140762484.30999997</v>
          </cell>
          <cell r="AC132">
            <v>145685024.83999997</v>
          </cell>
          <cell r="AD132">
            <v>150727775.08999997</v>
          </cell>
          <cell r="AE132">
            <v>155718883.31999996</v>
          </cell>
          <cell r="AF132">
            <v>160862083.72999996</v>
          </cell>
          <cell r="AG132">
            <v>165965675.60999995</v>
          </cell>
          <cell r="AH132">
            <v>171175650.99999994</v>
          </cell>
          <cell r="AI132">
            <v>176275323.10999995</v>
          </cell>
          <cell r="AJ132">
            <v>181231925.24999994</v>
          </cell>
          <cell r="AK132">
            <v>185791691.95999995</v>
          </cell>
          <cell r="AL132">
            <v>190457870.99999994</v>
          </cell>
          <cell r="AM132">
            <v>195254282.70999995</v>
          </cell>
          <cell r="AN132">
            <v>199923294.80999994</v>
          </cell>
          <cell r="AO132">
            <v>204701547.77999994</v>
          </cell>
          <cell r="AP132">
            <v>209322675.85999995</v>
          </cell>
          <cell r="AQ132">
            <v>214106417.60999995</v>
          </cell>
          <cell r="AR132">
            <v>218695273.91999996</v>
          </cell>
          <cell r="AS132">
            <v>223355497.57999995</v>
          </cell>
          <cell r="AT132">
            <v>228357509.95999995</v>
          </cell>
          <cell r="AU132">
            <v>234114403.17999995</v>
          </cell>
          <cell r="AV132">
            <v>240824325.17999995</v>
          </cell>
          <cell r="AW132">
            <v>248348696.72999996</v>
          </cell>
          <cell r="AX132">
            <v>259531578.01999995</v>
          </cell>
          <cell r="AY132">
            <v>282342900.33999997</v>
          </cell>
          <cell r="AZ132">
            <v>335489670.21999997</v>
          </cell>
          <cell r="BA132">
            <v>405515661.45999998</v>
          </cell>
          <cell r="BB132">
            <v>414649749.69</v>
          </cell>
        </row>
        <row r="133">
          <cell r="A133" t="str">
            <v>SPRT</v>
          </cell>
          <cell r="B133">
            <v>175211.11</v>
          </cell>
          <cell r="C133">
            <v>148759.46</v>
          </cell>
          <cell r="D133">
            <v>165134.54</v>
          </cell>
          <cell r="E133">
            <v>130790.03</v>
          </cell>
          <cell r="F133">
            <v>132717.38</v>
          </cell>
          <cell r="G133">
            <v>145658.74</v>
          </cell>
          <cell r="H133">
            <v>205010.16</v>
          </cell>
          <cell r="I133">
            <v>124340.14</v>
          </cell>
          <cell r="J133">
            <v>179098</v>
          </cell>
          <cell r="K133">
            <v>382458.3</v>
          </cell>
          <cell r="L133">
            <v>129065.25</v>
          </cell>
          <cell r="M133">
            <v>324309.40000000002</v>
          </cell>
          <cell r="N133">
            <v>133187.46</v>
          </cell>
          <cell r="O133">
            <v>141601.16</v>
          </cell>
          <cell r="P133">
            <v>183543.59</v>
          </cell>
          <cell r="Q133">
            <v>172132.21</v>
          </cell>
          <cell r="R133">
            <v>192946.72</v>
          </cell>
          <cell r="S133">
            <v>185332.64</v>
          </cell>
          <cell r="T133">
            <v>236744.09</v>
          </cell>
          <cell r="U133">
            <v>244530.93</v>
          </cell>
          <cell r="V133">
            <v>183633.41</v>
          </cell>
          <cell r="W133">
            <v>222608.74</v>
          </cell>
          <cell r="X133">
            <v>324406.40999999997</v>
          </cell>
          <cell r="Y133">
            <v>807987.84</v>
          </cell>
          <cell r="Z133">
            <v>321472.49</v>
          </cell>
          <cell r="AA133">
            <v>232762.46</v>
          </cell>
          <cell r="AB133">
            <v>142405.60999999999</v>
          </cell>
          <cell r="AC133">
            <v>137243.71</v>
          </cell>
          <cell r="AD133">
            <v>138050.82</v>
          </cell>
          <cell r="AE133">
            <v>153164.35999999999</v>
          </cell>
          <cell r="AF133">
            <v>143638.74</v>
          </cell>
          <cell r="AG133">
            <v>143883.25</v>
          </cell>
          <cell r="AH133">
            <v>159593.68</v>
          </cell>
          <cell r="AI133">
            <v>174268.64</v>
          </cell>
          <cell r="AJ133">
            <v>161172.89000000001</v>
          </cell>
          <cell r="AK133">
            <v>153264.37</v>
          </cell>
          <cell r="AL133">
            <v>171674.23999999999</v>
          </cell>
          <cell r="AM133">
            <v>171759.85</v>
          </cell>
          <cell r="AN133">
            <v>181420.2</v>
          </cell>
          <cell r="AO133">
            <v>147270.18</v>
          </cell>
          <cell r="AP133">
            <v>170446.18</v>
          </cell>
          <cell r="AQ133">
            <v>178824.86</v>
          </cell>
          <cell r="AR133">
            <v>143915.13</v>
          </cell>
          <cell r="AS133">
            <v>2968213.18</v>
          </cell>
          <cell r="AT133">
            <v>626292.6</v>
          </cell>
          <cell r="AU133">
            <v>331340.15999999997</v>
          </cell>
          <cell r="AV133">
            <v>222714.07</v>
          </cell>
          <cell r="AW133">
            <v>290217.15000000002</v>
          </cell>
          <cell r="AX133">
            <v>545487.93999999994</v>
          </cell>
          <cell r="AY133">
            <v>924526.57</v>
          </cell>
          <cell r="AZ133">
            <v>1633941.04</v>
          </cell>
          <cell r="BA133">
            <v>2183754.25</v>
          </cell>
          <cell r="BB133">
            <v>238484.24</v>
          </cell>
        </row>
        <row r="134">
          <cell r="A134" t="str">
            <v>ptd</v>
          </cell>
          <cell r="B134">
            <v>175211.11</v>
          </cell>
          <cell r="C134">
            <v>323970.56999999995</v>
          </cell>
          <cell r="D134">
            <v>489105.11</v>
          </cell>
          <cell r="E134">
            <v>619895.14</v>
          </cell>
          <cell r="F134">
            <v>132717.38</v>
          </cell>
          <cell r="G134">
            <v>278376.12</v>
          </cell>
          <cell r="H134">
            <v>483386.28</v>
          </cell>
          <cell r="I134">
            <v>607726.42000000004</v>
          </cell>
          <cell r="J134">
            <v>179098</v>
          </cell>
          <cell r="K134">
            <v>561556.30000000005</v>
          </cell>
          <cell r="L134">
            <v>690621.55</v>
          </cell>
          <cell r="M134">
            <v>1014930.9500000001</v>
          </cell>
          <cell r="N134">
            <v>133187.46</v>
          </cell>
          <cell r="O134">
            <v>274788.62</v>
          </cell>
          <cell r="P134">
            <v>458332.20999999996</v>
          </cell>
          <cell r="Q134">
            <v>630464.41999999993</v>
          </cell>
          <cell r="R134">
            <v>192946.72</v>
          </cell>
          <cell r="S134">
            <v>378279.36</v>
          </cell>
          <cell r="T134">
            <v>615023.44999999995</v>
          </cell>
          <cell r="U134">
            <v>859554.37999999989</v>
          </cell>
          <cell r="V134">
            <v>183633.41</v>
          </cell>
          <cell r="W134">
            <v>406242.15</v>
          </cell>
          <cell r="X134">
            <v>730648.56</v>
          </cell>
          <cell r="Y134">
            <v>1538636.4</v>
          </cell>
          <cell r="Z134">
            <v>321472.49</v>
          </cell>
          <cell r="AA134">
            <v>554234.94999999995</v>
          </cell>
          <cell r="AB134">
            <v>696640.55999999994</v>
          </cell>
          <cell r="AC134">
            <v>833884.2699999999</v>
          </cell>
          <cell r="AD134">
            <v>138050.82</v>
          </cell>
          <cell r="AE134">
            <v>291215.18</v>
          </cell>
          <cell r="AF134">
            <v>434853.92</v>
          </cell>
          <cell r="AG134">
            <v>578737.16999999993</v>
          </cell>
          <cell r="AH134">
            <v>159593.68</v>
          </cell>
          <cell r="AI134">
            <v>333862.32</v>
          </cell>
          <cell r="AJ134">
            <v>495035.21</v>
          </cell>
          <cell r="AK134">
            <v>648299.58000000007</v>
          </cell>
          <cell r="AL134">
            <v>171674.23999999999</v>
          </cell>
          <cell r="AM134">
            <v>343434.08999999997</v>
          </cell>
          <cell r="AN134">
            <v>524854.29</v>
          </cell>
          <cell r="AO134">
            <v>672124.47</v>
          </cell>
          <cell r="AP134">
            <v>170446.18</v>
          </cell>
          <cell r="AQ134">
            <v>349271.03999999998</v>
          </cell>
          <cell r="AR134">
            <v>493186.17</v>
          </cell>
          <cell r="AS134">
            <v>3461399.35</v>
          </cell>
          <cell r="AT134">
            <v>626292.6</v>
          </cell>
          <cell r="AU134">
            <v>957632.76</v>
          </cell>
          <cell r="AV134">
            <v>1180346.83</v>
          </cell>
          <cell r="AW134">
            <v>1470563.98</v>
          </cell>
          <cell r="AX134">
            <v>545487.93999999994</v>
          </cell>
          <cell r="AY134">
            <v>1470014.5099999998</v>
          </cell>
          <cell r="AZ134">
            <v>3103955.55</v>
          </cell>
          <cell r="BA134">
            <v>5287709.8</v>
          </cell>
          <cell r="BB134">
            <v>5526194.04</v>
          </cell>
        </row>
        <row r="135">
          <cell r="A135" t="str">
            <v>qtd</v>
          </cell>
          <cell r="B135">
            <v>175211.11</v>
          </cell>
          <cell r="C135">
            <v>323970.56999999995</v>
          </cell>
          <cell r="D135">
            <v>489105.11</v>
          </cell>
          <cell r="E135">
            <v>619895.14</v>
          </cell>
          <cell r="F135">
            <v>752612.52</v>
          </cell>
          <cell r="G135">
            <v>898271.26</v>
          </cell>
          <cell r="H135">
            <v>1103281.42</v>
          </cell>
          <cell r="I135">
            <v>1227621.5599999998</v>
          </cell>
          <cell r="J135">
            <v>1406719.5599999998</v>
          </cell>
          <cell r="K135">
            <v>1789177.8599999999</v>
          </cell>
          <cell r="L135">
            <v>1918243.1099999999</v>
          </cell>
          <cell r="M135">
            <v>2242552.5099999998</v>
          </cell>
          <cell r="N135">
            <v>133187.46</v>
          </cell>
          <cell r="O135">
            <v>274788.62</v>
          </cell>
          <cell r="P135">
            <v>458332.20999999996</v>
          </cell>
          <cell r="Q135">
            <v>630464.41999999993</v>
          </cell>
          <cell r="R135">
            <v>823411.1399999999</v>
          </cell>
          <cell r="S135">
            <v>1008743.7799999999</v>
          </cell>
          <cell r="T135">
            <v>1245487.8699999999</v>
          </cell>
          <cell r="U135">
            <v>1490018.7999999998</v>
          </cell>
          <cell r="V135">
            <v>1673652.2099999997</v>
          </cell>
          <cell r="W135">
            <v>1896260.9499999997</v>
          </cell>
          <cell r="X135">
            <v>2220667.36</v>
          </cell>
          <cell r="Y135">
            <v>3028655.1999999997</v>
          </cell>
          <cell r="Z135">
            <v>321472.49</v>
          </cell>
          <cell r="AA135">
            <v>554234.94999999995</v>
          </cell>
          <cell r="AB135">
            <v>696640.55999999994</v>
          </cell>
          <cell r="AC135">
            <v>833884.2699999999</v>
          </cell>
          <cell r="AD135">
            <v>971935.08999999985</v>
          </cell>
          <cell r="AE135">
            <v>1125099.4499999997</v>
          </cell>
          <cell r="AF135">
            <v>1268738.1899999997</v>
          </cell>
          <cell r="AG135">
            <v>1412621.4399999997</v>
          </cell>
          <cell r="AH135">
            <v>1572215.1199999996</v>
          </cell>
          <cell r="AI135">
            <v>1746483.7599999998</v>
          </cell>
          <cell r="AJ135">
            <v>1907656.65</v>
          </cell>
          <cell r="AK135">
            <v>2060921.02</v>
          </cell>
          <cell r="AL135">
            <v>171674.23999999999</v>
          </cell>
          <cell r="AM135">
            <v>343434.08999999997</v>
          </cell>
          <cell r="AN135">
            <v>524854.29</v>
          </cell>
          <cell r="AO135">
            <v>672124.47</v>
          </cell>
          <cell r="AP135">
            <v>842570.64999999991</v>
          </cell>
          <cell r="AQ135">
            <v>1021395.5099999999</v>
          </cell>
          <cell r="AR135">
            <v>1165310.6399999999</v>
          </cell>
          <cell r="AS135">
            <v>4133523.8200000003</v>
          </cell>
          <cell r="AT135">
            <v>4759816.42</v>
          </cell>
          <cell r="AU135">
            <v>5091156.58</v>
          </cell>
          <cell r="AV135">
            <v>5313870.6500000004</v>
          </cell>
          <cell r="AW135">
            <v>5604087.8000000007</v>
          </cell>
          <cell r="AX135">
            <v>6149575.7400000002</v>
          </cell>
          <cell r="AY135">
            <v>7074102.3100000005</v>
          </cell>
          <cell r="AZ135">
            <v>8708043.3500000015</v>
          </cell>
          <cell r="BA135">
            <v>10891797.600000001</v>
          </cell>
          <cell r="BB135">
            <v>11130281.840000002</v>
          </cell>
        </row>
        <row r="136">
          <cell r="A136" t="str">
            <v>ytd</v>
          </cell>
          <cell r="B136">
            <v>175211.11</v>
          </cell>
          <cell r="C136">
            <v>323970.56999999995</v>
          </cell>
          <cell r="D136">
            <v>489105.11</v>
          </cell>
          <cell r="E136">
            <v>619895.14</v>
          </cell>
          <cell r="F136">
            <v>752612.52</v>
          </cell>
          <cell r="G136">
            <v>898271.26</v>
          </cell>
          <cell r="H136">
            <v>1103281.42</v>
          </cell>
          <cell r="I136">
            <v>1227621.5599999998</v>
          </cell>
          <cell r="J136">
            <v>1406719.5599999998</v>
          </cell>
          <cell r="K136">
            <v>1789177.8599999999</v>
          </cell>
          <cell r="L136">
            <v>1918243.1099999999</v>
          </cell>
          <cell r="M136">
            <v>2242552.5099999998</v>
          </cell>
          <cell r="N136">
            <v>2375739.9699999997</v>
          </cell>
          <cell r="O136">
            <v>2517341.13</v>
          </cell>
          <cell r="P136">
            <v>2700884.7199999997</v>
          </cell>
          <cell r="Q136">
            <v>2873016.9299999997</v>
          </cell>
          <cell r="R136">
            <v>3065963.65</v>
          </cell>
          <cell r="S136">
            <v>3251296.29</v>
          </cell>
          <cell r="T136">
            <v>3488040.38</v>
          </cell>
          <cell r="U136">
            <v>3732571.31</v>
          </cell>
          <cell r="V136">
            <v>3916204.72</v>
          </cell>
          <cell r="W136">
            <v>4138813.46</v>
          </cell>
          <cell r="X136">
            <v>4463219.87</v>
          </cell>
          <cell r="Y136">
            <v>5271207.71</v>
          </cell>
          <cell r="Z136">
            <v>5592680.2000000002</v>
          </cell>
          <cell r="AA136">
            <v>5825442.6600000001</v>
          </cell>
          <cell r="AB136">
            <v>5967848.2700000005</v>
          </cell>
          <cell r="AC136">
            <v>6105091.9800000004</v>
          </cell>
          <cell r="AD136">
            <v>6243142.8000000007</v>
          </cell>
          <cell r="AE136">
            <v>6396307.1600000011</v>
          </cell>
          <cell r="AF136">
            <v>6539945.9000000013</v>
          </cell>
          <cell r="AG136">
            <v>6683829.1500000013</v>
          </cell>
          <cell r="AH136">
            <v>6843422.830000001</v>
          </cell>
          <cell r="AI136">
            <v>7017691.4700000007</v>
          </cell>
          <cell r="AJ136">
            <v>7178864.3600000003</v>
          </cell>
          <cell r="AK136">
            <v>7332128.7300000004</v>
          </cell>
          <cell r="AL136">
            <v>7503802.9700000007</v>
          </cell>
          <cell r="AM136">
            <v>7675562.8200000003</v>
          </cell>
          <cell r="AN136">
            <v>7856983.0200000005</v>
          </cell>
          <cell r="AO136">
            <v>8004253.2000000002</v>
          </cell>
          <cell r="AP136">
            <v>8174699.3799999999</v>
          </cell>
          <cell r="AQ136">
            <v>8353524.2400000002</v>
          </cell>
          <cell r="AR136">
            <v>8497439.370000001</v>
          </cell>
          <cell r="AS136">
            <v>11465652.550000001</v>
          </cell>
          <cell r="AT136">
            <v>12091945.15</v>
          </cell>
          <cell r="AU136">
            <v>12423285.310000001</v>
          </cell>
          <cell r="AV136">
            <v>12645999.380000001</v>
          </cell>
          <cell r="AW136">
            <v>12936216.530000001</v>
          </cell>
          <cell r="AX136">
            <v>13481704.470000001</v>
          </cell>
          <cell r="AY136">
            <v>14406231.040000001</v>
          </cell>
          <cell r="AZ136">
            <v>16040172.080000002</v>
          </cell>
          <cell r="BA136">
            <v>18223926.330000002</v>
          </cell>
          <cell r="BB136">
            <v>18462410.57</v>
          </cell>
        </row>
        <row r="137">
          <cell r="A137" t="str">
            <v>TELE</v>
          </cell>
          <cell r="B137">
            <v>2940423.24</v>
          </cell>
          <cell r="C137">
            <v>2699239.05</v>
          </cell>
          <cell r="D137">
            <v>2735093.75</v>
          </cell>
          <cell r="E137">
            <v>2685450.59</v>
          </cell>
          <cell r="F137">
            <v>3075984.39</v>
          </cell>
          <cell r="G137">
            <v>3030196.96</v>
          </cell>
          <cell r="H137">
            <v>2926171.86</v>
          </cell>
          <cell r="I137">
            <v>2742987.28</v>
          </cell>
          <cell r="J137">
            <v>2892728.81</v>
          </cell>
          <cell r="K137">
            <v>2905822.31</v>
          </cell>
          <cell r="L137">
            <v>2746416.11</v>
          </cell>
          <cell r="M137">
            <v>2861726.95</v>
          </cell>
          <cell r="N137">
            <v>2634233.2000000002</v>
          </cell>
          <cell r="O137">
            <v>2941962.4</v>
          </cell>
          <cell r="P137">
            <v>2701429.18</v>
          </cell>
          <cell r="Q137">
            <v>2692179.8</v>
          </cell>
          <cell r="R137">
            <v>2622853.85</v>
          </cell>
          <cell r="S137">
            <v>2933298.64</v>
          </cell>
          <cell r="T137">
            <v>2857116.62</v>
          </cell>
          <cell r="U137">
            <v>2801209.26</v>
          </cell>
          <cell r="V137">
            <v>2868966.45</v>
          </cell>
          <cell r="W137">
            <v>2853988.93</v>
          </cell>
          <cell r="X137">
            <v>3113393.39</v>
          </cell>
          <cell r="Y137">
            <v>3030499.47</v>
          </cell>
          <cell r="Z137">
            <v>3023943.34</v>
          </cell>
          <cell r="AA137">
            <v>2968506.9</v>
          </cell>
          <cell r="AB137">
            <v>3257188.46</v>
          </cell>
          <cell r="AC137">
            <v>3043417.33</v>
          </cell>
          <cell r="AD137">
            <v>3003775.68</v>
          </cell>
          <cell r="AE137">
            <v>2918273.11</v>
          </cell>
          <cell r="AF137">
            <v>3122669.29</v>
          </cell>
          <cell r="AG137">
            <v>3015540.99</v>
          </cell>
          <cell r="AH137">
            <v>2897956.63</v>
          </cell>
          <cell r="AI137">
            <v>2906099.34</v>
          </cell>
          <cell r="AJ137">
            <v>2997858.09</v>
          </cell>
          <cell r="AK137">
            <v>3034093.54</v>
          </cell>
          <cell r="AL137">
            <v>2812098.75</v>
          </cell>
          <cell r="AM137">
            <v>2819521.86</v>
          </cell>
          <cell r="AN137">
            <v>2791661.79</v>
          </cell>
          <cell r="AO137">
            <v>3212214.94</v>
          </cell>
          <cell r="AP137">
            <v>3438401</v>
          </cell>
          <cell r="AQ137">
            <v>3553199.96</v>
          </cell>
          <cell r="AR137">
            <v>3669818.56</v>
          </cell>
          <cell r="AS137">
            <v>4055844.18</v>
          </cell>
          <cell r="AT137">
            <v>4397669.1500000004</v>
          </cell>
          <cell r="AU137">
            <v>4142175.06</v>
          </cell>
          <cell r="AV137">
            <v>4291654.82</v>
          </cell>
          <cell r="AW137">
            <v>4468968.63</v>
          </cell>
          <cell r="AX137">
            <v>4952631.47</v>
          </cell>
          <cell r="AY137">
            <v>5036374.46</v>
          </cell>
          <cell r="AZ137">
            <v>5284604.0599999996</v>
          </cell>
          <cell r="BA137">
            <v>5749697.29</v>
          </cell>
          <cell r="BB137">
            <v>5079808.1100000003</v>
          </cell>
        </row>
        <row r="138">
          <cell r="A138" t="str">
            <v>ptd</v>
          </cell>
          <cell r="B138">
            <v>2940423.24</v>
          </cell>
          <cell r="C138">
            <v>5639662.29</v>
          </cell>
          <cell r="D138">
            <v>8374756.04</v>
          </cell>
          <cell r="E138">
            <v>11060206.629999999</v>
          </cell>
          <cell r="F138">
            <v>3075984.39</v>
          </cell>
          <cell r="G138">
            <v>6106181.3499999996</v>
          </cell>
          <cell r="H138">
            <v>9032353.209999999</v>
          </cell>
          <cell r="I138">
            <v>11775340.489999998</v>
          </cell>
          <cell r="J138">
            <v>2892728.81</v>
          </cell>
          <cell r="K138">
            <v>5798551.1200000001</v>
          </cell>
          <cell r="L138">
            <v>8544967.2300000004</v>
          </cell>
          <cell r="M138">
            <v>11406694.18</v>
          </cell>
          <cell r="N138">
            <v>2634233.2000000002</v>
          </cell>
          <cell r="O138">
            <v>5576195.5999999996</v>
          </cell>
          <cell r="P138">
            <v>8277624.7799999993</v>
          </cell>
          <cell r="Q138">
            <v>10969804.579999998</v>
          </cell>
          <cell r="R138">
            <v>2622853.85</v>
          </cell>
          <cell r="S138">
            <v>5556152.4900000002</v>
          </cell>
          <cell r="T138">
            <v>8413269.1099999994</v>
          </cell>
          <cell r="U138">
            <v>11214478.369999999</v>
          </cell>
          <cell r="V138">
            <v>2868966.45</v>
          </cell>
          <cell r="W138">
            <v>5722955.3800000008</v>
          </cell>
          <cell r="X138">
            <v>8836348.7700000014</v>
          </cell>
          <cell r="Y138">
            <v>11866848.240000002</v>
          </cell>
          <cell r="Z138">
            <v>3023943.34</v>
          </cell>
          <cell r="AA138">
            <v>5992450.2400000002</v>
          </cell>
          <cell r="AB138">
            <v>9249638.6999999993</v>
          </cell>
          <cell r="AC138">
            <v>12293056.029999999</v>
          </cell>
          <cell r="AD138">
            <v>3003775.68</v>
          </cell>
          <cell r="AE138">
            <v>5922048.79</v>
          </cell>
          <cell r="AF138">
            <v>9044718.0800000001</v>
          </cell>
          <cell r="AG138">
            <v>12060259.07</v>
          </cell>
          <cell r="AH138">
            <v>2897956.63</v>
          </cell>
          <cell r="AI138">
            <v>5804055.9699999997</v>
          </cell>
          <cell r="AJ138">
            <v>8801914.0599999987</v>
          </cell>
          <cell r="AK138">
            <v>11836007.599999998</v>
          </cell>
          <cell r="AL138">
            <v>2812098.75</v>
          </cell>
          <cell r="AM138">
            <v>5631620.6099999994</v>
          </cell>
          <cell r="AN138">
            <v>8423282.3999999985</v>
          </cell>
          <cell r="AO138">
            <v>11635497.339999998</v>
          </cell>
          <cell r="AP138">
            <v>3438401</v>
          </cell>
          <cell r="AQ138">
            <v>6991600.96</v>
          </cell>
          <cell r="AR138">
            <v>10661419.52</v>
          </cell>
          <cell r="AS138">
            <v>14717263.699999999</v>
          </cell>
          <cell r="AT138">
            <v>4397669.1500000004</v>
          </cell>
          <cell r="AU138">
            <v>8539844.2100000009</v>
          </cell>
          <cell r="AV138">
            <v>12831499.030000001</v>
          </cell>
          <cell r="AW138">
            <v>17300467.66</v>
          </cell>
          <cell r="AX138">
            <v>4952631.47</v>
          </cell>
          <cell r="AY138">
            <v>9989005.9299999997</v>
          </cell>
          <cell r="AZ138">
            <v>15273609.989999998</v>
          </cell>
          <cell r="BA138">
            <v>21023307.279999997</v>
          </cell>
          <cell r="BB138">
            <v>26103115.389999997</v>
          </cell>
        </row>
        <row r="139">
          <cell r="A139" t="str">
            <v>qtd</v>
          </cell>
          <cell r="B139">
            <v>2940423.24</v>
          </cell>
          <cell r="C139">
            <v>5639662.29</v>
          </cell>
          <cell r="D139">
            <v>8374756.04</v>
          </cell>
          <cell r="E139">
            <v>11060206.629999999</v>
          </cell>
          <cell r="F139">
            <v>14136191.02</v>
          </cell>
          <cell r="G139">
            <v>17166387.98</v>
          </cell>
          <cell r="H139">
            <v>20092559.84</v>
          </cell>
          <cell r="I139">
            <v>22835547.120000001</v>
          </cell>
          <cell r="J139">
            <v>25728275.93</v>
          </cell>
          <cell r="K139">
            <v>28634098.239999998</v>
          </cell>
          <cell r="L139">
            <v>31380514.349999998</v>
          </cell>
          <cell r="M139">
            <v>34242241.299999997</v>
          </cell>
          <cell r="N139">
            <v>2634233.2000000002</v>
          </cell>
          <cell r="O139">
            <v>5576195.5999999996</v>
          </cell>
          <cell r="P139">
            <v>8277624.7799999993</v>
          </cell>
          <cell r="Q139">
            <v>10969804.579999998</v>
          </cell>
          <cell r="R139">
            <v>13592658.429999998</v>
          </cell>
          <cell r="S139">
            <v>16525957.069999998</v>
          </cell>
          <cell r="T139">
            <v>19383073.689999998</v>
          </cell>
          <cell r="U139">
            <v>22184282.949999996</v>
          </cell>
          <cell r="V139">
            <v>25053249.399999995</v>
          </cell>
          <cell r="W139">
            <v>27907238.329999994</v>
          </cell>
          <cell r="X139">
            <v>31020631.719999995</v>
          </cell>
          <cell r="Y139">
            <v>34051131.189999998</v>
          </cell>
          <cell r="Z139">
            <v>3023943.34</v>
          </cell>
          <cell r="AA139">
            <v>5992450.2400000002</v>
          </cell>
          <cell r="AB139">
            <v>9249638.6999999993</v>
          </cell>
          <cell r="AC139">
            <v>12293056.029999999</v>
          </cell>
          <cell r="AD139">
            <v>15296831.709999999</v>
          </cell>
          <cell r="AE139">
            <v>18215104.82</v>
          </cell>
          <cell r="AF139">
            <v>21337774.109999999</v>
          </cell>
          <cell r="AG139">
            <v>24353315.100000001</v>
          </cell>
          <cell r="AH139">
            <v>27251271.73</v>
          </cell>
          <cell r="AI139">
            <v>30157371.07</v>
          </cell>
          <cell r="AJ139">
            <v>33155229.16</v>
          </cell>
          <cell r="AK139">
            <v>36189322.700000003</v>
          </cell>
          <cell r="AL139">
            <v>2812098.75</v>
          </cell>
          <cell r="AM139">
            <v>5631620.6099999994</v>
          </cell>
          <cell r="AN139">
            <v>8423282.3999999985</v>
          </cell>
          <cell r="AO139">
            <v>11635497.339999998</v>
          </cell>
          <cell r="AP139">
            <v>15073898.339999998</v>
          </cell>
          <cell r="AQ139">
            <v>18627098.299999997</v>
          </cell>
          <cell r="AR139">
            <v>22296916.859999996</v>
          </cell>
          <cell r="AS139">
            <v>26352761.039999995</v>
          </cell>
          <cell r="AT139">
            <v>30750430.189999998</v>
          </cell>
          <cell r="AU139">
            <v>34892605.25</v>
          </cell>
          <cell r="AV139">
            <v>39184260.07</v>
          </cell>
          <cell r="AW139">
            <v>43653228.700000003</v>
          </cell>
          <cell r="AX139">
            <v>48605860.170000002</v>
          </cell>
          <cell r="AY139">
            <v>53642234.630000003</v>
          </cell>
          <cell r="AZ139">
            <v>58926838.690000005</v>
          </cell>
          <cell r="BA139">
            <v>64676535.980000004</v>
          </cell>
          <cell r="BB139">
            <v>69756344.090000004</v>
          </cell>
        </row>
        <row r="140">
          <cell r="A140" t="str">
            <v>ytd</v>
          </cell>
          <cell r="B140">
            <v>2940423.24</v>
          </cell>
          <cell r="C140">
            <v>5639662.29</v>
          </cell>
          <cell r="D140">
            <v>8374756.04</v>
          </cell>
          <cell r="E140">
            <v>11060206.629999999</v>
          </cell>
          <cell r="F140">
            <v>14136191.02</v>
          </cell>
          <cell r="G140">
            <v>17166387.98</v>
          </cell>
          <cell r="H140">
            <v>20092559.84</v>
          </cell>
          <cell r="I140">
            <v>22835547.120000001</v>
          </cell>
          <cell r="J140">
            <v>25728275.93</v>
          </cell>
          <cell r="K140">
            <v>28634098.239999998</v>
          </cell>
          <cell r="L140">
            <v>31380514.349999998</v>
          </cell>
          <cell r="M140">
            <v>34242241.299999997</v>
          </cell>
          <cell r="N140">
            <v>36876474.5</v>
          </cell>
          <cell r="O140">
            <v>39818436.899999999</v>
          </cell>
          <cell r="P140">
            <v>42519866.079999998</v>
          </cell>
          <cell r="Q140">
            <v>45212045.879999995</v>
          </cell>
          <cell r="R140">
            <v>47834899.729999997</v>
          </cell>
          <cell r="S140">
            <v>50768198.369999997</v>
          </cell>
          <cell r="T140">
            <v>53625314.989999995</v>
          </cell>
          <cell r="U140">
            <v>56426524.249999993</v>
          </cell>
          <cell r="V140">
            <v>59295490.699999996</v>
          </cell>
          <cell r="W140">
            <v>62149479.629999995</v>
          </cell>
          <cell r="X140">
            <v>65262873.019999996</v>
          </cell>
          <cell r="Y140">
            <v>68293372.489999995</v>
          </cell>
          <cell r="Z140">
            <v>71317315.829999998</v>
          </cell>
          <cell r="AA140">
            <v>74285822.730000004</v>
          </cell>
          <cell r="AB140">
            <v>77543011.189999998</v>
          </cell>
          <cell r="AC140">
            <v>80586428.519999996</v>
          </cell>
          <cell r="AD140">
            <v>83590204.200000003</v>
          </cell>
          <cell r="AE140">
            <v>86508477.310000002</v>
          </cell>
          <cell r="AF140">
            <v>89631146.600000009</v>
          </cell>
          <cell r="AG140">
            <v>92646687.590000004</v>
          </cell>
          <cell r="AH140">
            <v>95544644.219999999</v>
          </cell>
          <cell r="AI140">
            <v>98450743.560000002</v>
          </cell>
          <cell r="AJ140">
            <v>101448601.65000001</v>
          </cell>
          <cell r="AK140">
            <v>104482695.19000001</v>
          </cell>
          <cell r="AL140">
            <v>107294793.94000001</v>
          </cell>
          <cell r="AM140">
            <v>110114315.80000001</v>
          </cell>
          <cell r="AN140">
            <v>112905977.59000002</v>
          </cell>
          <cell r="AO140">
            <v>116118192.53000002</v>
          </cell>
          <cell r="AP140">
            <v>119556593.53000002</v>
          </cell>
          <cell r="AQ140">
            <v>123109793.49000001</v>
          </cell>
          <cell r="AR140">
            <v>126779612.05000001</v>
          </cell>
          <cell r="AS140">
            <v>130835456.23000002</v>
          </cell>
          <cell r="AT140">
            <v>135233125.38000003</v>
          </cell>
          <cell r="AU140">
            <v>139375300.44000003</v>
          </cell>
          <cell r="AV140">
            <v>143666955.26000002</v>
          </cell>
          <cell r="AW140">
            <v>148135923.89000002</v>
          </cell>
          <cell r="AX140">
            <v>153088555.36000001</v>
          </cell>
          <cell r="AY140">
            <v>158124929.82000002</v>
          </cell>
          <cell r="AZ140">
            <v>163409533.88000003</v>
          </cell>
          <cell r="BA140">
            <v>169159231.17000002</v>
          </cell>
          <cell r="BB140">
            <v>174239039.28000003</v>
          </cell>
        </row>
        <row r="141">
          <cell r="A141" t="str">
            <v>TICK</v>
          </cell>
          <cell r="B141">
            <v>152152.78</v>
          </cell>
          <cell r="C141">
            <v>98523.32</v>
          </cell>
          <cell r="D141">
            <v>115020.62</v>
          </cell>
          <cell r="E141">
            <v>103012.53</v>
          </cell>
          <cell r="F141">
            <v>107846.67</v>
          </cell>
          <cell r="G141">
            <v>157870.46</v>
          </cell>
          <cell r="H141">
            <v>264151.63</v>
          </cell>
          <cell r="I141">
            <v>216228.82</v>
          </cell>
          <cell r="J141">
            <v>194973.83</v>
          </cell>
          <cell r="K141">
            <v>210177.8</v>
          </cell>
          <cell r="L141">
            <v>246211.7</v>
          </cell>
          <cell r="M141">
            <v>364072.22</v>
          </cell>
          <cell r="N141">
            <v>335970.71</v>
          </cell>
          <cell r="O141">
            <v>458874.22</v>
          </cell>
          <cell r="P141">
            <v>451796.1</v>
          </cell>
          <cell r="Q141">
            <v>604282.06999999995</v>
          </cell>
          <cell r="R141">
            <v>763885.4</v>
          </cell>
          <cell r="S141">
            <v>536580.17000000004</v>
          </cell>
          <cell r="T141">
            <v>645455.17000000004</v>
          </cell>
          <cell r="U141">
            <v>675764.09</v>
          </cell>
          <cell r="V141">
            <v>1243260.98</v>
          </cell>
          <cell r="W141">
            <v>1536223.16</v>
          </cell>
          <cell r="X141">
            <v>1210024.23</v>
          </cell>
          <cell r="Y141">
            <v>1523220.54</v>
          </cell>
          <cell r="Z141">
            <v>1471646.76</v>
          </cell>
          <cell r="AA141">
            <v>1672367.19</v>
          </cell>
          <cell r="AB141">
            <v>2150415.27</v>
          </cell>
          <cell r="AC141">
            <v>2131976.4700000002</v>
          </cell>
          <cell r="AD141">
            <v>2391508.9500000002</v>
          </cell>
          <cell r="AE141">
            <v>2190646.06</v>
          </cell>
          <cell r="AF141">
            <v>2305520.7599999998</v>
          </cell>
          <cell r="AG141">
            <v>2276020.96</v>
          </cell>
          <cell r="AH141">
            <v>2105723.0099999998</v>
          </cell>
          <cell r="AI141">
            <v>2236442.2599999998</v>
          </cell>
          <cell r="AJ141">
            <v>1825412.53</v>
          </cell>
          <cell r="AK141">
            <v>700198.99</v>
          </cell>
          <cell r="AL141">
            <v>146463.38</v>
          </cell>
          <cell r="AM141">
            <v>256703.26</v>
          </cell>
          <cell r="AN141">
            <v>414933.97</v>
          </cell>
          <cell r="AO141">
            <v>843774.1</v>
          </cell>
          <cell r="AP141">
            <v>1441221.72</v>
          </cell>
          <cell r="AQ141">
            <v>2268779.1800000002</v>
          </cell>
          <cell r="AR141">
            <v>2401381.04</v>
          </cell>
          <cell r="AS141">
            <v>1003531.52</v>
          </cell>
          <cell r="AT141">
            <v>86822.22</v>
          </cell>
          <cell r="AU141">
            <v>85993.52</v>
          </cell>
          <cell r="AV141">
            <v>96250.37</v>
          </cell>
          <cell r="AW141">
            <v>121575.43</v>
          </cell>
          <cell r="AX141">
            <v>155704.23000000001</v>
          </cell>
          <cell r="AY141">
            <v>189711.92</v>
          </cell>
          <cell r="AZ141">
            <v>341579.92</v>
          </cell>
          <cell r="BA141">
            <v>503552.74</v>
          </cell>
          <cell r="BB141">
            <v>174764.28</v>
          </cell>
        </row>
        <row r="142">
          <cell r="A142" t="str">
            <v>ptd</v>
          </cell>
          <cell r="B142">
            <v>152152.78</v>
          </cell>
          <cell r="C142">
            <v>250676.1</v>
          </cell>
          <cell r="D142">
            <v>365696.72</v>
          </cell>
          <cell r="E142">
            <v>468709.25</v>
          </cell>
          <cell r="F142">
            <v>107846.67</v>
          </cell>
          <cell r="G142">
            <v>265717.13</v>
          </cell>
          <cell r="H142">
            <v>529868.76</v>
          </cell>
          <cell r="I142">
            <v>746097.58000000007</v>
          </cell>
          <cell r="J142">
            <v>194973.83</v>
          </cell>
          <cell r="K142">
            <v>405151.63</v>
          </cell>
          <cell r="L142">
            <v>651363.33000000007</v>
          </cell>
          <cell r="M142">
            <v>1015435.55</v>
          </cell>
          <cell r="N142">
            <v>335970.71</v>
          </cell>
          <cell r="O142">
            <v>794844.92999999993</v>
          </cell>
          <cell r="P142">
            <v>1246641.0299999998</v>
          </cell>
          <cell r="Q142">
            <v>1850923.0999999996</v>
          </cell>
          <cell r="R142">
            <v>763885.4</v>
          </cell>
          <cell r="S142">
            <v>1300465.57</v>
          </cell>
          <cell r="T142">
            <v>1945920.7400000002</v>
          </cell>
          <cell r="U142">
            <v>2621684.83</v>
          </cell>
          <cell r="V142">
            <v>1243260.98</v>
          </cell>
          <cell r="W142">
            <v>2779484.1399999997</v>
          </cell>
          <cell r="X142">
            <v>3989508.3699999996</v>
          </cell>
          <cell r="Y142">
            <v>5512728.9100000001</v>
          </cell>
          <cell r="Z142">
            <v>1471646.76</v>
          </cell>
          <cell r="AA142">
            <v>3144013.95</v>
          </cell>
          <cell r="AB142">
            <v>5294429.2200000007</v>
          </cell>
          <cell r="AC142">
            <v>7426405.6900000013</v>
          </cell>
          <cell r="AD142">
            <v>2391508.9500000002</v>
          </cell>
          <cell r="AE142">
            <v>4582155.01</v>
          </cell>
          <cell r="AF142">
            <v>6887675.7699999996</v>
          </cell>
          <cell r="AG142">
            <v>9163696.7300000004</v>
          </cell>
          <cell r="AH142">
            <v>2105723.0099999998</v>
          </cell>
          <cell r="AI142">
            <v>4342165.2699999996</v>
          </cell>
          <cell r="AJ142">
            <v>6167577.7999999998</v>
          </cell>
          <cell r="AK142">
            <v>6867776.79</v>
          </cell>
          <cell r="AL142">
            <v>146463.38</v>
          </cell>
          <cell r="AM142">
            <v>403166.64</v>
          </cell>
          <cell r="AN142">
            <v>818100.61</v>
          </cell>
          <cell r="AO142">
            <v>1661874.71</v>
          </cell>
          <cell r="AP142">
            <v>1441221.72</v>
          </cell>
          <cell r="AQ142">
            <v>3710000.9000000004</v>
          </cell>
          <cell r="AR142">
            <v>6111381.9400000004</v>
          </cell>
          <cell r="AS142">
            <v>7114913.4600000009</v>
          </cell>
          <cell r="AT142">
            <v>86822.22</v>
          </cell>
          <cell r="AU142">
            <v>172815.74</v>
          </cell>
          <cell r="AV142">
            <v>269066.11</v>
          </cell>
          <cell r="AW142">
            <v>390641.54</v>
          </cell>
          <cell r="AX142">
            <v>155704.23000000001</v>
          </cell>
          <cell r="AY142">
            <v>345416.15</v>
          </cell>
          <cell r="AZ142">
            <v>686996.07000000007</v>
          </cell>
          <cell r="BA142">
            <v>1190548.81</v>
          </cell>
          <cell r="BB142">
            <v>1365313.09</v>
          </cell>
        </row>
        <row r="143">
          <cell r="A143" t="str">
            <v>qtd</v>
          </cell>
          <cell r="B143">
            <v>152152.78</v>
          </cell>
          <cell r="C143">
            <v>250676.1</v>
          </cell>
          <cell r="D143">
            <v>365696.72</v>
          </cell>
          <cell r="E143">
            <v>468709.25</v>
          </cell>
          <cell r="F143">
            <v>576555.92000000004</v>
          </cell>
          <cell r="G143">
            <v>734426.38</v>
          </cell>
          <cell r="H143">
            <v>998578.01</v>
          </cell>
          <cell r="I143">
            <v>1214806.83</v>
          </cell>
          <cell r="J143">
            <v>1409780.6600000001</v>
          </cell>
          <cell r="K143">
            <v>1619958.4600000002</v>
          </cell>
          <cell r="L143">
            <v>1866170.1600000001</v>
          </cell>
          <cell r="M143">
            <v>2230242.38</v>
          </cell>
          <cell r="N143">
            <v>335970.71</v>
          </cell>
          <cell r="O143">
            <v>794844.92999999993</v>
          </cell>
          <cell r="P143">
            <v>1246641.0299999998</v>
          </cell>
          <cell r="Q143">
            <v>1850923.0999999996</v>
          </cell>
          <cell r="R143">
            <v>2614808.4999999995</v>
          </cell>
          <cell r="S143">
            <v>3151388.6699999995</v>
          </cell>
          <cell r="T143">
            <v>3796843.8399999994</v>
          </cell>
          <cell r="U143">
            <v>4472607.93</v>
          </cell>
          <cell r="V143">
            <v>5715868.9100000001</v>
          </cell>
          <cell r="W143">
            <v>7252092.0700000003</v>
          </cell>
          <cell r="X143">
            <v>8462116.3000000007</v>
          </cell>
          <cell r="Y143">
            <v>9985336.8399999999</v>
          </cell>
          <cell r="Z143">
            <v>1471646.76</v>
          </cell>
          <cell r="AA143">
            <v>3144013.95</v>
          </cell>
          <cell r="AB143">
            <v>5294429.2200000007</v>
          </cell>
          <cell r="AC143">
            <v>7426405.6900000013</v>
          </cell>
          <cell r="AD143">
            <v>9817914.6400000006</v>
          </cell>
          <cell r="AE143">
            <v>12008560.700000001</v>
          </cell>
          <cell r="AF143">
            <v>14314081.460000001</v>
          </cell>
          <cell r="AG143">
            <v>16590102.420000002</v>
          </cell>
          <cell r="AH143">
            <v>18695825.43</v>
          </cell>
          <cell r="AI143">
            <v>20932267.689999998</v>
          </cell>
          <cell r="AJ143">
            <v>22757680.219999999</v>
          </cell>
          <cell r="AK143">
            <v>23457879.209999997</v>
          </cell>
          <cell r="AL143">
            <v>146463.38</v>
          </cell>
          <cell r="AM143">
            <v>403166.64</v>
          </cell>
          <cell r="AN143">
            <v>818100.61</v>
          </cell>
          <cell r="AO143">
            <v>1661874.71</v>
          </cell>
          <cell r="AP143">
            <v>3103096.4299999997</v>
          </cell>
          <cell r="AQ143">
            <v>5371875.6099999994</v>
          </cell>
          <cell r="AR143">
            <v>7773256.6499999994</v>
          </cell>
          <cell r="AS143">
            <v>8776788.1699999999</v>
          </cell>
          <cell r="AT143">
            <v>8863610.3900000006</v>
          </cell>
          <cell r="AU143">
            <v>8949603.9100000001</v>
          </cell>
          <cell r="AV143">
            <v>9045854.2799999993</v>
          </cell>
          <cell r="AW143">
            <v>9167429.709999999</v>
          </cell>
          <cell r="AX143">
            <v>9323133.9399999995</v>
          </cell>
          <cell r="AY143">
            <v>9512845.8599999994</v>
          </cell>
          <cell r="AZ143">
            <v>9854425.7799999993</v>
          </cell>
          <cell r="BA143">
            <v>10357978.52</v>
          </cell>
          <cell r="BB143">
            <v>10532742.799999999</v>
          </cell>
        </row>
        <row r="144">
          <cell r="A144" t="str">
            <v>ytd</v>
          </cell>
          <cell r="B144">
            <v>152152.78</v>
          </cell>
          <cell r="C144">
            <v>250676.1</v>
          </cell>
          <cell r="D144">
            <v>365696.72</v>
          </cell>
          <cell r="E144">
            <v>468709.25</v>
          </cell>
          <cell r="F144">
            <v>576555.92000000004</v>
          </cell>
          <cell r="G144">
            <v>734426.38</v>
          </cell>
          <cell r="H144">
            <v>998578.01</v>
          </cell>
          <cell r="I144">
            <v>1214806.83</v>
          </cell>
          <cell r="J144">
            <v>1409780.6600000001</v>
          </cell>
          <cell r="K144">
            <v>1619958.4600000002</v>
          </cell>
          <cell r="L144">
            <v>1866170.1600000001</v>
          </cell>
          <cell r="M144">
            <v>2230242.38</v>
          </cell>
          <cell r="N144">
            <v>2566213.09</v>
          </cell>
          <cell r="O144">
            <v>3025087.3099999996</v>
          </cell>
          <cell r="P144">
            <v>3476883.4099999997</v>
          </cell>
          <cell r="Q144">
            <v>4081165.4799999995</v>
          </cell>
          <cell r="R144">
            <v>4845050.88</v>
          </cell>
          <cell r="S144">
            <v>5381631.0499999998</v>
          </cell>
          <cell r="T144">
            <v>6027086.2199999997</v>
          </cell>
          <cell r="U144">
            <v>6702850.3099999996</v>
          </cell>
          <cell r="V144">
            <v>7946111.2899999991</v>
          </cell>
          <cell r="W144">
            <v>9482334.4499999993</v>
          </cell>
          <cell r="X144">
            <v>10692358.68</v>
          </cell>
          <cell r="Y144">
            <v>12215579.219999999</v>
          </cell>
          <cell r="Z144">
            <v>13687225.979999999</v>
          </cell>
          <cell r="AA144">
            <v>15359593.169999998</v>
          </cell>
          <cell r="AB144">
            <v>17510008.439999998</v>
          </cell>
          <cell r="AC144">
            <v>19641984.909999996</v>
          </cell>
          <cell r="AD144">
            <v>22033493.859999996</v>
          </cell>
          <cell r="AE144">
            <v>24224139.919999994</v>
          </cell>
          <cell r="AF144">
            <v>26529660.679999992</v>
          </cell>
          <cell r="AG144">
            <v>28805681.639999993</v>
          </cell>
          <cell r="AH144">
            <v>30911404.649999991</v>
          </cell>
          <cell r="AI144">
            <v>33147846.909999989</v>
          </cell>
          <cell r="AJ144">
            <v>34973259.43999999</v>
          </cell>
          <cell r="AK144">
            <v>35673458.429999992</v>
          </cell>
          <cell r="AL144">
            <v>35819921.809999995</v>
          </cell>
          <cell r="AM144">
            <v>36076625.069999993</v>
          </cell>
          <cell r="AN144">
            <v>36491559.039999992</v>
          </cell>
          <cell r="AO144">
            <v>37335333.139999993</v>
          </cell>
          <cell r="AP144">
            <v>38776554.859999992</v>
          </cell>
          <cell r="AQ144">
            <v>41045334.039999992</v>
          </cell>
          <cell r="AR144">
            <v>43446715.079999991</v>
          </cell>
          <cell r="AS144">
            <v>44450246.599999994</v>
          </cell>
          <cell r="AT144">
            <v>44537068.819999993</v>
          </cell>
          <cell r="AU144">
            <v>44623062.339999996</v>
          </cell>
          <cell r="AV144">
            <v>44719312.709999993</v>
          </cell>
          <cell r="AW144">
            <v>44840888.139999993</v>
          </cell>
          <cell r="AX144">
            <v>44996592.36999999</v>
          </cell>
          <cell r="AY144">
            <v>45186304.289999992</v>
          </cell>
          <cell r="AZ144">
            <v>45527884.209999993</v>
          </cell>
          <cell r="BA144">
            <v>46031436.949999996</v>
          </cell>
          <cell r="BB144">
            <v>46206201.229999997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TOTAL DISTRIBUTION</v>
          </cell>
          <cell r="B149">
            <v>21794616.34</v>
          </cell>
          <cell r="C149">
            <v>18358067.280000001</v>
          </cell>
          <cell r="D149">
            <v>17676796.199999999</v>
          </cell>
          <cell r="E149">
            <v>17209860.989999998</v>
          </cell>
          <cell r="F149">
            <v>18180560.719999999</v>
          </cell>
          <cell r="G149">
            <v>19630748.080000002</v>
          </cell>
          <cell r="H149">
            <v>27518153.48</v>
          </cell>
          <cell r="I149">
            <v>17702011.43</v>
          </cell>
          <cell r="J149">
            <v>18645173.509999998</v>
          </cell>
          <cell r="K149">
            <v>19382063.420000002</v>
          </cell>
          <cell r="L149">
            <v>20265923.640000001</v>
          </cell>
          <cell r="M149">
            <v>28371159</v>
          </cell>
          <cell r="N149">
            <v>18888838.289999999</v>
          </cell>
          <cell r="O149">
            <v>19546610.349999998</v>
          </cell>
          <cell r="P149">
            <v>19175938.09</v>
          </cell>
          <cell r="Q149">
            <v>19987502.170000002</v>
          </cell>
          <cell r="R149">
            <v>22762147.210000001</v>
          </cell>
          <cell r="S149">
            <v>23123588.670000002</v>
          </cell>
          <cell r="T149">
            <v>38546880.730000004</v>
          </cell>
          <cell r="U149">
            <v>30023874.710000001</v>
          </cell>
          <cell r="V149">
            <v>26875984.890000001</v>
          </cell>
          <cell r="W149">
            <v>27518054.010000002</v>
          </cell>
          <cell r="X149">
            <v>32161457.370000001</v>
          </cell>
          <cell r="Y149">
            <v>48441269.630000003</v>
          </cell>
          <cell r="Z149">
            <v>37522944.219999999</v>
          </cell>
          <cell r="AA149">
            <v>27377513.629999999</v>
          </cell>
          <cell r="AB149">
            <v>24126011.330000002</v>
          </cell>
          <cell r="AC149">
            <v>23533431.379999999</v>
          </cell>
          <cell r="AD149">
            <v>24404298.080000002</v>
          </cell>
          <cell r="AE149">
            <v>23984793.260000002</v>
          </cell>
          <cell r="AF149">
            <v>25013726.52</v>
          </cell>
          <cell r="AG149">
            <v>24665548.400000002</v>
          </cell>
          <cell r="AH149">
            <v>24491594.129999999</v>
          </cell>
          <cell r="AI149">
            <v>24427748.800000001</v>
          </cell>
          <cell r="AJ149">
            <v>23532080.210000001</v>
          </cell>
          <cell r="AK149">
            <v>21752328.689999998</v>
          </cell>
          <cell r="AL149">
            <v>21370832.52</v>
          </cell>
          <cell r="AM149">
            <v>21791978.16</v>
          </cell>
          <cell r="AN149">
            <v>21628243.27</v>
          </cell>
          <cell r="AO149">
            <v>22875735.709999997</v>
          </cell>
          <cell r="AP149">
            <v>23351821.849999998</v>
          </cell>
          <cell r="AQ149">
            <v>25823685.539999999</v>
          </cell>
          <cell r="AR149">
            <v>25052674</v>
          </cell>
          <cell r="AS149">
            <v>27614516.370000001</v>
          </cell>
          <cell r="AT149">
            <v>25707729.630000003</v>
          </cell>
          <cell r="AU149">
            <v>27897325.150000002</v>
          </cell>
          <cell r="AV149">
            <v>31797197.580000006</v>
          </cell>
          <cell r="AW149">
            <v>39178803.669999994</v>
          </cell>
          <cell r="AX149">
            <v>57931121.949999996</v>
          </cell>
          <cell r="AY149">
            <v>102976587.23</v>
          </cell>
          <cell r="AZ149">
            <v>220185258.28</v>
          </cell>
          <cell r="BA149">
            <v>290582478.20999998</v>
          </cell>
          <cell r="BB149">
            <v>36849528.020000003</v>
          </cell>
        </row>
        <row r="150">
          <cell r="A150" t="str">
            <v>ptd</v>
          </cell>
          <cell r="B150">
            <v>21794616.34</v>
          </cell>
          <cell r="C150">
            <v>40152683.620000005</v>
          </cell>
          <cell r="D150">
            <v>57829479.820000008</v>
          </cell>
          <cell r="E150">
            <v>75039340.810000002</v>
          </cell>
          <cell r="F150">
            <v>18180560.719999999</v>
          </cell>
          <cell r="G150">
            <v>37811308.799999997</v>
          </cell>
          <cell r="H150">
            <v>65329462.280000001</v>
          </cell>
          <cell r="I150">
            <v>83031473.710000008</v>
          </cell>
          <cell r="J150">
            <v>18645173.509999998</v>
          </cell>
          <cell r="K150">
            <v>38027236.93</v>
          </cell>
          <cell r="L150">
            <v>58293160.57</v>
          </cell>
          <cell r="M150">
            <v>86664319.569999993</v>
          </cell>
          <cell r="N150">
            <v>18888838.289999999</v>
          </cell>
          <cell r="O150">
            <v>38435448.640000001</v>
          </cell>
          <cell r="P150">
            <v>57611386.730000004</v>
          </cell>
          <cell r="Q150">
            <v>77598888.900000006</v>
          </cell>
          <cell r="R150">
            <v>22762147.210000001</v>
          </cell>
          <cell r="S150">
            <v>45885735.880000003</v>
          </cell>
          <cell r="T150">
            <v>84432616.610000014</v>
          </cell>
          <cell r="U150">
            <v>114456491.32000002</v>
          </cell>
          <cell r="V150">
            <v>26875984.890000001</v>
          </cell>
          <cell r="W150">
            <v>54394038.900000006</v>
          </cell>
          <cell r="X150">
            <v>86555496.270000011</v>
          </cell>
          <cell r="Y150">
            <v>134996765.90000001</v>
          </cell>
          <cell r="Z150">
            <v>37522944.219999999</v>
          </cell>
          <cell r="AA150">
            <v>64900457.849999994</v>
          </cell>
          <cell r="AB150">
            <v>89026469.179999992</v>
          </cell>
          <cell r="AC150">
            <v>112559900.55999999</v>
          </cell>
          <cell r="AD150">
            <v>24404298.080000002</v>
          </cell>
          <cell r="AE150">
            <v>48389091.340000004</v>
          </cell>
          <cell r="AF150">
            <v>73402817.859999999</v>
          </cell>
          <cell r="AG150">
            <v>98068366.260000005</v>
          </cell>
          <cell r="AH150">
            <v>24491594.129999999</v>
          </cell>
          <cell r="AI150">
            <v>48919342.93</v>
          </cell>
          <cell r="AJ150">
            <v>72451423.140000001</v>
          </cell>
          <cell r="AK150">
            <v>94203751.829999998</v>
          </cell>
          <cell r="AL150">
            <v>21370832.52</v>
          </cell>
          <cell r="AM150">
            <v>43162810.68</v>
          </cell>
          <cell r="AN150">
            <v>64791053.950000003</v>
          </cell>
          <cell r="AO150">
            <v>87666789.659999996</v>
          </cell>
          <cell r="AP150">
            <v>23351821.849999998</v>
          </cell>
          <cell r="AQ150">
            <v>49175507.390000001</v>
          </cell>
          <cell r="AR150">
            <v>74228181.390000001</v>
          </cell>
          <cell r="AS150">
            <v>101842697.76000001</v>
          </cell>
          <cell r="AT150">
            <v>25707729.630000003</v>
          </cell>
          <cell r="AU150">
            <v>53605054.780000001</v>
          </cell>
          <cell r="AV150">
            <v>85402252.360000014</v>
          </cell>
          <cell r="AW150">
            <v>124581056.03</v>
          </cell>
          <cell r="AX150">
            <v>57931121.949999996</v>
          </cell>
          <cell r="AY150">
            <v>160907709.18000001</v>
          </cell>
          <cell r="AZ150">
            <v>381092967.46000004</v>
          </cell>
          <cell r="BA150">
            <v>671675445.67000008</v>
          </cell>
          <cell r="BB150">
            <v>708524973.69000006</v>
          </cell>
        </row>
        <row r="151">
          <cell r="A151" t="str">
            <v>qtd</v>
          </cell>
          <cell r="B151">
            <v>21794616.34</v>
          </cell>
          <cell r="C151">
            <v>40152683.620000005</v>
          </cell>
          <cell r="D151">
            <v>57829479.820000008</v>
          </cell>
          <cell r="E151">
            <v>75039340.810000002</v>
          </cell>
          <cell r="F151">
            <v>93219901.530000001</v>
          </cell>
          <cell r="G151">
            <v>112850649.61</v>
          </cell>
          <cell r="H151">
            <v>140368803.09</v>
          </cell>
          <cell r="I151">
            <v>158070814.52000001</v>
          </cell>
          <cell r="J151">
            <v>176715988.03</v>
          </cell>
          <cell r="K151">
            <v>196098051.44999999</v>
          </cell>
          <cell r="L151">
            <v>216363975.08999997</v>
          </cell>
          <cell r="M151">
            <v>244735134.08999997</v>
          </cell>
          <cell r="N151">
            <v>18888838.289999999</v>
          </cell>
          <cell r="O151">
            <v>38435448.640000001</v>
          </cell>
          <cell r="P151">
            <v>57611386.730000004</v>
          </cell>
          <cell r="Q151">
            <v>77598888.900000006</v>
          </cell>
          <cell r="R151">
            <v>100361036.11000001</v>
          </cell>
          <cell r="S151">
            <v>123484624.78000002</v>
          </cell>
          <cell r="T151">
            <v>162031505.51000002</v>
          </cell>
          <cell r="U151">
            <v>192055380.22000003</v>
          </cell>
          <cell r="V151">
            <v>218931365.11000001</v>
          </cell>
          <cell r="W151">
            <v>246449419.12</v>
          </cell>
          <cell r="X151">
            <v>278610876.49000001</v>
          </cell>
          <cell r="Y151">
            <v>327052146.12</v>
          </cell>
          <cell r="Z151">
            <v>37522944.219999999</v>
          </cell>
          <cell r="AA151">
            <v>64900457.849999994</v>
          </cell>
          <cell r="AB151">
            <v>89026469.179999992</v>
          </cell>
          <cell r="AC151">
            <v>112559900.55999999</v>
          </cell>
          <cell r="AD151">
            <v>136964198.63999999</v>
          </cell>
          <cell r="AE151">
            <v>160948991.89999998</v>
          </cell>
          <cell r="AF151">
            <v>185962718.41999999</v>
          </cell>
          <cell r="AG151">
            <v>210628266.81999999</v>
          </cell>
          <cell r="AH151">
            <v>235119860.94999999</v>
          </cell>
          <cell r="AI151">
            <v>259547609.75</v>
          </cell>
          <cell r="AJ151">
            <v>283079689.95999998</v>
          </cell>
          <cell r="AK151">
            <v>304832018.64999998</v>
          </cell>
          <cell r="AL151">
            <v>21370832.52</v>
          </cell>
          <cell r="AM151">
            <v>43162810.68</v>
          </cell>
          <cell r="AN151">
            <v>64791053.950000003</v>
          </cell>
          <cell r="AO151">
            <v>87666789.659999996</v>
          </cell>
          <cell r="AP151">
            <v>111018611.50999999</v>
          </cell>
          <cell r="AQ151">
            <v>136842297.04999998</v>
          </cell>
          <cell r="AR151">
            <v>161894971.04999998</v>
          </cell>
          <cell r="AS151">
            <v>189509487.41999999</v>
          </cell>
          <cell r="AT151">
            <v>215217217.04999998</v>
          </cell>
          <cell r="AU151">
            <v>243114542.19999999</v>
          </cell>
          <cell r="AV151">
            <v>274911739.77999997</v>
          </cell>
          <cell r="AW151">
            <v>314090543.44999999</v>
          </cell>
          <cell r="AX151">
            <v>372021665.39999998</v>
          </cell>
          <cell r="AY151">
            <v>474998252.63</v>
          </cell>
          <cell r="AZ151">
            <v>695183510.90999997</v>
          </cell>
          <cell r="BA151">
            <v>985765989.11999989</v>
          </cell>
          <cell r="BB151">
            <v>1022615517.1399999</v>
          </cell>
        </row>
        <row r="152">
          <cell r="A152" t="str">
            <v>ytd</v>
          </cell>
          <cell r="B152">
            <v>21794616.34</v>
          </cell>
          <cell r="C152">
            <v>40152683.620000005</v>
          </cell>
          <cell r="D152">
            <v>57829479.820000008</v>
          </cell>
          <cell r="E152">
            <v>75039340.810000002</v>
          </cell>
          <cell r="F152">
            <v>93219901.530000001</v>
          </cell>
          <cell r="G152">
            <v>112850649.61</v>
          </cell>
          <cell r="H152">
            <v>140368803.09</v>
          </cell>
          <cell r="I152">
            <v>158070814.52000001</v>
          </cell>
          <cell r="J152">
            <v>176715988.03</v>
          </cell>
          <cell r="K152">
            <v>196098051.44999999</v>
          </cell>
          <cell r="L152">
            <v>216363975.08999997</v>
          </cell>
          <cell r="M152">
            <v>244735134.08999997</v>
          </cell>
          <cell r="N152">
            <v>263623972.37999997</v>
          </cell>
          <cell r="O152">
            <v>283170582.72999996</v>
          </cell>
          <cell r="P152">
            <v>302346520.81999993</v>
          </cell>
          <cell r="Q152">
            <v>322334022.98999995</v>
          </cell>
          <cell r="R152">
            <v>345096170.19999993</v>
          </cell>
          <cell r="S152">
            <v>368219758.86999995</v>
          </cell>
          <cell r="T152">
            <v>406766639.59999996</v>
          </cell>
          <cell r="U152">
            <v>436790514.30999994</v>
          </cell>
          <cell r="V152">
            <v>463666499.19999993</v>
          </cell>
          <cell r="W152">
            <v>491184553.20999992</v>
          </cell>
          <cell r="X152">
            <v>523346010.57999992</v>
          </cell>
          <cell r="Y152">
            <v>571787280.20999992</v>
          </cell>
          <cell r="Z152">
            <v>609310224.42999995</v>
          </cell>
          <cell r="AA152">
            <v>636687738.05999994</v>
          </cell>
          <cell r="AB152">
            <v>660813749.38999999</v>
          </cell>
          <cell r="AC152">
            <v>684347180.76999998</v>
          </cell>
          <cell r="AD152">
            <v>708751478.85000002</v>
          </cell>
          <cell r="AE152">
            <v>732736272.11000001</v>
          </cell>
          <cell r="AF152">
            <v>757749998.63</v>
          </cell>
          <cell r="AG152">
            <v>782415547.02999997</v>
          </cell>
          <cell r="AH152">
            <v>806907141.15999997</v>
          </cell>
          <cell r="AI152">
            <v>831334889.95999992</v>
          </cell>
          <cell r="AJ152">
            <v>854866970.16999996</v>
          </cell>
          <cell r="AK152">
            <v>876619298.8599999</v>
          </cell>
          <cell r="AL152">
            <v>897990131.37999988</v>
          </cell>
          <cell r="AM152">
            <v>919782109.53999984</v>
          </cell>
          <cell r="AN152">
            <v>941410352.80999982</v>
          </cell>
          <cell r="AO152">
            <v>964286088.51999986</v>
          </cell>
          <cell r="AP152">
            <v>987637910.36999989</v>
          </cell>
          <cell r="AQ152">
            <v>1013461595.9099998</v>
          </cell>
          <cell r="AR152">
            <v>1038514269.9099998</v>
          </cell>
          <cell r="AS152">
            <v>1066128786.2799999</v>
          </cell>
          <cell r="AT152">
            <v>1091836515.9099998</v>
          </cell>
          <cell r="AU152">
            <v>1119733841.0599999</v>
          </cell>
          <cell r="AV152">
            <v>1151531038.6399999</v>
          </cell>
          <cell r="AW152">
            <v>1190709842.3099999</v>
          </cell>
          <cell r="AX152">
            <v>1248640964.26</v>
          </cell>
          <cell r="AY152">
            <v>1351617551.49</v>
          </cell>
          <cell r="AZ152">
            <v>1571802809.77</v>
          </cell>
          <cell r="BA152">
            <v>1862385287.98</v>
          </cell>
          <cell r="BB152">
            <v>1899234816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67212.83</v>
          </cell>
          <cell r="C159">
            <v>69309.350000000006</v>
          </cell>
          <cell r="D159">
            <v>68160.98</v>
          </cell>
          <cell r="E159">
            <v>73653.78</v>
          </cell>
          <cell r="F159">
            <v>85242.12</v>
          </cell>
          <cell r="G159">
            <v>93598.7</v>
          </cell>
          <cell r="H159">
            <v>128686.89</v>
          </cell>
          <cell r="I159">
            <v>95558.65</v>
          </cell>
          <cell r="J159">
            <v>181047.5</v>
          </cell>
          <cell r="K159">
            <v>114414.36</v>
          </cell>
          <cell r="L159">
            <v>102329.68</v>
          </cell>
          <cell r="M159">
            <v>112184.07</v>
          </cell>
          <cell r="N159">
            <v>98584.320000000007</v>
          </cell>
          <cell r="O159">
            <v>99318.28</v>
          </cell>
          <cell r="P159">
            <v>91993.96</v>
          </cell>
          <cell r="Q159">
            <v>92315.93</v>
          </cell>
          <cell r="R159">
            <v>102688.82</v>
          </cell>
          <cell r="S159">
            <v>141066.82</v>
          </cell>
          <cell r="T159">
            <v>126367.34</v>
          </cell>
          <cell r="U159">
            <v>135760.64000000001</v>
          </cell>
          <cell r="V159">
            <v>136393</v>
          </cell>
          <cell r="W159">
            <v>125164.06</v>
          </cell>
          <cell r="X159">
            <v>139572.87</v>
          </cell>
          <cell r="Y159">
            <v>162864.57999999999</v>
          </cell>
          <cell r="Z159">
            <v>132833.79</v>
          </cell>
          <cell r="AA159">
            <v>135523.39000000001</v>
          </cell>
          <cell r="AB159">
            <v>131899.59</v>
          </cell>
          <cell r="AC159">
            <v>127941.71</v>
          </cell>
          <cell r="AD159">
            <v>139408.44</v>
          </cell>
          <cell r="AE159">
            <v>129979.53</v>
          </cell>
          <cell r="AF159">
            <v>122170.58</v>
          </cell>
          <cell r="AG159">
            <v>117482.7</v>
          </cell>
          <cell r="AH159">
            <v>117594.76</v>
          </cell>
          <cell r="AI159">
            <v>121852.76</v>
          </cell>
          <cell r="AJ159">
            <v>113661.13</v>
          </cell>
          <cell r="AK159">
            <v>141198.07999999999</v>
          </cell>
          <cell r="AL159">
            <v>132466.43</v>
          </cell>
          <cell r="AM159">
            <v>125162.18</v>
          </cell>
          <cell r="AN159">
            <v>127751.86</v>
          </cell>
          <cell r="AO159">
            <v>128914.12</v>
          </cell>
          <cell r="AP159">
            <v>105430.54</v>
          </cell>
          <cell r="AQ159">
            <v>103275.33</v>
          </cell>
          <cell r="AR159">
            <v>102232.52</v>
          </cell>
          <cell r="AS159">
            <v>112118.91</v>
          </cell>
          <cell r="AT159">
            <v>196433.92000000001</v>
          </cell>
          <cell r="AU159">
            <v>291837.08</v>
          </cell>
          <cell r="AV159">
            <v>238388.8</v>
          </cell>
          <cell r="AW159">
            <v>264949.44</v>
          </cell>
          <cell r="AX159">
            <v>392231.05</v>
          </cell>
          <cell r="AY159">
            <v>590876.06000000006</v>
          </cell>
          <cell r="AZ159">
            <v>1721755.59</v>
          </cell>
          <cell r="BA159">
            <v>1128458.47</v>
          </cell>
          <cell r="BB159">
            <v>198865.93</v>
          </cell>
        </row>
        <row r="160">
          <cell r="A160" t="str">
            <v>ptd</v>
          </cell>
          <cell r="B160">
            <v>67212.83</v>
          </cell>
          <cell r="C160">
            <v>136522.18</v>
          </cell>
          <cell r="D160">
            <v>204683.15999999997</v>
          </cell>
          <cell r="E160">
            <v>278336.93999999994</v>
          </cell>
          <cell r="F160">
            <v>85242.12</v>
          </cell>
          <cell r="G160">
            <v>178840.82</v>
          </cell>
          <cell r="H160">
            <v>307527.71000000002</v>
          </cell>
          <cell r="I160">
            <v>403086.36</v>
          </cell>
          <cell r="J160">
            <v>181047.5</v>
          </cell>
          <cell r="K160">
            <v>295461.86</v>
          </cell>
          <cell r="L160">
            <v>397791.54</v>
          </cell>
          <cell r="M160">
            <v>509975.61</v>
          </cell>
          <cell r="N160">
            <v>98584.320000000007</v>
          </cell>
          <cell r="O160">
            <v>197902.6</v>
          </cell>
          <cell r="P160">
            <v>289896.56</v>
          </cell>
          <cell r="Q160">
            <v>382212.49</v>
          </cell>
          <cell r="R160">
            <v>102688.82</v>
          </cell>
          <cell r="S160">
            <v>243755.64</v>
          </cell>
          <cell r="T160">
            <v>370122.98</v>
          </cell>
          <cell r="U160">
            <v>505883.62</v>
          </cell>
          <cell r="V160">
            <v>136393</v>
          </cell>
          <cell r="W160">
            <v>261557.06</v>
          </cell>
          <cell r="X160">
            <v>401129.93</v>
          </cell>
          <cell r="Y160">
            <v>563994.51</v>
          </cell>
          <cell r="Z160">
            <v>132833.79</v>
          </cell>
          <cell r="AA160">
            <v>268357.18000000005</v>
          </cell>
          <cell r="AB160">
            <v>400256.77</v>
          </cell>
          <cell r="AC160">
            <v>528198.48</v>
          </cell>
          <cell r="AD160">
            <v>139408.44</v>
          </cell>
          <cell r="AE160">
            <v>269387.96999999997</v>
          </cell>
          <cell r="AF160">
            <v>391558.55</v>
          </cell>
          <cell r="AG160">
            <v>509041.25</v>
          </cell>
          <cell r="AH160">
            <v>117594.76</v>
          </cell>
          <cell r="AI160">
            <v>239447.52</v>
          </cell>
          <cell r="AJ160">
            <v>353108.65</v>
          </cell>
          <cell r="AK160">
            <v>494306.73</v>
          </cell>
          <cell r="AL160">
            <v>132466.43</v>
          </cell>
          <cell r="AM160">
            <v>257628.61</v>
          </cell>
          <cell r="AN160">
            <v>385380.47</v>
          </cell>
          <cell r="AO160">
            <v>514294.58999999997</v>
          </cell>
          <cell r="AP160">
            <v>105430.54</v>
          </cell>
          <cell r="AQ160">
            <v>208705.87</v>
          </cell>
          <cell r="AR160">
            <v>310938.39</v>
          </cell>
          <cell r="AS160">
            <v>423057.30000000005</v>
          </cell>
          <cell r="AT160">
            <v>196433.92000000001</v>
          </cell>
          <cell r="AU160">
            <v>488271</v>
          </cell>
          <cell r="AV160">
            <v>726659.8</v>
          </cell>
          <cell r="AW160">
            <v>991609.24</v>
          </cell>
          <cell r="AX160">
            <v>392231.05</v>
          </cell>
          <cell r="AY160">
            <v>983107.1100000001</v>
          </cell>
          <cell r="AZ160">
            <v>2704862.7</v>
          </cell>
          <cell r="BA160">
            <v>3833321.17</v>
          </cell>
          <cell r="BB160">
            <v>4032187.1</v>
          </cell>
        </row>
        <row r="161">
          <cell r="A161" t="str">
            <v>qtd</v>
          </cell>
          <cell r="B161">
            <v>67212.83</v>
          </cell>
          <cell r="C161">
            <v>136522.18</v>
          </cell>
          <cell r="D161">
            <v>204683.15999999997</v>
          </cell>
          <cell r="E161">
            <v>278336.93999999994</v>
          </cell>
          <cell r="F161">
            <v>363579.05999999994</v>
          </cell>
          <cell r="G161">
            <v>457177.75999999995</v>
          </cell>
          <cell r="H161">
            <v>585864.64999999991</v>
          </cell>
          <cell r="I161">
            <v>681423.29999999993</v>
          </cell>
          <cell r="J161">
            <v>862470.79999999993</v>
          </cell>
          <cell r="K161">
            <v>976885.15999999992</v>
          </cell>
          <cell r="L161">
            <v>1079214.8399999999</v>
          </cell>
          <cell r="M161">
            <v>1191398.9099999999</v>
          </cell>
          <cell r="N161">
            <v>98584.320000000007</v>
          </cell>
          <cell r="O161">
            <v>197902.6</v>
          </cell>
          <cell r="P161">
            <v>289896.56</v>
          </cell>
          <cell r="Q161">
            <v>382212.49</v>
          </cell>
          <cell r="R161">
            <v>484901.31</v>
          </cell>
          <cell r="S161">
            <v>625968.13</v>
          </cell>
          <cell r="T161">
            <v>752335.47</v>
          </cell>
          <cell r="U161">
            <v>888096.11</v>
          </cell>
          <cell r="V161">
            <v>1024489.11</v>
          </cell>
          <cell r="W161">
            <v>1149653.17</v>
          </cell>
          <cell r="X161">
            <v>1289226.04</v>
          </cell>
          <cell r="Y161">
            <v>1452090.62</v>
          </cell>
          <cell r="Z161">
            <v>132833.79</v>
          </cell>
          <cell r="AA161">
            <v>268357.18000000005</v>
          </cell>
          <cell r="AB161">
            <v>400256.77</v>
          </cell>
          <cell r="AC161">
            <v>528198.48</v>
          </cell>
          <cell r="AD161">
            <v>667606.91999999993</v>
          </cell>
          <cell r="AE161">
            <v>797586.45</v>
          </cell>
          <cell r="AF161">
            <v>919757.02999999991</v>
          </cell>
          <cell r="AG161">
            <v>1037239.7299999999</v>
          </cell>
          <cell r="AH161">
            <v>1154834.4899999998</v>
          </cell>
          <cell r="AI161">
            <v>1276687.2499999998</v>
          </cell>
          <cell r="AJ161">
            <v>1390348.38</v>
          </cell>
          <cell r="AK161">
            <v>1531546.46</v>
          </cell>
          <cell r="AL161">
            <v>132466.43</v>
          </cell>
          <cell r="AM161">
            <v>257628.61</v>
          </cell>
          <cell r="AN161">
            <v>385380.47</v>
          </cell>
          <cell r="AO161">
            <v>514294.58999999997</v>
          </cell>
          <cell r="AP161">
            <v>619725.13</v>
          </cell>
          <cell r="AQ161">
            <v>723000.46</v>
          </cell>
          <cell r="AR161">
            <v>825232.98</v>
          </cell>
          <cell r="AS161">
            <v>937351.89</v>
          </cell>
          <cell r="AT161">
            <v>1133785.81</v>
          </cell>
          <cell r="AU161">
            <v>1425622.8900000001</v>
          </cell>
          <cell r="AV161">
            <v>1664011.6900000002</v>
          </cell>
          <cell r="AW161">
            <v>1928961.1300000001</v>
          </cell>
          <cell r="AX161">
            <v>2321192.1800000002</v>
          </cell>
          <cell r="AY161">
            <v>2912068.24</v>
          </cell>
          <cell r="AZ161">
            <v>4633823.83</v>
          </cell>
          <cell r="BA161">
            <v>5762282.2999999998</v>
          </cell>
          <cell r="BB161">
            <v>5961148.2299999995</v>
          </cell>
        </row>
        <row r="162">
          <cell r="A162" t="str">
            <v>ytd</v>
          </cell>
          <cell r="B162">
            <v>67212.83</v>
          </cell>
          <cell r="C162">
            <v>136522.18</v>
          </cell>
          <cell r="D162">
            <v>204683.15999999997</v>
          </cell>
          <cell r="E162">
            <v>278336.93999999994</v>
          </cell>
          <cell r="F162">
            <v>363579.05999999994</v>
          </cell>
          <cell r="G162">
            <v>457177.75999999995</v>
          </cell>
          <cell r="H162">
            <v>585864.64999999991</v>
          </cell>
          <cell r="I162">
            <v>681423.29999999993</v>
          </cell>
          <cell r="J162">
            <v>862470.79999999993</v>
          </cell>
          <cell r="K162">
            <v>976885.15999999992</v>
          </cell>
          <cell r="L162">
            <v>1079214.8399999999</v>
          </cell>
          <cell r="M162">
            <v>1191398.9099999999</v>
          </cell>
          <cell r="N162">
            <v>1289983.23</v>
          </cell>
          <cell r="O162">
            <v>1389301.51</v>
          </cell>
          <cell r="P162">
            <v>1481295.47</v>
          </cell>
          <cell r="Q162">
            <v>1573611.4</v>
          </cell>
          <cell r="R162">
            <v>1676300.22</v>
          </cell>
          <cell r="S162">
            <v>1817367.04</v>
          </cell>
          <cell r="T162">
            <v>1943734.3800000001</v>
          </cell>
          <cell r="U162">
            <v>2079495.02</v>
          </cell>
          <cell r="V162">
            <v>2215888.02</v>
          </cell>
          <cell r="W162">
            <v>2341052.08</v>
          </cell>
          <cell r="X162">
            <v>2480624.9500000002</v>
          </cell>
          <cell r="Y162">
            <v>2643489.5300000003</v>
          </cell>
          <cell r="Z162">
            <v>2776323.3200000003</v>
          </cell>
          <cell r="AA162">
            <v>2911846.7100000004</v>
          </cell>
          <cell r="AB162">
            <v>3043746.3000000003</v>
          </cell>
          <cell r="AC162">
            <v>3171688.0100000002</v>
          </cell>
          <cell r="AD162">
            <v>3311096.45</v>
          </cell>
          <cell r="AE162">
            <v>3441075.98</v>
          </cell>
          <cell r="AF162">
            <v>3563246.56</v>
          </cell>
          <cell r="AG162">
            <v>3680729.2600000002</v>
          </cell>
          <cell r="AH162">
            <v>3798324.02</v>
          </cell>
          <cell r="AI162">
            <v>3920176.78</v>
          </cell>
          <cell r="AJ162">
            <v>4033837.9099999997</v>
          </cell>
          <cell r="AK162">
            <v>4175035.9899999998</v>
          </cell>
          <cell r="AL162">
            <v>4307502.42</v>
          </cell>
          <cell r="AM162">
            <v>4432664.5999999996</v>
          </cell>
          <cell r="AN162">
            <v>4560416.46</v>
          </cell>
          <cell r="AO162">
            <v>4689330.58</v>
          </cell>
          <cell r="AP162">
            <v>4794761.12</v>
          </cell>
          <cell r="AQ162">
            <v>4898036.45</v>
          </cell>
          <cell r="AR162">
            <v>5000268.97</v>
          </cell>
          <cell r="AS162">
            <v>5112387.88</v>
          </cell>
          <cell r="AT162">
            <v>5308821.8</v>
          </cell>
          <cell r="AU162">
            <v>5600658.8799999999</v>
          </cell>
          <cell r="AV162">
            <v>5839047.6799999997</v>
          </cell>
          <cell r="AW162">
            <v>6103997.1200000001</v>
          </cell>
          <cell r="AX162">
            <v>6496228.1699999999</v>
          </cell>
          <cell r="AY162">
            <v>7087104.2300000004</v>
          </cell>
          <cell r="AZ162">
            <v>8808859.8200000003</v>
          </cell>
          <cell r="BA162">
            <v>9937318.290000001</v>
          </cell>
          <cell r="BB162">
            <v>10136184.220000001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6744.28</v>
          </cell>
          <cell r="C171">
            <v>6342.18</v>
          </cell>
          <cell r="D171">
            <v>8278.73</v>
          </cell>
          <cell r="E171">
            <v>7843.08</v>
          </cell>
          <cell r="F171">
            <v>6331.49</v>
          </cell>
          <cell r="G171">
            <v>8270.51</v>
          </cell>
          <cell r="H171">
            <v>9742.27</v>
          </cell>
          <cell r="I171">
            <v>8087.9</v>
          </cell>
          <cell r="J171">
            <v>8559.1</v>
          </cell>
          <cell r="K171">
            <v>10110</v>
          </cell>
          <cell r="L171">
            <v>6988.56</v>
          </cell>
          <cell r="M171">
            <v>8186.14</v>
          </cell>
          <cell r="N171">
            <v>6666.64</v>
          </cell>
          <cell r="O171">
            <v>8961.44</v>
          </cell>
          <cell r="P171">
            <v>7027.82</v>
          </cell>
          <cell r="Q171">
            <v>7773.8</v>
          </cell>
          <cell r="R171">
            <v>8971.44</v>
          </cell>
          <cell r="S171">
            <v>8833.8799999999992</v>
          </cell>
          <cell r="T171">
            <v>6242.56</v>
          </cell>
          <cell r="U171">
            <v>7145.68</v>
          </cell>
          <cell r="V171">
            <v>6419.3</v>
          </cell>
          <cell r="W171">
            <v>5928.5</v>
          </cell>
          <cell r="X171">
            <v>7616.78</v>
          </cell>
          <cell r="Y171">
            <v>7577.48</v>
          </cell>
          <cell r="Z171">
            <v>6458.52</v>
          </cell>
          <cell r="AA171">
            <v>8775.1200000000008</v>
          </cell>
          <cell r="AB171">
            <v>8402.06</v>
          </cell>
          <cell r="AC171">
            <v>8402.06</v>
          </cell>
          <cell r="AD171">
            <v>9795.8799999999992</v>
          </cell>
          <cell r="AE171">
            <v>9933.2199999999993</v>
          </cell>
          <cell r="AF171">
            <v>6733.42</v>
          </cell>
          <cell r="AG171">
            <v>7577.56</v>
          </cell>
          <cell r="AH171">
            <v>7734.64</v>
          </cell>
          <cell r="AI171">
            <v>7322.38</v>
          </cell>
          <cell r="AJ171">
            <v>10011.86</v>
          </cell>
          <cell r="AK171">
            <v>7336.5</v>
          </cell>
          <cell r="AL171">
            <v>6152.2</v>
          </cell>
          <cell r="AM171">
            <v>6072.69</v>
          </cell>
          <cell r="AN171">
            <v>8382.99</v>
          </cell>
          <cell r="AO171">
            <v>8045.95</v>
          </cell>
          <cell r="AP171">
            <v>5286.41</v>
          </cell>
          <cell r="AQ171">
            <v>6181.35</v>
          </cell>
          <cell r="AR171">
            <v>4659.2700000000004</v>
          </cell>
          <cell r="AS171">
            <v>6039.14</v>
          </cell>
          <cell r="AT171">
            <v>6019.62</v>
          </cell>
          <cell r="AU171">
            <v>5461.14</v>
          </cell>
          <cell r="AV171">
            <v>6934.9</v>
          </cell>
          <cell r="AW171">
            <v>11121.77</v>
          </cell>
          <cell r="AX171">
            <v>19394.099999999999</v>
          </cell>
          <cell r="AY171">
            <v>30837.7</v>
          </cell>
          <cell r="AZ171">
            <v>55603.59</v>
          </cell>
          <cell r="BA171">
            <v>52609</v>
          </cell>
          <cell r="BB171">
            <v>5161.05</v>
          </cell>
        </row>
        <row r="172">
          <cell r="A172" t="str">
            <v>ptd</v>
          </cell>
          <cell r="B172">
            <v>6744.28</v>
          </cell>
          <cell r="C172">
            <v>13086.46</v>
          </cell>
          <cell r="D172">
            <v>21365.19</v>
          </cell>
          <cell r="E172">
            <v>29208.269999999997</v>
          </cell>
          <cell r="F172">
            <v>6331.49</v>
          </cell>
          <cell r="G172">
            <v>14602</v>
          </cell>
          <cell r="H172">
            <v>24344.27</v>
          </cell>
          <cell r="I172">
            <v>32432.17</v>
          </cell>
          <cell r="J172">
            <v>8559.1</v>
          </cell>
          <cell r="K172">
            <v>18669.099999999999</v>
          </cell>
          <cell r="L172">
            <v>25657.66</v>
          </cell>
          <cell r="M172">
            <v>33843.800000000003</v>
          </cell>
          <cell r="N172">
            <v>6666.64</v>
          </cell>
          <cell r="O172">
            <v>15628.080000000002</v>
          </cell>
          <cell r="P172">
            <v>22655.9</v>
          </cell>
          <cell r="Q172">
            <v>30429.7</v>
          </cell>
          <cell r="R172">
            <v>8971.44</v>
          </cell>
          <cell r="S172">
            <v>17805.32</v>
          </cell>
          <cell r="T172">
            <v>24047.88</v>
          </cell>
          <cell r="U172">
            <v>31193.56</v>
          </cell>
          <cell r="V172">
            <v>6419.3</v>
          </cell>
          <cell r="W172">
            <v>12347.8</v>
          </cell>
          <cell r="X172">
            <v>19964.579999999998</v>
          </cell>
          <cell r="Y172">
            <v>27542.059999999998</v>
          </cell>
          <cell r="Z172">
            <v>6458.52</v>
          </cell>
          <cell r="AA172">
            <v>15233.640000000001</v>
          </cell>
          <cell r="AB172">
            <v>23635.7</v>
          </cell>
          <cell r="AC172">
            <v>32037.760000000002</v>
          </cell>
          <cell r="AD172">
            <v>9795.8799999999992</v>
          </cell>
          <cell r="AE172">
            <v>19729.099999999999</v>
          </cell>
          <cell r="AF172">
            <v>26462.519999999997</v>
          </cell>
          <cell r="AG172">
            <v>34040.079999999994</v>
          </cell>
          <cell r="AH172">
            <v>7734.64</v>
          </cell>
          <cell r="AI172">
            <v>15057.02</v>
          </cell>
          <cell r="AJ172">
            <v>25068.880000000001</v>
          </cell>
          <cell r="AK172">
            <v>32405.38</v>
          </cell>
          <cell r="AL172">
            <v>6152.2</v>
          </cell>
          <cell r="AM172">
            <v>12224.89</v>
          </cell>
          <cell r="AN172">
            <v>20607.879999999997</v>
          </cell>
          <cell r="AO172">
            <v>28653.829999999998</v>
          </cell>
          <cell r="AP172">
            <v>5286.41</v>
          </cell>
          <cell r="AQ172">
            <v>11467.76</v>
          </cell>
          <cell r="AR172">
            <v>16127.03</v>
          </cell>
          <cell r="AS172">
            <v>22166.170000000002</v>
          </cell>
          <cell r="AT172">
            <v>6019.62</v>
          </cell>
          <cell r="AU172">
            <v>11480.76</v>
          </cell>
          <cell r="AV172">
            <v>18415.66</v>
          </cell>
          <cell r="AW172">
            <v>29537.43</v>
          </cell>
          <cell r="AX172">
            <v>19394.099999999999</v>
          </cell>
          <cell r="AY172">
            <v>50231.8</v>
          </cell>
          <cell r="AZ172">
            <v>105835.39</v>
          </cell>
          <cell r="BA172">
            <v>158444.39000000001</v>
          </cell>
          <cell r="BB172">
            <v>163605.44</v>
          </cell>
        </row>
        <row r="173">
          <cell r="A173" t="str">
            <v>qtd</v>
          </cell>
          <cell r="B173">
            <v>6744.28</v>
          </cell>
          <cell r="C173">
            <v>13086.46</v>
          </cell>
          <cell r="D173">
            <v>21365.19</v>
          </cell>
          <cell r="E173">
            <v>29208.269999999997</v>
          </cell>
          <cell r="F173">
            <v>35539.759999999995</v>
          </cell>
          <cell r="G173">
            <v>43810.27</v>
          </cell>
          <cell r="H173">
            <v>53552.539999999994</v>
          </cell>
          <cell r="I173">
            <v>61640.439999999995</v>
          </cell>
          <cell r="J173">
            <v>70199.539999999994</v>
          </cell>
          <cell r="K173">
            <v>80309.539999999994</v>
          </cell>
          <cell r="L173">
            <v>87298.099999999991</v>
          </cell>
          <cell r="M173">
            <v>95484.239999999991</v>
          </cell>
          <cell r="N173">
            <v>6666.64</v>
          </cell>
          <cell r="O173">
            <v>15628.080000000002</v>
          </cell>
          <cell r="P173">
            <v>22655.9</v>
          </cell>
          <cell r="Q173">
            <v>30429.7</v>
          </cell>
          <cell r="R173">
            <v>39401.14</v>
          </cell>
          <cell r="S173">
            <v>48235.02</v>
          </cell>
          <cell r="T173">
            <v>54477.579999999994</v>
          </cell>
          <cell r="U173">
            <v>61623.259999999995</v>
          </cell>
          <cell r="V173">
            <v>68042.559999999998</v>
          </cell>
          <cell r="W173">
            <v>73971.06</v>
          </cell>
          <cell r="X173">
            <v>81587.839999999997</v>
          </cell>
          <cell r="Y173">
            <v>89165.319999999992</v>
          </cell>
          <cell r="Z173">
            <v>6458.52</v>
          </cell>
          <cell r="AA173">
            <v>15233.640000000001</v>
          </cell>
          <cell r="AB173">
            <v>23635.7</v>
          </cell>
          <cell r="AC173">
            <v>32037.760000000002</v>
          </cell>
          <cell r="AD173">
            <v>41833.64</v>
          </cell>
          <cell r="AE173">
            <v>51766.86</v>
          </cell>
          <cell r="AF173">
            <v>58500.28</v>
          </cell>
          <cell r="AG173">
            <v>66077.84</v>
          </cell>
          <cell r="AH173">
            <v>73812.479999999996</v>
          </cell>
          <cell r="AI173">
            <v>81134.86</v>
          </cell>
          <cell r="AJ173">
            <v>91146.72</v>
          </cell>
          <cell r="AK173">
            <v>98483.22</v>
          </cell>
          <cell r="AL173">
            <v>6152.2</v>
          </cell>
          <cell r="AM173">
            <v>12224.89</v>
          </cell>
          <cell r="AN173">
            <v>20607.879999999997</v>
          </cell>
          <cell r="AO173">
            <v>28653.829999999998</v>
          </cell>
          <cell r="AP173">
            <v>33940.239999999998</v>
          </cell>
          <cell r="AQ173">
            <v>40121.589999999997</v>
          </cell>
          <cell r="AR173">
            <v>44780.86</v>
          </cell>
          <cell r="AS173">
            <v>50820</v>
          </cell>
          <cell r="AT173">
            <v>56839.62</v>
          </cell>
          <cell r="AU173">
            <v>62300.76</v>
          </cell>
          <cell r="AV173">
            <v>69235.66</v>
          </cell>
          <cell r="AW173">
            <v>80357.430000000008</v>
          </cell>
          <cell r="AX173">
            <v>99751.53</v>
          </cell>
          <cell r="AY173">
            <v>130589.23</v>
          </cell>
          <cell r="AZ173">
            <v>186192.82</v>
          </cell>
          <cell r="BA173">
            <v>238801.82</v>
          </cell>
          <cell r="BB173">
            <v>243962.87</v>
          </cell>
        </row>
        <row r="174">
          <cell r="A174" t="str">
            <v>ytd</v>
          </cell>
          <cell r="B174">
            <v>6744.28</v>
          </cell>
          <cell r="C174">
            <v>13086.46</v>
          </cell>
          <cell r="D174">
            <v>21365.19</v>
          </cell>
          <cell r="E174">
            <v>29208.269999999997</v>
          </cell>
          <cell r="F174">
            <v>35539.759999999995</v>
          </cell>
          <cell r="G174">
            <v>43810.27</v>
          </cell>
          <cell r="H174">
            <v>53552.539999999994</v>
          </cell>
          <cell r="I174">
            <v>61640.439999999995</v>
          </cell>
          <cell r="J174">
            <v>70199.539999999994</v>
          </cell>
          <cell r="K174">
            <v>80309.539999999994</v>
          </cell>
          <cell r="L174">
            <v>87298.099999999991</v>
          </cell>
          <cell r="M174">
            <v>95484.239999999991</v>
          </cell>
          <cell r="N174">
            <v>102150.87999999999</v>
          </cell>
          <cell r="O174">
            <v>111112.31999999999</v>
          </cell>
          <cell r="P174">
            <v>118140.13999999998</v>
          </cell>
          <cell r="Q174">
            <v>125913.93999999999</v>
          </cell>
          <cell r="R174">
            <v>134885.37999999998</v>
          </cell>
          <cell r="S174">
            <v>143719.25999999998</v>
          </cell>
          <cell r="T174">
            <v>149961.81999999998</v>
          </cell>
          <cell r="U174">
            <v>157107.49999999997</v>
          </cell>
          <cell r="V174">
            <v>163526.79999999996</v>
          </cell>
          <cell r="W174">
            <v>169455.29999999996</v>
          </cell>
          <cell r="X174">
            <v>177072.07999999996</v>
          </cell>
          <cell r="Y174">
            <v>184649.55999999997</v>
          </cell>
          <cell r="Z174">
            <v>191108.07999999996</v>
          </cell>
          <cell r="AA174">
            <v>199883.19999999995</v>
          </cell>
          <cell r="AB174">
            <v>208285.25999999995</v>
          </cell>
          <cell r="AC174">
            <v>216687.31999999995</v>
          </cell>
          <cell r="AD174">
            <v>226483.19999999995</v>
          </cell>
          <cell r="AE174">
            <v>236416.41999999995</v>
          </cell>
          <cell r="AF174">
            <v>243149.83999999997</v>
          </cell>
          <cell r="AG174">
            <v>250727.39999999997</v>
          </cell>
          <cell r="AH174">
            <v>258462.03999999998</v>
          </cell>
          <cell r="AI174">
            <v>265784.42</v>
          </cell>
          <cell r="AJ174">
            <v>275796.27999999997</v>
          </cell>
          <cell r="AK174">
            <v>283132.77999999997</v>
          </cell>
          <cell r="AL174">
            <v>289284.98</v>
          </cell>
          <cell r="AM174">
            <v>295357.67</v>
          </cell>
          <cell r="AN174">
            <v>303740.65999999997</v>
          </cell>
          <cell r="AO174">
            <v>311786.61</v>
          </cell>
          <cell r="AP174">
            <v>317073.01999999996</v>
          </cell>
          <cell r="AQ174">
            <v>323254.36999999994</v>
          </cell>
          <cell r="AR174">
            <v>327913.63999999996</v>
          </cell>
          <cell r="AS174">
            <v>333952.77999999997</v>
          </cell>
          <cell r="AT174">
            <v>339972.39999999997</v>
          </cell>
          <cell r="AU174">
            <v>345433.54</v>
          </cell>
          <cell r="AV174">
            <v>352368.44</v>
          </cell>
          <cell r="AW174">
            <v>363490.21</v>
          </cell>
          <cell r="AX174">
            <v>382884.31</v>
          </cell>
          <cell r="AY174">
            <v>413722.01</v>
          </cell>
          <cell r="AZ174">
            <v>469325.6</v>
          </cell>
          <cell r="BA174">
            <v>521934.6</v>
          </cell>
          <cell r="BB174">
            <v>527095.65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73957.11</v>
          </cell>
          <cell r="C187">
            <v>75651.53</v>
          </cell>
          <cell r="D187">
            <v>76439.709999999992</v>
          </cell>
          <cell r="E187">
            <v>81496.86</v>
          </cell>
          <cell r="F187">
            <v>91573.61</v>
          </cell>
          <cell r="G187">
            <v>101869.20999999999</v>
          </cell>
          <cell r="H187">
            <v>138429.16</v>
          </cell>
          <cell r="I187">
            <v>103646.54999999999</v>
          </cell>
          <cell r="J187">
            <v>189606.6</v>
          </cell>
          <cell r="K187">
            <v>124524.36</v>
          </cell>
          <cell r="L187">
            <v>109318.23999999999</v>
          </cell>
          <cell r="M187">
            <v>120370.21</v>
          </cell>
          <cell r="N187">
            <v>105250.96</v>
          </cell>
          <cell r="O187">
            <v>108279.72</v>
          </cell>
          <cell r="P187">
            <v>99021.78</v>
          </cell>
          <cell r="Q187">
            <v>100089.73</v>
          </cell>
          <cell r="R187">
            <v>111660.26000000001</v>
          </cell>
          <cell r="S187">
            <v>149900.70000000001</v>
          </cell>
          <cell r="T187">
            <v>132609.9</v>
          </cell>
          <cell r="U187">
            <v>142906.32</v>
          </cell>
          <cell r="V187">
            <v>142812.29999999999</v>
          </cell>
          <cell r="W187">
            <v>131092.56</v>
          </cell>
          <cell r="X187">
            <v>147189.65</v>
          </cell>
          <cell r="Y187">
            <v>170442.06</v>
          </cell>
          <cell r="Z187">
            <v>139292.31</v>
          </cell>
          <cell r="AA187">
            <v>144298.51</v>
          </cell>
          <cell r="AB187">
            <v>140301.65</v>
          </cell>
          <cell r="AC187">
            <v>136343.77000000002</v>
          </cell>
          <cell r="AD187">
            <v>149204.32</v>
          </cell>
          <cell r="AE187">
            <v>139912.75</v>
          </cell>
          <cell r="AF187">
            <v>128904</v>
          </cell>
          <cell r="AG187">
            <v>125060.26</v>
          </cell>
          <cell r="AH187">
            <v>125329.4</v>
          </cell>
          <cell r="AI187">
            <v>129175.14</v>
          </cell>
          <cell r="AJ187">
            <v>123672.99</v>
          </cell>
          <cell r="AK187">
            <v>148534.57999999999</v>
          </cell>
          <cell r="AL187">
            <v>138618.63</v>
          </cell>
          <cell r="AM187">
            <v>131234.87</v>
          </cell>
          <cell r="AN187">
            <v>136134.85</v>
          </cell>
          <cell r="AO187">
            <v>136960.07</v>
          </cell>
          <cell r="AP187">
            <v>110716.95</v>
          </cell>
          <cell r="AQ187">
            <v>109456.68000000001</v>
          </cell>
          <cell r="AR187">
            <v>106891.79000000001</v>
          </cell>
          <cell r="AS187">
            <v>118158.05</v>
          </cell>
          <cell r="AT187">
            <v>202453.54</v>
          </cell>
          <cell r="AU187">
            <v>297298.22000000003</v>
          </cell>
          <cell r="AV187">
            <v>245323.69999999998</v>
          </cell>
          <cell r="AW187">
            <v>276071.21000000002</v>
          </cell>
          <cell r="AX187">
            <v>411625.14999999997</v>
          </cell>
          <cell r="AY187">
            <v>621713.76</v>
          </cell>
          <cell r="AZ187">
            <v>1777359.1800000002</v>
          </cell>
          <cell r="BA187">
            <v>1181067.47</v>
          </cell>
          <cell r="BB187">
            <v>204026.97999999998</v>
          </cell>
        </row>
        <row r="188">
          <cell r="A188" t="str">
            <v>ptd</v>
          </cell>
          <cell r="B188">
            <v>73957.11</v>
          </cell>
          <cell r="C188">
            <v>149608.63999999998</v>
          </cell>
          <cell r="D188">
            <v>226048.34999999998</v>
          </cell>
          <cell r="E188">
            <v>307545.20999999996</v>
          </cell>
          <cell r="F188">
            <v>91573.61</v>
          </cell>
          <cell r="G188">
            <v>193442.82</v>
          </cell>
          <cell r="H188">
            <v>331871.98000000004</v>
          </cell>
          <cell r="I188">
            <v>435518.52999999997</v>
          </cell>
          <cell r="J188">
            <v>189606.6</v>
          </cell>
          <cell r="K188">
            <v>314130.95999999996</v>
          </cell>
          <cell r="L188">
            <v>423449.19999999995</v>
          </cell>
          <cell r="M188">
            <v>543819.41</v>
          </cell>
          <cell r="N188">
            <v>105250.96</v>
          </cell>
          <cell r="O188">
            <v>213530.68</v>
          </cell>
          <cell r="P188">
            <v>312552.46000000002</v>
          </cell>
          <cell r="Q188">
            <v>412642.19</v>
          </cell>
          <cell r="R188">
            <v>111660.26000000001</v>
          </cell>
          <cell r="S188">
            <v>261560.96000000002</v>
          </cell>
          <cell r="T188">
            <v>394170.86</v>
          </cell>
          <cell r="U188">
            <v>537077.18000000005</v>
          </cell>
          <cell r="V188">
            <v>142812.29999999999</v>
          </cell>
          <cell r="W188">
            <v>273904.86</v>
          </cell>
          <cell r="X188">
            <v>421094.51</v>
          </cell>
          <cell r="Y188">
            <v>591536.57000000007</v>
          </cell>
          <cell r="Z188">
            <v>139292.31</v>
          </cell>
          <cell r="AA188">
            <v>283590.82000000007</v>
          </cell>
          <cell r="AB188">
            <v>423892.47000000003</v>
          </cell>
          <cell r="AC188">
            <v>560236.24</v>
          </cell>
          <cell r="AD188">
            <v>149204.32</v>
          </cell>
          <cell r="AE188">
            <v>289117.06999999995</v>
          </cell>
          <cell r="AF188">
            <v>418021.07</v>
          </cell>
          <cell r="AG188">
            <v>543081.32999999996</v>
          </cell>
          <cell r="AH188">
            <v>125329.4</v>
          </cell>
          <cell r="AI188">
            <v>254504.53999999998</v>
          </cell>
          <cell r="AJ188">
            <v>378177.53</v>
          </cell>
          <cell r="AK188">
            <v>526712.11</v>
          </cell>
          <cell r="AL188">
            <v>138618.63</v>
          </cell>
          <cell r="AM188">
            <v>269853.5</v>
          </cell>
          <cell r="AN188">
            <v>405988.35</v>
          </cell>
          <cell r="AO188">
            <v>542948.41999999993</v>
          </cell>
          <cell r="AP188">
            <v>110716.95</v>
          </cell>
          <cell r="AQ188">
            <v>220173.63</v>
          </cell>
          <cell r="AR188">
            <v>327065.42000000004</v>
          </cell>
          <cell r="AS188">
            <v>445223.47000000003</v>
          </cell>
          <cell r="AT188">
            <v>202453.54</v>
          </cell>
          <cell r="AU188">
            <v>499751.76</v>
          </cell>
          <cell r="AV188">
            <v>745075.46000000008</v>
          </cell>
          <cell r="AW188">
            <v>1021146.67</v>
          </cell>
          <cell r="AX188">
            <v>411625.14999999997</v>
          </cell>
          <cell r="AY188">
            <v>1033338.9100000001</v>
          </cell>
          <cell r="AZ188">
            <v>2810698.0900000003</v>
          </cell>
          <cell r="BA188">
            <v>3991765.56</v>
          </cell>
          <cell r="BB188">
            <v>4195792.54</v>
          </cell>
        </row>
        <row r="189">
          <cell r="A189" t="str">
            <v>qtd</v>
          </cell>
          <cell r="B189">
            <v>73957.11</v>
          </cell>
          <cell r="C189">
            <v>149608.63999999998</v>
          </cell>
          <cell r="D189">
            <v>226048.34999999998</v>
          </cell>
          <cell r="E189">
            <v>307545.20999999996</v>
          </cell>
          <cell r="F189">
            <v>399118.81999999995</v>
          </cell>
          <cell r="G189">
            <v>500988.02999999997</v>
          </cell>
          <cell r="H189">
            <v>639417.18999999994</v>
          </cell>
          <cell r="I189">
            <v>743063.73999999987</v>
          </cell>
          <cell r="J189">
            <v>932670.34</v>
          </cell>
          <cell r="K189">
            <v>1057194.7</v>
          </cell>
          <cell r="L189">
            <v>1166512.94</v>
          </cell>
          <cell r="M189">
            <v>1286883.1499999999</v>
          </cell>
          <cell r="N189">
            <v>105250.96</v>
          </cell>
          <cell r="O189">
            <v>213530.68</v>
          </cell>
          <cell r="P189">
            <v>312552.46000000002</v>
          </cell>
          <cell r="Q189">
            <v>412642.19</v>
          </cell>
          <cell r="R189">
            <v>524302.44999999995</v>
          </cell>
          <cell r="S189">
            <v>674203.15</v>
          </cell>
          <cell r="T189">
            <v>806813.04999999993</v>
          </cell>
          <cell r="U189">
            <v>949719.37</v>
          </cell>
          <cell r="V189">
            <v>1092531.67</v>
          </cell>
          <cell r="W189">
            <v>1223624.23</v>
          </cell>
          <cell r="X189">
            <v>1370813.8800000001</v>
          </cell>
          <cell r="Y189">
            <v>1541255.9400000002</v>
          </cell>
          <cell r="Z189">
            <v>139292.31</v>
          </cell>
          <cell r="AA189">
            <v>283590.82000000007</v>
          </cell>
          <cell r="AB189">
            <v>423892.47000000003</v>
          </cell>
          <cell r="AC189">
            <v>560236.24</v>
          </cell>
          <cell r="AD189">
            <v>709440.55999999994</v>
          </cell>
          <cell r="AE189">
            <v>849353.30999999994</v>
          </cell>
          <cell r="AF189">
            <v>978257.30999999994</v>
          </cell>
          <cell r="AG189">
            <v>1103317.5699999998</v>
          </cell>
          <cell r="AH189">
            <v>1228646.9699999997</v>
          </cell>
          <cell r="AI189">
            <v>1357822.1099999999</v>
          </cell>
          <cell r="AJ189">
            <v>1481495.0999999999</v>
          </cell>
          <cell r="AK189">
            <v>1630029.68</v>
          </cell>
          <cell r="AL189">
            <v>138618.63</v>
          </cell>
          <cell r="AM189">
            <v>269853.5</v>
          </cell>
          <cell r="AN189">
            <v>405988.35</v>
          </cell>
          <cell r="AO189">
            <v>542948.41999999993</v>
          </cell>
          <cell r="AP189">
            <v>653665.37</v>
          </cell>
          <cell r="AQ189">
            <v>763122.04999999993</v>
          </cell>
          <cell r="AR189">
            <v>870013.84</v>
          </cell>
          <cell r="AS189">
            <v>988171.89</v>
          </cell>
          <cell r="AT189">
            <v>1190625.4300000002</v>
          </cell>
          <cell r="AU189">
            <v>1487923.6500000001</v>
          </cell>
          <cell r="AV189">
            <v>1733247.35</v>
          </cell>
          <cell r="AW189">
            <v>2009318.56</v>
          </cell>
          <cell r="AX189">
            <v>2420943.71</v>
          </cell>
          <cell r="AY189">
            <v>3042657.47</v>
          </cell>
          <cell r="AZ189">
            <v>4820016.6500000004</v>
          </cell>
          <cell r="BA189">
            <v>6001084.1200000001</v>
          </cell>
          <cell r="BB189">
            <v>6205111.0999999996</v>
          </cell>
        </row>
        <row r="190">
          <cell r="A190" t="str">
            <v>ytd</v>
          </cell>
          <cell r="B190">
            <v>73957.11</v>
          </cell>
          <cell r="C190">
            <v>149608.63999999998</v>
          </cell>
          <cell r="D190">
            <v>226048.34999999998</v>
          </cell>
          <cell r="E190">
            <v>307545.20999999996</v>
          </cell>
          <cell r="F190">
            <v>399118.81999999995</v>
          </cell>
          <cell r="G190">
            <v>500988.02999999997</v>
          </cell>
          <cell r="H190">
            <v>639417.18999999994</v>
          </cell>
          <cell r="I190">
            <v>743063.73999999987</v>
          </cell>
          <cell r="J190">
            <v>932670.34</v>
          </cell>
          <cell r="K190">
            <v>1057194.7</v>
          </cell>
          <cell r="L190">
            <v>1166512.94</v>
          </cell>
          <cell r="M190">
            <v>1286883.1499999999</v>
          </cell>
          <cell r="N190">
            <v>1392134.1099999999</v>
          </cell>
          <cell r="O190">
            <v>1500413.83</v>
          </cell>
          <cell r="P190">
            <v>1599435.6099999999</v>
          </cell>
          <cell r="Q190">
            <v>1699525.3399999999</v>
          </cell>
          <cell r="R190">
            <v>1811185.5999999999</v>
          </cell>
          <cell r="S190">
            <v>1961086.3</v>
          </cell>
          <cell r="T190">
            <v>2093696.2000000002</v>
          </cell>
          <cell r="U190">
            <v>2236602.52</v>
          </cell>
          <cell r="V190">
            <v>2379414.8199999998</v>
          </cell>
          <cell r="W190">
            <v>2510507.38</v>
          </cell>
          <cell r="X190">
            <v>2657697.0300000003</v>
          </cell>
          <cell r="Y190">
            <v>2828139.0900000003</v>
          </cell>
          <cell r="Z190">
            <v>2967431.4000000004</v>
          </cell>
          <cell r="AA190">
            <v>3111729.91</v>
          </cell>
          <cell r="AB190">
            <v>3252031.56</v>
          </cell>
          <cell r="AC190">
            <v>3388375.33</v>
          </cell>
          <cell r="AD190">
            <v>3537579.6500000004</v>
          </cell>
          <cell r="AE190">
            <v>3677492.4</v>
          </cell>
          <cell r="AF190">
            <v>3806396.4</v>
          </cell>
          <cell r="AG190">
            <v>3931456.66</v>
          </cell>
          <cell r="AH190">
            <v>4056786.06</v>
          </cell>
          <cell r="AI190">
            <v>4185961.1999999997</v>
          </cell>
          <cell r="AJ190">
            <v>4309634.1899999995</v>
          </cell>
          <cell r="AK190">
            <v>4458168.7699999996</v>
          </cell>
          <cell r="AL190">
            <v>4596787.4000000004</v>
          </cell>
          <cell r="AM190">
            <v>4728022.2699999996</v>
          </cell>
          <cell r="AN190">
            <v>4864157.12</v>
          </cell>
          <cell r="AO190">
            <v>5001117.1900000004</v>
          </cell>
          <cell r="AP190">
            <v>5111834.1399999997</v>
          </cell>
          <cell r="AQ190">
            <v>5221290.82</v>
          </cell>
          <cell r="AR190">
            <v>5328182.6099999994</v>
          </cell>
          <cell r="AS190">
            <v>5446340.6600000001</v>
          </cell>
          <cell r="AT190">
            <v>5648794.2000000002</v>
          </cell>
          <cell r="AU190">
            <v>5946092.4199999999</v>
          </cell>
          <cell r="AV190">
            <v>6191416.1200000001</v>
          </cell>
          <cell r="AW190">
            <v>6467487.3300000001</v>
          </cell>
          <cell r="AX190">
            <v>6879112.4799999995</v>
          </cell>
          <cell r="AY190">
            <v>7500826.2400000002</v>
          </cell>
          <cell r="AZ190">
            <v>9278185.4199999999</v>
          </cell>
          <cell r="BA190">
            <v>10459252.890000001</v>
          </cell>
          <cell r="BB190">
            <v>10663279.870000001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  <cell r="D193">
            <v>36.520000000000003</v>
          </cell>
          <cell r="E193">
            <v>330.12</v>
          </cell>
          <cell r="G193">
            <v>111.36</v>
          </cell>
          <cell r="K193">
            <v>37.200000000000003</v>
          </cell>
          <cell r="L193">
            <v>37.200000000000003</v>
          </cell>
          <cell r="O193">
            <v>111.6</v>
          </cell>
          <cell r="Y193">
            <v>111.6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36.520000000000003</v>
          </cell>
          <cell r="E194">
            <v>366.64</v>
          </cell>
          <cell r="F194">
            <v>0</v>
          </cell>
          <cell r="G194">
            <v>111.36</v>
          </cell>
          <cell r="H194">
            <v>111.36</v>
          </cell>
          <cell r="I194">
            <v>111.36</v>
          </cell>
          <cell r="J194">
            <v>0</v>
          </cell>
          <cell r="K194">
            <v>37.200000000000003</v>
          </cell>
          <cell r="L194">
            <v>74.400000000000006</v>
          </cell>
          <cell r="M194">
            <v>74.400000000000006</v>
          </cell>
          <cell r="N194">
            <v>0</v>
          </cell>
          <cell r="O194">
            <v>111.6</v>
          </cell>
          <cell r="P194">
            <v>111.6</v>
          </cell>
          <cell r="Q194">
            <v>111.6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111.6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36.520000000000003</v>
          </cell>
          <cell r="E195">
            <v>366.64</v>
          </cell>
          <cell r="F195">
            <v>366.64</v>
          </cell>
          <cell r="G195">
            <v>478</v>
          </cell>
          <cell r="H195">
            <v>478</v>
          </cell>
          <cell r="I195">
            <v>478</v>
          </cell>
          <cell r="J195">
            <v>478</v>
          </cell>
          <cell r="K195">
            <v>515.20000000000005</v>
          </cell>
          <cell r="L195">
            <v>552.40000000000009</v>
          </cell>
          <cell r="M195">
            <v>552.40000000000009</v>
          </cell>
          <cell r="N195">
            <v>0</v>
          </cell>
          <cell r="O195">
            <v>111.6</v>
          </cell>
          <cell r="P195">
            <v>111.6</v>
          </cell>
          <cell r="Q195">
            <v>111.6</v>
          </cell>
          <cell r="R195">
            <v>111.6</v>
          </cell>
          <cell r="S195">
            <v>111.6</v>
          </cell>
          <cell r="T195">
            <v>111.6</v>
          </cell>
          <cell r="U195">
            <v>111.6</v>
          </cell>
          <cell r="V195">
            <v>111.6</v>
          </cell>
          <cell r="W195">
            <v>111.6</v>
          </cell>
          <cell r="X195">
            <v>111.6</v>
          </cell>
          <cell r="Y195">
            <v>223.2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36.520000000000003</v>
          </cell>
          <cell r="E196">
            <v>366.64</v>
          </cell>
          <cell r="F196">
            <v>366.64</v>
          </cell>
          <cell r="G196">
            <v>478</v>
          </cell>
          <cell r="H196">
            <v>478</v>
          </cell>
          <cell r="I196">
            <v>478</v>
          </cell>
          <cell r="J196">
            <v>478</v>
          </cell>
          <cell r="K196">
            <v>515.20000000000005</v>
          </cell>
          <cell r="L196">
            <v>552.40000000000009</v>
          </cell>
          <cell r="M196">
            <v>552.40000000000009</v>
          </cell>
          <cell r="N196">
            <v>552.40000000000009</v>
          </cell>
          <cell r="O196">
            <v>664.00000000000011</v>
          </cell>
          <cell r="P196">
            <v>664.00000000000011</v>
          </cell>
          <cell r="Q196">
            <v>664.00000000000011</v>
          </cell>
          <cell r="R196">
            <v>664.00000000000011</v>
          </cell>
          <cell r="S196">
            <v>664.00000000000011</v>
          </cell>
          <cell r="T196">
            <v>664.00000000000011</v>
          </cell>
          <cell r="U196">
            <v>664.00000000000011</v>
          </cell>
          <cell r="V196">
            <v>664.00000000000011</v>
          </cell>
          <cell r="W196">
            <v>664.00000000000011</v>
          </cell>
          <cell r="X196">
            <v>664.00000000000011</v>
          </cell>
          <cell r="Y196">
            <v>775.60000000000014</v>
          </cell>
          <cell r="Z196">
            <v>775.60000000000014</v>
          </cell>
          <cell r="AA196">
            <v>775.60000000000014</v>
          </cell>
          <cell r="AB196">
            <v>775.60000000000014</v>
          </cell>
          <cell r="AC196">
            <v>775.60000000000014</v>
          </cell>
          <cell r="AD196">
            <v>775.60000000000014</v>
          </cell>
          <cell r="AE196">
            <v>775.60000000000014</v>
          </cell>
          <cell r="AF196">
            <v>775.60000000000014</v>
          </cell>
          <cell r="AG196">
            <v>775.60000000000014</v>
          </cell>
          <cell r="AH196">
            <v>775.60000000000014</v>
          </cell>
          <cell r="AI196">
            <v>775.60000000000014</v>
          </cell>
          <cell r="AJ196">
            <v>775.60000000000014</v>
          </cell>
          <cell r="AK196">
            <v>775.60000000000014</v>
          </cell>
          <cell r="AL196">
            <v>775.60000000000014</v>
          </cell>
          <cell r="AM196">
            <v>775.60000000000014</v>
          </cell>
          <cell r="AN196">
            <v>775.60000000000014</v>
          </cell>
          <cell r="AO196">
            <v>775.60000000000014</v>
          </cell>
          <cell r="AP196">
            <v>775.60000000000014</v>
          </cell>
          <cell r="AQ196">
            <v>775.60000000000014</v>
          </cell>
          <cell r="AR196">
            <v>775.60000000000014</v>
          </cell>
          <cell r="AS196">
            <v>775.60000000000014</v>
          </cell>
          <cell r="AT196">
            <v>775.60000000000014</v>
          </cell>
          <cell r="AU196">
            <v>775.60000000000014</v>
          </cell>
          <cell r="AV196">
            <v>775.60000000000014</v>
          </cell>
          <cell r="AW196">
            <v>775.60000000000014</v>
          </cell>
          <cell r="AX196">
            <v>775.60000000000014</v>
          </cell>
          <cell r="AY196">
            <v>775.60000000000014</v>
          </cell>
          <cell r="AZ196">
            <v>775.60000000000014</v>
          </cell>
          <cell r="BA196">
            <v>775.60000000000014</v>
          </cell>
          <cell r="BB196">
            <v>775.60000000000014</v>
          </cell>
        </row>
        <row r="197">
          <cell r="A197" t="str">
            <v>PART</v>
          </cell>
          <cell r="AR197">
            <v>113.4</v>
          </cell>
          <cell r="AS197">
            <v>223.8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113.4</v>
          </cell>
          <cell r="AS198">
            <v>337.20000000000005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113.4</v>
          </cell>
          <cell r="AS199">
            <v>337.20000000000005</v>
          </cell>
          <cell r="AT199">
            <v>337.20000000000005</v>
          </cell>
          <cell r="AU199">
            <v>337.20000000000005</v>
          </cell>
          <cell r="AV199">
            <v>337.20000000000005</v>
          </cell>
          <cell r="AW199">
            <v>337.20000000000005</v>
          </cell>
          <cell r="AX199">
            <v>337.20000000000005</v>
          </cell>
          <cell r="AY199">
            <v>337.20000000000005</v>
          </cell>
          <cell r="AZ199">
            <v>337.20000000000005</v>
          </cell>
          <cell r="BA199">
            <v>337.20000000000005</v>
          </cell>
          <cell r="BB199">
            <v>337.20000000000005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113.4</v>
          </cell>
          <cell r="AS200">
            <v>337.20000000000005</v>
          </cell>
          <cell r="AT200">
            <v>337.20000000000005</v>
          </cell>
          <cell r="AU200">
            <v>337.20000000000005</v>
          </cell>
          <cell r="AV200">
            <v>337.20000000000005</v>
          </cell>
          <cell r="AW200">
            <v>337.20000000000005</v>
          </cell>
          <cell r="AX200">
            <v>337.20000000000005</v>
          </cell>
          <cell r="AY200">
            <v>337.20000000000005</v>
          </cell>
          <cell r="AZ200">
            <v>337.20000000000005</v>
          </cell>
          <cell r="BA200">
            <v>337.20000000000005</v>
          </cell>
          <cell r="BB200">
            <v>337.20000000000005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  <cell r="AV221">
            <v>19.95</v>
          </cell>
          <cell r="AW221">
            <v>98.28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19.95</v>
          </cell>
          <cell r="AW222">
            <v>118.23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19.95</v>
          </cell>
          <cell r="AW223">
            <v>118.23</v>
          </cell>
          <cell r="AX223">
            <v>118.23</v>
          </cell>
          <cell r="AY223">
            <v>118.23</v>
          </cell>
          <cell r="AZ223">
            <v>118.23</v>
          </cell>
          <cell r="BA223">
            <v>118.23</v>
          </cell>
          <cell r="BB223">
            <v>118.23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19.95</v>
          </cell>
          <cell r="AW224">
            <v>118.23</v>
          </cell>
          <cell r="AX224">
            <v>118.23</v>
          </cell>
          <cell r="AY224">
            <v>118.23</v>
          </cell>
          <cell r="AZ224">
            <v>118.23</v>
          </cell>
          <cell r="BA224">
            <v>118.23</v>
          </cell>
          <cell r="BB224">
            <v>118.23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36.520000000000003</v>
          </cell>
          <cell r="E225">
            <v>330.12</v>
          </cell>
          <cell r="F225">
            <v>0</v>
          </cell>
          <cell r="G225">
            <v>111.36</v>
          </cell>
          <cell r="H225">
            <v>0</v>
          </cell>
          <cell r="I225">
            <v>0</v>
          </cell>
          <cell r="J225">
            <v>0</v>
          </cell>
          <cell r="K225">
            <v>37.200000000000003</v>
          </cell>
          <cell r="L225">
            <v>37.200000000000003</v>
          </cell>
          <cell r="M225">
            <v>0</v>
          </cell>
          <cell r="N225">
            <v>0</v>
          </cell>
          <cell r="O225">
            <v>111.6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111.6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113.4</v>
          </cell>
          <cell r="AS225">
            <v>223.8</v>
          </cell>
          <cell r="AT225">
            <v>0</v>
          </cell>
          <cell r="AU225">
            <v>0</v>
          </cell>
          <cell r="AV225">
            <v>19.95</v>
          </cell>
          <cell r="AW225">
            <v>98.28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36.520000000000003</v>
          </cell>
          <cell r="E226">
            <v>366.64</v>
          </cell>
          <cell r="F226">
            <v>0</v>
          </cell>
          <cell r="G226">
            <v>111.36</v>
          </cell>
          <cell r="H226">
            <v>111.36</v>
          </cell>
          <cell r="I226">
            <v>111.36</v>
          </cell>
          <cell r="J226">
            <v>0</v>
          </cell>
          <cell r="K226">
            <v>37.200000000000003</v>
          </cell>
          <cell r="L226">
            <v>74.400000000000006</v>
          </cell>
          <cell r="M226">
            <v>74.400000000000006</v>
          </cell>
          <cell r="N226">
            <v>0</v>
          </cell>
          <cell r="O226">
            <v>111.6</v>
          </cell>
          <cell r="P226">
            <v>111.6</v>
          </cell>
          <cell r="Q226">
            <v>111.6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111.6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113.4</v>
          </cell>
          <cell r="AS226">
            <v>337.20000000000005</v>
          </cell>
          <cell r="AT226">
            <v>0</v>
          </cell>
          <cell r="AU226">
            <v>0</v>
          </cell>
          <cell r="AV226">
            <v>19.95</v>
          </cell>
          <cell r="AW226">
            <v>118.23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36.520000000000003</v>
          </cell>
          <cell r="E227">
            <v>366.64</v>
          </cell>
          <cell r="F227">
            <v>366.64</v>
          </cell>
          <cell r="G227">
            <v>478</v>
          </cell>
          <cell r="H227">
            <v>478</v>
          </cell>
          <cell r="I227">
            <v>478</v>
          </cell>
          <cell r="J227">
            <v>478</v>
          </cell>
          <cell r="K227">
            <v>515.20000000000005</v>
          </cell>
          <cell r="L227">
            <v>552.40000000000009</v>
          </cell>
          <cell r="M227">
            <v>552.40000000000009</v>
          </cell>
          <cell r="N227">
            <v>0</v>
          </cell>
          <cell r="O227">
            <v>111.6</v>
          </cell>
          <cell r="P227">
            <v>111.6</v>
          </cell>
          <cell r="Q227">
            <v>111.6</v>
          </cell>
          <cell r="R227">
            <v>111.6</v>
          </cell>
          <cell r="S227">
            <v>111.6</v>
          </cell>
          <cell r="T227">
            <v>111.6</v>
          </cell>
          <cell r="U227">
            <v>111.6</v>
          </cell>
          <cell r="V227">
            <v>111.6</v>
          </cell>
          <cell r="W227">
            <v>111.6</v>
          </cell>
          <cell r="X227">
            <v>111.6</v>
          </cell>
          <cell r="Y227">
            <v>223.2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113.4</v>
          </cell>
          <cell r="AS227">
            <v>337.20000000000005</v>
          </cell>
          <cell r="AT227">
            <v>337.20000000000005</v>
          </cell>
          <cell r="AU227">
            <v>337.20000000000005</v>
          </cell>
          <cell r="AV227">
            <v>357.15000000000003</v>
          </cell>
          <cell r="AW227">
            <v>455.43000000000006</v>
          </cell>
          <cell r="AX227">
            <v>455.43000000000006</v>
          </cell>
          <cell r="AY227">
            <v>455.43000000000006</v>
          </cell>
          <cell r="AZ227">
            <v>455.43000000000006</v>
          </cell>
          <cell r="BA227">
            <v>455.43000000000006</v>
          </cell>
          <cell r="BB227">
            <v>455.43000000000006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36.520000000000003</v>
          </cell>
          <cell r="E228">
            <v>366.64</v>
          </cell>
          <cell r="F228">
            <v>366.64</v>
          </cell>
          <cell r="G228">
            <v>478</v>
          </cell>
          <cell r="H228">
            <v>478</v>
          </cell>
          <cell r="I228">
            <v>478</v>
          </cell>
          <cell r="J228">
            <v>478</v>
          </cell>
          <cell r="K228">
            <v>515.20000000000005</v>
          </cell>
          <cell r="L228">
            <v>552.40000000000009</v>
          </cell>
          <cell r="M228">
            <v>552.40000000000009</v>
          </cell>
          <cell r="N228">
            <v>552.40000000000009</v>
          </cell>
          <cell r="O228">
            <v>664.00000000000011</v>
          </cell>
          <cell r="P228">
            <v>664.00000000000011</v>
          </cell>
          <cell r="Q228">
            <v>664.00000000000011</v>
          </cell>
          <cell r="R228">
            <v>664.00000000000011</v>
          </cell>
          <cell r="S228">
            <v>664.00000000000011</v>
          </cell>
          <cell r="T228">
            <v>664.00000000000011</v>
          </cell>
          <cell r="U228">
            <v>664.00000000000011</v>
          </cell>
          <cell r="V228">
            <v>664.00000000000011</v>
          </cell>
          <cell r="W228">
            <v>664.00000000000011</v>
          </cell>
          <cell r="X228">
            <v>664.00000000000011</v>
          </cell>
          <cell r="Y228">
            <v>775.60000000000014</v>
          </cell>
          <cell r="Z228">
            <v>775.60000000000014</v>
          </cell>
          <cell r="AA228">
            <v>775.60000000000014</v>
          </cell>
          <cell r="AB228">
            <v>775.60000000000014</v>
          </cell>
          <cell r="AC228">
            <v>775.60000000000014</v>
          </cell>
          <cell r="AD228">
            <v>775.60000000000014</v>
          </cell>
          <cell r="AE228">
            <v>775.60000000000014</v>
          </cell>
          <cell r="AF228">
            <v>775.60000000000014</v>
          </cell>
          <cell r="AG228">
            <v>775.60000000000014</v>
          </cell>
          <cell r="AH228">
            <v>775.60000000000014</v>
          </cell>
          <cell r="AI228">
            <v>775.60000000000014</v>
          </cell>
          <cell r="AJ228">
            <v>775.60000000000014</v>
          </cell>
          <cell r="AK228">
            <v>775.60000000000014</v>
          </cell>
          <cell r="AL228">
            <v>775.60000000000014</v>
          </cell>
          <cell r="AM228">
            <v>775.60000000000014</v>
          </cell>
          <cell r="AN228">
            <v>775.60000000000014</v>
          </cell>
          <cell r="AO228">
            <v>775.60000000000014</v>
          </cell>
          <cell r="AP228">
            <v>775.60000000000014</v>
          </cell>
          <cell r="AQ228">
            <v>775.60000000000014</v>
          </cell>
          <cell r="AR228">
            <v>889.00000000000011</v>
          </cell>
          <cell r="AS228">
            <v>1112.8000000000002</v>
          </cell>
          <cell r="AT228">
            <v>1112.8000000000002</v>
          </cell>
          <cell r="AU228">
            <v>1112.8000000000002</v>
          </cell>
          <cell r="AV228">
            <v>1132.7500000000002</v>
          </cell>
          <cell r="AW228">
            <v>1231.0300000000002</v>
          </cell>
          <cell r="AX228">
            <v>1231.0300000000002</v>
          </cell>
          <cell r="AY228">
            <v>1231.0300000000002</v>
          </cell>
          <cell r="AZ228">
            <v>1231.0300000000002</v>
          </cell>
          <cell r="BA228">
            <v>1231.0300000000002</v>
          </cell>
          <cell r="BB228">
            <v>1231.0300000000002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98634.31</v>
          </cell>
          <cell r="C235">
            <v>122965.77</v>
          </cell>
          <cell r="D235">
            <v>124162.33</v>
          </cell>
          <cell r="E235">
            <v>122169.06</v>
          </cell>
          <cell r="F235">
            <v>116116.41</v>
          </cell>
          <cell r="G235">
            <v>141480.51</v>
          </cell>
          <cell r="H235">
            <v>176052.44</v>
          </cell>
          <cell r="I235">
            <v>153568.81</v>
          </cell>
          <cell r="J235">
            <v>160193.17000000001</v>
          </cell>
          <cell r="K235">
            <v>164315.06</v>
          </cell>
          <cell r="L235">
            <v>187246.44</v>
          </cell>
          <cell r="M235">
            <v>193397.67</v>
          </cell>
          <cell r="N235">
            <v>153819.51</v>
          </cell>
          <cell r="O235">
            <v>184145.28</v>
          </cell>
          <cell r="P235">
            <v>195348.41</v>
          </cell>
          <cell r="Q235">
            <v>199612.46</v>
          </cell>
          <cell r="R235">
            <v>198596.93</v>
          </cell>
          <cell r="S235">
            <v>247063.57</v>
          </cell>
          <cell r="T235">
            <v>433169.51</v>
          </cell>
          <cell r="U235">
            <v>231349.48</v>
          </cell>
          <cell r="V235">
            <v>220479.93</v>
          </cell>
          <cell r="W235">
            <v>205746.73</v>
          </cell>
          <cell r="X235">
            <v>216833.34</v>
          </cell>
          <cell r="Y235">
            <v>191837.54</v>
          </cell>
          <cell r="Z235">
            <v>221268.28</v>
          </cell>
          <cell r="AA235">
            <v>242110.17</v>
          </cell>
          <cell r="AB235">
            <v>222281.91</v>
          </cell>
          <cell r="AC235">
            <v>195404.94</v>
          </cell>
          <cell r="AD235">
            <v>208161.68</v>
          </cell>
          <cell r="AE235">
            <v>205532.13</v>
          </cell>
          <cell r="AF235">
            <v>212132.79</v>
          </cell>
          <cell r="AG235">
            <v>230287.93</v>
          </cell>
          <cell r="AH235">
            <v>219158.39</v>
          </cell>
          <cell r="AI235">
            <v>226659.22</v>
          </cell>
          <cell r="AJ235">
            <v>272565.31</v>
          </cell>
          <cell r="AK235">
            <v>449453.61</v>
          </cell>
          <cell r="AL235">
            <v>222157.78</v>
          </cell>
          <cell r="AM235">
            <v>220388.84</v>
          </cell>
          <cell r="AN235">
            <v>222515.83</v>
          </cell>
          <cell r="AO235">
            <v>195592.86</v>
          </cell>
          <cell r="AP235">
            <v>167699.91</v>
          </cell>
          <cell r="AQ235">
            <v>169800.62</v>
          </cell>
          <cell r="AR235">
            <v>169292.34</v>
          </cell>
          <cell r="AS235">
            <v>163504.18</v>
          </cell>
          <cell r="AT235">
            <v>176576.86</v>
          </cell>
          <cell r="AU235">
            <v>225389</v>
          </cell>
          <cell r="AV235">
            <v>290105.90999999997</v>
          </cell>
          <cell r="AW235">
            <v>382351.06</v>
          </cell>
          <cell r="AX235">
            <v>721152.25</v>
          </cell>
          <cell r="AY235">
            <v>1368126.67</v>
          </cell>
          <cell r="AZ235">
            <v>2480373.92</v>
          </cell>
          <cell r="BA235">
            <v>2405832.54</v>
          </cell>
          <cell r="BB235">
            <v>270580.95</v>
          </cell>
        </row>
        <row r="236">
          <cell r="A236" t="str">
            <v>ptd</v>
          </cell>
          <cell r="B236">
            <v>98634.31</v>
          </cell>
          <cell r="C236">
            <v>221600.08000000002</v>
          </cell>
          <cell r="D236">
            <v>345762.41000000003</v>
          </cell>
          <cell r="E236">
            <v>467931.47000000003</v>
          </cell>
          <cell r="F236">
            <v>116116.41</v>
          </cell>
          <cell r="G236">
            <v>257596.92</v>
          </cell>
          <cell r="H236">
            <v>433649.36</v>
          </cell>
          <cell r="I236">
            <v>587218.16999999993</v>
          </cell>
          <cell r="J236">
            <v>160193.17000000001</v>
          </cell>
          <cell r="K236">
            <v>324508.23</v>
          </cell>
          <cell r="L236">
            <v>511754.67</v>
          </cell>
          <cell r="M236">
            <v>705152.34</v>
          </cell>
          <cell r="N236">
            <v>153819.51</v>
          </cell>
          <cell r="O236">
            <v>337964.79000000004</v>
          </cell>
          <cell r="P236">
            <v>533313.20000000007</v>
          </cell>
          <cell r="Q236">
            <v>732925.66</v>
          </cell>
          <cell r="R236">
            <v>198596.93</v>
          </cell>
          <cell r="S236">
            <v>445660.5</v>
          </cell>
          <cell r="T236">
            <v>878830.01</v>
          </cell>
          <cell r="U236">
            <v>1110179.49</v>
          </cell>
          <cell r="V236">
            <v>220479.93</v>
          </cell>
          <cell r="W236">
            <v>426226.66000000003</v>
          </cell>
          <cell r="X236">
            <v>643060</v>
          </cell>
          <cell r="Y236">
            <v>834897.54</v>
          </cell>
          <cell r="Z236">
            <v>221268.28</v>
          </cell>
          <cell r="AA236">
            <v>463378.45</v>
          </cell>
          <cell r="AB236">
            <v>685660.36</v>
          </cell>
          <cell r="AC236">
            <v>881065.3</v>
          </cell>
          <cell r="AD236">
            <v>208161.68</v>
          </cell>
          <cell r="AE236">
            <v>413693.81</v>
          </cell>
          <cell r="AF236">
            <v>625826.6</v>
          </cell>
          <cell r="AG236">
            <v>856114.53</v>
          </cell>
          <cell r="AH236">
            <v>219158.39</v>
          </cell>
          <cell r="AI236">
            <v>445817.61</v>
          </cell>
          <cell r="AJ236">
            <v>718382.91999999993</v>
          </cell>
          <cell r="AK236">
            <v>1167836.5299999998</v>
          </cell>
          <cell r="AL236">
            <v>222157.78</v>
          </cell>
          <cell r="AM236">
            <v>442546.62</v>
          </cell>
          <cell r="AN236">
            <v>665062.44999999995</v>
          </cell>
          <cell r="AO236">
            <v>860655.30999999994</v>
          </cell>
          <cell r="AP236">
            <v>167699.91</v>
          </cell>
          <cell r="AQ236">
            <v>337500.53</v>
          </cell>
          <cell r="AR236">
            <v>506792.87</v>
          </cell>
          <cell r="AS236">
            <v>670297.05000000005</v>
          </cell>
          <cell r="AT236">
            <v>176576.86</v>
          </cell>
          <cell r="AU236">
            <v>401965.86</v>
          </cell>
          <cell r="AV236">
            <v>692071.77</v>
          </cell>
          <cell r="AW236">
            <v>1074422.83</v>
          </cell>
          <cell r="AX236">
            <v>721152.25</v>
          </cell>
          <cell r="AY236">
            <v>2089278.92</v>
          </cell>
          <cell r="AZ236">
            <v>4569652.84</v>
          </cell>
          <cell r="BA236">
            <v>6975485.3799999999</v>
          </cell>
          <cell r="BB236">
            <v>7246066.3300000001</v>
          </cell>
        </row>
        <row r="237">
          <cell r="A237" t="str">
            <v>qtd</v>
          </cell>
          <cell r="B237">
            <v>98634.31</v>
          </cell>
          <cell r="C237">
            <v>221600.08000000002</v>
          </cell>
          <cell r="D237">
            <v>345762.41000000003</v>
          </cell>
          <cell r="E237">
            <v>467931.47000000003</v>
          </cell>
          <cell r="F237">
            <v>584047.88</v>
          </cell>
          <cell r="G237">
            <v>725528.39</v>
          </cell>
          <cell r="H237">
            <v>901580.83000000007</v>
          </cell>
          <cell r="I237">
            <v>1055149.6400000001</v>
          </cell>
          <cell r="J237">
            <v>1215342.81</v>
          </cell>
          <cell r="K237">
            <v>1379657.87</v>
          </cell>
          <cell r="L237">
            <v>1566904.31</v>
          </cell>
          <cell r="M237">
            <v>1760301.98</v>
          </cell>
          <cell r="N237">
            <v>153819.51</v>
          </cell>
          <cell r="O237">
            <v>337964.79000000004</v>
          </cell>
          <cell r="P237">
            <v>533313.20000000007</v>
          </cell>
          <cell r="Q237">
            <v>732925.66</v>
          </cell>
          <cell r="R237">
            <v>931522.59000000008</v>
          </cell>
          <cell r="S237">
            <v>1178586.1600000001</v>
          </cell>
          <cell r="T237">
            <v>1611755.6700000002</v>
          </cell>
          <cell r="U237">
            <v>1843105.1500000001</v>
          </cell>
          <cell r="V237">
            <v>2063585.08</v>
          </cell>
          <cell r="W237">
            <v>2269331.81</v>
          </cell>
          <cell r="X237">
            <v>2486165.15</v>
          </cell>
          <cell r="Y237">
            <v>2678002.69</v>
          </cell>
          <cell r="Z237">
            <v>221268.28</v>
          </cell>
          <cell r="AA237">
            <v>463378.45</v>
          </cell>
          <cell r="AB237">
            <v>685660.36</v>
          </cell>
          <cell r="AC237">
            <v>881065.3</v>
          </cell>
          <cell r="AD237">
            <v>1089226.98</v>
          </cell>
          <cell r="AE237">
            <v>1294759.1099999999</v>
          </cell>
          <cell r="AF237">
            <v>1506891.9</v>
          </cell>
          <cell r="AG237">
            <v>1737179.8299999998</v>
          </cell>
          <cell r="AH237">
            <v>1956338.2199999997</v>
          </cell>
          <cell r="AI237">
            <v>2182997.44</v>
          </cell>
          <cell r="AJ237">
            <v>2455562.75</v>
          </cell>
          <cell r="AK237">
            <v>2905016.36</v>
          </cell>
          <cell r="AL237">
            <v>222157.78</v>
          </cell>
          <cell r="AM237">
            <v>442546.62</v>
          </cell>
          <cell r="AN237">
            <v>665062.44999999995</v>
          </cell>
          <cell r="AO237">
            <v>860655.30999999994</v>
          </cell>
          <cell r="AP237">
            <v>1028355.22</v>
          </cell>
          <cell r="AQ237">
            <v>1198155.8399999999</v>
          </cell>
          <cell r="AR237">
            <v>1367448.18</v>
          </cell>
          <cell r="AS237">
            <v>1530952.3599999999</v>
          </cell>
          <cell r="AT237">
            <v>1707529.2199999997</v>
          </cell>
          <cell r="AU237">
            <v>1932918.2199999997</v>
          </cell>
          <cell r="AV237">
            <v>2223024.13</v>
          </cell>
          <cell r="AW237">
            <v>2605375.19</v>
          </cell>
          <cell r="AX237">
            <v>3326527.44</v>
          </cell>
          <cell r="AY237">
            <v>4694654.1099999994</v>
          </cell>
          <cell r="AZ237">
            <v>7175028.0299999993</v>
          </cell>
          <cell r="BA237">
            <v>9580860.5700000003</v>
          </cell>
          <cell r="BB237">
            <v>9851441.5199999996</v>
          </cell>
        </row>
        <row r="238">
          <cell r="A238" t="str">
            <v>ytd</v>
          </cell>
          <cell r="B238">
            <v>98634.31</v>
          </cell>
          <cell r="C238">
            <v>221600.08000000002</v>
          </cell>
          <cell r="D238">
            <v>345762.41000000003</v>
          </cell>
          <cell r="E238">
            <v>467931.47000000003</v>
          </cell>
          <cell r="F238">
            <v>584047.88</v>
          </cell>
          <cell r="G238">
            <v>725528.39</v>
          </cell>
          <cell r="H238">
            <v>901580.83000000007</v>
          </cell>
          <cell r="I238">
            <v>1055149.6400000001</v>
          </cell>
          <cell r="J238">
            <v>1215342.81</v>
          </cell>
          <cell r="K238">
            <v>1379657.87</v>
          </cell>
          <cell r="L238">
            <v>1566904.31</v>
          </cell>
          <cell r="M238">
            <v>1760301.98</v>
          </cell>
          <cell r="N238">
            <v>1914121.49</v>
          </cell>
          <cell r="O238">
            <v>2098266.77</v>
          </cell>
          <cell r="P238">
            <v>2293615.1800000002</v>
          </cell>
          <cell r="Q238">
            <v>2493227.64</v>
          </cell>
          <cell r="R238">
            <v>2691824.5700000003</v>
          </cell>
          <cell r="S238">
            <v>2938888.14</v>
          </cell>
          <cell r="T238">
            <v>3372057.6500000004</v>
          </cell>
          <cell r="U238">
            <v>3603407.1300000004</v>
          </cell>
          <cell r="V238">
            <v>3823887.0600000005</v>
          </cell>
          <cell r="W238">
            <v>4029633.7900000005</v>
          </cell>
          <cell r="X238">
            <v>4246467.1300000008</v>
          </cell>
          <cell r="Y238">
            <v>4438304.6700000009</v>
          </cell>
          <cell r="Z238">
            <v>4659572.9500000011</v>
          </cell>
          <cell r="AA238">
            <v>4901683.120000001</v>
          </cell>
          <cell r="AB238">
            <v>5123965.0300000012</v>
          </cell>
          <cell r="AC238">
            <v>5319369.9700000016</v>
          </cell>
          <cell r="AD238">
            <v>5527531.6500000013</v>
          </cell>
          <cell r="AE238">
            <v>5733063.7800000012</v>
          </cell>
          <cell r="AF238">
            <v>5945196.5700000012</v>
          </cell>
          <cell r="AG238">
            <v>6175484.5000000009</v>
          </cell>
          <cell r="AH238">
            <v>6394642.8900000006</v>
          </cell>
          <cell r="AI238">
            <v>6621302.1100000003</v>
          </cell>
          <cell r="AJ238">
            <v>6893867.4199999999</v>
          </cell>
          <cell r="AK238">
            <v>7343321.0300000003</v>
          </cell>
          <cell r="AL238">
            <v>7565478.8100000005</v>
          </cell>
          <cell r="AM238">
            <v>7785867.6500000004</v>
          </cell>
          <cell r="AN238">
            <v>8008383.4800000004</v>
          </cell>
          <cell r="AO238">
            <v>8203976.3400000008</v>
          </cell>
          <cell r="AP238">
            <v>8371676.2500000009</v>
          </cell>
          <cell r="AQ238">
            <v>8541476.870000001</v>
          </cell>
          <cell r="AR238">
            <v>8710769.2100000009</v>
          </cell>
          <cell r="AS238">
            <v>8874273.3900000006</v>
          </cell>
          <cell r="AT238">
            <v>9050850.25</v>
          </cell>
          <cell r="AU238">
            <v>9276239.25</v>
          </cell>
          <cell r="AV238">
            <v>9566345.1600000001</v>
          </cell>
          <cell r="AW238">
            <v>9948696.2200000007</v>
          </cell>
          <cell r="AX238">
            <v>10669848.470000001</v>
          </cell>
          <cell r="AY238">
            <v>12037975.140000001</v>
          </cell>
          <cell r="AZ238">
            <v>14518349.060000001</v>
          </cell>
          <cell r="BA238">
            <v>16924181.600000001</v>
          </cell>
          <cell r="BB238">
            <v>17194762.550000001</v>
          </cell>
        </row>
        <row r="239">
          <cell r="A239" t="str">
            <v>PRED</v>
          </cell>
          <cell r="AM239">
            <v>40.19</v>
          </cell>
          <cell r="AR239">
            <v>205.59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40.19</v>
          </cell>
          <cell r="AN240">
            <v>40.19</v>
          </cell>
          <cell r="AO240">
            <v>40.19</v>
          </cell>
          <cell r="AP240">
            <v>0</v>
          </cell>
          <cell r="AQ240">
            <v>0</v>
          </cell>
          <cell r="AR240">
            <v>205.59</v>
          </cell>
          <cell r="AS240">
            <v>205.59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40.19</v>
          </cell>
          <cell r="AN241">
            <v>40.19</v>
          </cell>
          <cell r="AO241">
            <v>40.19</v>
          </cell>
          <cell r="AP241">
            <v>40.19</v>
          </cell>
          <cell r="AQ241">
            <v>40.19</v>
          </cell>
          <cell r="AR241">
            <v>245.78</v>
          </cell>
          <cell r="AS241">
            <v>245.78</v>
          </cell>
          <cell r="AT241">
            <v>245.78</v>
          </cell>
          <cell r="AU241">
            <v>245.78</v>
          </cell>
          <cell r="AV241">
            <v>245.78</v>
          </cell>
          <cell r="AW241">
            <v>245.78</v>
          </cell>
          <cell r="AX241">
            <v>245.78</v>
          </cell>
          <cell r="AY241">
            <v>245.78</v>
          </cell>
          <cell r="AZ241">
            <v>245.78</v>
          </cell>
          <cell r="BA241">
            <v>245.78</v>
          </cell>
          <cell r="BB241">
            <v>245.78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40.19</v>
          </cell>
          <cell r="AN242">
            <v>40.19</v>
          </cell>
          <cell r="AO242">
            <v>40.19</v>
          </cell>
          <cell r="AP242">
            <v>40.19</v>
          </cell>
          <cell r="AQ242">
            <v>40.19</v>
          </cell>
          <cell r="AR242">
            <v>245.78</v>
          </cell>
          <cell r="AS242">
            <v>245.78</v>
          </cell>
          <cell r="AT242">
            <v>245.78</v>
          </cell>
          <cell r="AU242">
            <v>245.78</v>
          </cell>
          <cell r="AV242">
            <v>245.78</v>
          </cell>
          <cell r="AW242">
            <v>245.78</v>
          </cell>
          <cell r="AX242">
            <v>245.78</v>
          </cell>
          <cell r="AY242">
            <v>245.78</v>
          </cell>
          <cell r="AZ242">
            <v>245.78</v>
          </cell>
          <cell r="BA242">
            <v>245.78</v>
          </cell>
          <cell r="BB242">
            <v>245.78</v>
          </cell>
        </row>
        <row r="243">
          <cell r="A243" t="str">
            <v>PREG</v>
          </cell>
          <cell r="B243">
            <v>94841.22</v>
          </cell>
          <cell r="C243">
            <v>123729.54</v>
          </cell>
          <cell r="D243">
            <v>101234.61</v>
          </cell>
          <cell r="E243">
            <v>91024.61</v>
          </cell>
          <cell r="F243">
            <v>97518.080000000002</v>
          </cell>
          <cell r="G243">
            <v>118476.58</v>
          </cell>
          <cell r="H243">
            <v>122274.66</v>
          </cell>
          <cell r="I243">
            <v>136680.92000000001</v>
          </cell>
          <cell r="J243">
            <v>153575.98000000001</v>
          </cell>
          <cell r="K243">
            <v>136590.9</v>
          </cell>
          <cell r="L243">
            <v>144657.12</v>
          </cell>
          <cell r="M243">
            <v>140982.07</v>
          </cell>
          <cell r="N243">
            <v>125924.86</v>
          </cell>
          <cell r="O243">
            <v>161059</v>
          </cell>
          <cell r="P243">
            <v>166123.15</v>
          </cell>
          <cell r="Q243">
            <v>154291.57999999999</v>
          </cell>
          <cell r="R243">
            <v>144074.19</v>
          </cell>
          <cell r="S243">
            <v>170469</v>
          </cell>
          <cell r="T243">
            <v>225364.15</v>
          </cell>
          <cell r="U243">
            <v>170155.7</v>
          </cell>
          <cell r="V243">
            <v>151288.82999999999</v>
          </cell>
          <cell r="W243">
            <v>170334.58</v>
          </cell>
          <cell r="X243">
            <v>162447.51999999999</v>
          </cell>
          <cell r="Y243">
            <v>145463.54999999999</v>
          </cell>
          <cell r="Z243">
            <v>170110.39</v>
          </cell>
          <cell r="AA243">
            <v>183958.6</v>
          </cell>
          <cell r="AB243">
            <v>169572.85</v>
          </cell>
          <cell r="AC243">
            <v>160161.96</v>
          </cell>
          <cell r="AD243">
            <v>171814.04</v>
          </cell>
          <cell r="AE243">
            <v>173830.39</v>
          </cell>
          <cell r="AF243">
            <v>193956.7</v>
          </cell>
          <cell r="AG243">
            <v>184332.88</v>
          </cell>
          <cell r="AH243">
            <v>184477.66</v>
          </cell>
          <cell r="AI243">
            <v>175056.19</v>
          </cell>
          <cell r="AJ243">
            <v>187452.81</v>
          </cell>
          <cell r="AK243">
            <v>264956.94</v>
          </cell>
          <cell r="AL243">
            <v>211196.33</v>
          </cell>
          <cell r="AM243">
            <v>213540.09</v>
          </cell>
          <cell r="AN243">
            <v>230098.46</v>
          </cell>
          <cell r="AO243">
            <v>220132.9</v>
          </cell>
          <cell r="AP243">
            <v>182476.57</v>
          </cell>
          <cell r="AQ243">
            <v>206723.63</v>
          </cell>
          <cell r="AR243">
            <v>191004.83</v>
          </cell>
          <cell r="AS243">
            <v>191216.46</v>
          </cell>
          <cell r="AT243">
            <v>204573.17</v>
          </cell>
          <cell r="AU243">
            <v>242353.53</v>
          </cell>
          <cell r="AV243">
            <v>284426.44</v>
          </cell>
          <cell r="AW243">
            <v>351964.48</v>
          </cell>
          <cell r="AX243">
            <v>550153.48</v>
          </cell>
          <cell r="AY243">
            <v>1026646.4</v>
          </cell>
          <cell r="AZ243">
            <v>2053521.53</v>
          </cell>
          <cell r="BA243">
            <v>2007474.26</v>
          </cell>
          <cell r="BB243">
            <v>183727.04</v>
          </cell>
        </row>
        <row r="244">
          <cell r="A244" t="str">
            <v>ptd</v>
          </cell>
          <cell r="B244">
            <v>94841.22</v>
          </cell>
          <cell r="C244">
            <v>218570.76</v>
          </cell>
          <cell r="D244">
            <v>319805.37</v>
          </cell>
          <cell r="E244">
            <v>410829.98</v>
          </cell>
          <cell r="F244">
            <v>97518.080000000002</v>
          </cell>
          <cell r="G244">
            <v>215994.66</v>
          </cell>
          <cell r="H244">
            <v>338269.32</v>
          </cell>
          <cell r="I244">
            <v>474950.24</v>
          </cell>
          <cell r="J244">
            <v>153575.98000000001</v>
          </cell>
          <cell r="K244">
            <v>290166.88</v>
          </cell>
          <cell r="L244">
            <v>434824</v>
          </cell>
          <cell r="M244">
            <v>575806.07000000007</v>
          </cell>
          <cell r="N244">
            <v>125924.86</v>
          </cell>
          <cell r="O244">
            <v>286983.86</v>
          </cell>
          <cell r="P244">
            <v>453107.01</v>
          </cell>
          <cell r="Q244">
            <v>607398.59</v>
          </cell>
          <cell r="R244">
            <v>144074.19</v>
          </cell>
          <cell r="S244">
            <v>314543.19</v>
          </cell>
          <cell r="T244">
            <v>539907.34</v>
          </cell>
          <cell r="U244">
            <v>710063.04</v>
          </cell>
          <cell r="V244">
            <v>151288.82999999999</v>
          </cell>
          <cell r="W244">
            <v>321623.40999999997</v>
          </cell>
          <cell r="X244">
            <v>484070.92999999993</v>
          </cell>
          <cell r="Y244">
            <v>629534.48</v>
          </cell>
          <cell r="Z244">
            <v>170110.39</v>
          </cell>
          <cell r="AA244">
            <v>354068.99</v>
          </cell>
          <cell r="AB244">
            <v>523641.83999999997</v>
          </cell>
          <cell r="AC244">
            <v>683803.79999999993</v>
          </cell>
          <cell r="AD244">
            <v>171814.04</v>
          </cell>
          <cell r="AE244">
            <v>345644.43000000005</v>
          </cell>
          <cell r="AF244">
            <v>539601.13000000012</v>
          </cell>
          <cell r="AG244">
            <v>723934.01000000013</v>
          </cell>
          <cell r="AH244">
            <v>184477.66</v>
          </cell>
          <cell r="AI244">
            <v>359533.85</v>
          </cell>
          <cell r="AJ244">
            <v>546986.65999999992</v>
          </cell>
          <cell r="AK244">
            <v>811943.59999999986</v>
          </cell>
          <cell r="AL244">
            <v>211196.33</v>
          </cell>
          <cell r="AM244">
            <v>424736.42</v>
          </cell>
          <cell r="AN244">
            <v>654834.88</v>
          </cell>
          <cell r="AO244">
            <v>874967.78</v>
          </cell>
          <cell r="AP244">
            <v>182476.57</v>
          </cell>
          <cell r="AQ244">
            <v>389200.2</v>
          </cell>
          <cell r="AR244">
            <v>580205.03</v>
          </cell>
          <cell r="AS244">
            <v>771421.49</v>
          </cell>
          <cell r="AT244">
            <v>204573.17</v>
          </cell>
          <cell r="AU244">
            <v>446926.7</v>
          </cell>
          <cell r="AV244">
            <v>731353.14</v>
          </cell>
          <cell r="AW244">
            <v>1083317.6200000001</v>
          </cell>
          <cell r="AX244">
            <v>550153.48</v>
          </cell>
          <cell r="AY244">
            <v>1576799.88</v>
          </cell>
          <cell r="AZ244">
            <v>3630321.41</v>
          </cell>
          <cell r="BA244">
            <v>5637795.6699999999</v>
          </cell>
          <cell r="BB244">
            <v>5821522.71</v>
          </cell>
        </row>
        <row r="245">
          <cell r="A245" t="str">
            <v>qtd</v>
          </cell>
          <cell r="B245">
            <v>94841.22</v>
          </cell>
          <cell r="C245">
            <v>218570.76</v>
          </cell>
          <cell r="D245">
            <v>319805.37</v>
          </cell>
          <cell r="E245">
            <v>410829.98</v>
          </cell>
          <cell r="F245">
            <v>508348.06</v>
          </cell>
          <cell r="G245">
            <v>626824.64</v>
          </cell>
          <cell r="H245">
            <v>749099.3</v>
          </cell>
          <cell r="I245">
            <v>885780.22000000009</v>
          </cell>
          <cell r="J245">
            <v>1039356.2000000001</v>
          </cell>
          <cell r="K245">
            <v>1175947.1000000001</v>
          </cell>
          <cell r="L245">
            <v>1320604.2200000002</v>
          </cell>
          <cell r="M245">
            <v>1461586.2900000003</v>
          </cell>
          <cell r="N245">
            <v>125924.86</v>
          </cell>
          <cell r="O245">
            <v>286983.86</v>
          </cell>
          <cell r="P245">
            <v>453107.01</v>
          </cell>
          <cell r="Q245">
            <v>607398.59</v>
          </cell>
          <cell r="R245">
            <v>751472.78</v>
          </cell>
          <cell r="S245">
            <v>921941.78</v>
          </cell>
          <cell r="T245">
            <v>1147305.93</v>
          </cell>
          <cell r="U245">
            <v>1317461.6299999999</v>
          </cell>
          <cell r="V245">
            <v>1468750.46</v>
          </cell>
          <cell r="W245">
            <v>1639085.04</v>
          </cell>
          <cell r="X245">
            <v>1801532.56</v>
          </cell>
          <cell r="Y245">
            <v>1946996.11</v>
          </cell>
          <cell r="Z245">
            <v>170110.39</v>
          </cell>
          <cell r="AA245">
            <v>354068.99</v>
          </cell>
          <cell r="AB245">
            <v>523641.83999999997</v>
          </cell>
          <cell r="AC245">
            <v>683803.79999999993</v>
          </cell>
          <cell r="AD245">
            <v>855617.84</v>
          </cell>
          <cell r="AE245">
            <v>1029448.23</v>
          </cell>
          <cell r="AF245">
            <v>1223404.93</v>
          </cell>
          <cell r="AG245">
            <v>1407737.81</v>
          </cell>
          <cell r="AH245">
            <v>1592215.47</v>
          </cell>
          <cell r="AI245">
            <v>1767271.66</v>
          </cell>
          <cell r="AJ245">
            <v>1954724.47</v>
          </cell>
          <cell r="AK245">
            <v>2219681.41</v>
          </cell>
          <cell r="AL245">
            <v>211196.33</v>
          </cell>
          <cell r="AM245">
            <v>424736.42</v>
          </cell>
          <cell r="AN245">
            <v>654834.88</v>
          </cell>
          <cell r="AO245">
            <v>874967.78</v>
          </cell>
          <cell r="AP245">
            <v>1057444.3500000001</v>
          </cell>
          <cell r="AQ245">
            <v>1264167.98</v>
          </cell>
          <cell r="AR245">
            <v>1455172.81</v>
          </cell>
          <cell r="AS245">
            <v>1646389.27</v>
          </cell>
          <cell r="AT245">
            <v>1850962.44</v>
          </cell>
          <cell r="AU245">
            <v>2093315.97</v>
          </cell>
          <cell r="AV245">
            <v>2377742.41</v>
          </cell>
          <cell r="AW245">
            <v>2729706.89</v>
          </cell>
          <cell r="AX245">
            <v>3279860.37</v>
          </cell>
          <cell r="AY245">
            <v>4306506.7700000005</v>
          </cell>
          <cell r="AZ245">
            <v>6360028.3000000007</v>
          </cell>
          <cell r="BA245">
            <v>8367502.5600000005</v>
          </cell>
          <cell r="BB245">
            <v>8551229.5999999996</v>
          </cell>
        </row>
        <row r="246">
          <cell r="A246" t="str">
            <v>ytd</v>
          </cell>
          <cell r="B246">
            <v>94841.22</v>
          </cell>
          <cell r="C246">
            <v>218570.76</v>
          </cell>
          <cell r="D246">
            <v>319805.37</v>
          </cell>
          <cell r="E246">
            <v>410829.98</v>
          </cell>
          <cell r="F246">
            <v>508348.06</v>
          </cell>
          <cell r="G246">
            <v>626824.64</v>
          </cell>
          <cell r="H246">
            <v>749099.3</v>
          </cell>
          <cell r="I246">
            <v>885780.22000000009</v>
          </cell>
          <cell r="J246">
            <v>1039356.2000000001</v>
          </cell>
          <cell r="K246">
            <v>1175947.1000000001</v>
          </cell>
          <cell r="L246">
            <v>1320604.2200000002</v>
          </cell>
          <cell r="M246">
            <v>1461586.2900000003</v>
          </cell>
          <cell r="N246">
            <v>1587511.1500000004</v>
          </cell>
          <cell r="O246">
            <v>1748570.1500000004</v>
          </cell>
          <cell r="P246">
            <v>1914693.3000000003</v>
          </cell>
          <cell r="Q246">
            <v>2068984.8800000004</v>
          </cell>
          <cell r="R246">
            <v>2213059.0700000003</v>
          </cell>
          <cell r="S246">
            <v>2383528.0700000003</v>
          </cell>
          <cell r="T246">
            <v>2608892.2200000002</v>
          </cell>
          <cell r="U246">
            <v>2779047.9200000004</v>
          </cell>
          <cell r="V246">
            <v>2930336.7500000005</v>
          </cell>
          <cell r="W246">
            <v>3100671.3300000005</v>
          </cell>
          <cell r="X246">
            <v>3263118.8500000006</v>
          </cell>
          <cell r="Y246">
            <v>3408582.4000000004</v>
          </cell>
          <cell r="Z246">
            <v>3578692.7900000005</v>
          </cell>
          <cell r="AA246">
            <v>3762651.3900000006</v>
          </cell>
          <cell r="AB246">
            <v>3932224.2400000007</v>
          </cell>
          <cell r="AC246">
            <v>4092386.2000000007</v>
          </cell>
          <cell r="AD246">
            <v>4264200.24</v>
          </cell>
          <cell r="AE246">
            <v>4438030.63</v>
          </cell>
          <cell r="AF246">
            <v>4631987.33</v>
          </cell>
          <cell r="AG246">
            <v>4816320.21</v>
          </cell>
          <cell r="AH246">
            <v>5000797.87</v>
          </cell>
          <cell r="AI246">
            <v>5175854.0600000005</v>
          </cell>
          <cell r="AJ246">
            <v>5363306.87</v>
          </cell>
          <cell r="AK246">
            <v>5628263.8100000005</v>
          </cell>
          <cell r="AL246">
            <v>5839460.1400000006</v>
          </cell>
          <cell r="AM246">
            <v>6053000.2300000004</v>
          </cell>
          <cell r="AN246">
            <v>6283098.6900000004</v>
          </cell>
          <cell r="AO246">
            <v>6503231.5900000008</v>
          </cell>
          <cell r="AP246">
            <v>6685708.1600000011</v>
          </cell>
          <cell r="AQ246">
            <v>6892431.790000001</v>
          </cell>
          <cell r="AR246">
            <v>7083436.620000001</v>
          </cell>
          <cell r="AS246">
            <v>7274653.080000001</v>
          </cell>
          <cell r="AT246">
            <v>7479226.2500000009</v>
          </cell>
          <cell r="AU246">
            <v>7721579.7800000012</v>
          </cell>
          <cell r="AV246">
            <v>8006006.2200000016</v>
          </cell>
          <cell r="AW246">
            <v>8357970.7000000011</v>
          </cell>
          <cell r="AX246">
            <v>8908124.1800000016</v>
          </cell>
          <cell r="AY246">
            <v>9934770.5800000019</v>
          </cell>
          <cell r="AZ246">
            <v>11988292.110000001</v>
          </cell>
          <cell r="BA246">
            <v>13995766.370000001</v>
          </cell>
          <cell r="BB246">
            <v>14179493.41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1146.69</v>
          </cell>
          <cell r="C251">
            <v>1282.06</v>
          </cell>
          <cell r="D251">
            <v>1473.44</v>
          </cell>
          <cell r="E251">
            <v>1310.1199999999999</v>
          </cell>
          <cell r="F251">
            <v>1347.89</v>
          </cell>
          <cell r="G251">
            <v>1550.16</v>
          </cell>
          <cell r="H251">
            <v>1845.52</v>
          </cell>
          <cell r="I251">
            <v>2056.3200000000002</v>
          </cell>
          <cell r="J251">
            <v>2150.4</v>
          </cell>
          <cell r="K251">
            <v>1787.52</v>
          </cell>
          <cell r="L251">
            <v>1706.88</v>
          </cell>
          <cell r="M251">
            <v>1317.12</v>
          </cell>
          <cell r="N251">
            <v>1800.96</v>
          </cell>
          <cell r="O251">
            <v>1747.2</v>
          </cell>
          <cell r="P251">
            <v>2593.92</v>
          </cell>
          <cell r="Q251">
            <v>1895.04</v>
          </cell>
          <cell r="R251">
            <v>1868.16</v>
          </cell>
          <cell r="S251">
            <v>1868.16</v>
          </cell>
          <cell r="T251">
            <v>1626.24</v>
          </cell>
          <cell r="U251">
            <v>1800.96</v>
          </cell>
          <cell r="V251">
            <v>1935.36</v>
          </cell>
          <cell r="W251">
            <v>1653.12</v>
          </cell>
          <cell r="X251">
            <v>1800.96</v>
          </cell>
          <cell r="Y251">
            <v>1814.4</v>
          </cell>
          <cell r="Z251">
            <v>1962.24</v>
          </cell>
          <cell r="AA251">
            <v>1720.32</v>
          </cell>
          <cell r="AB251">
            <v>1962.24</v>
          </cell>
          <cell r="AC251">
            <v>1841.28</v>
          </cell>
          <cell r="AD251">
            <v>2271.36</v>
          </cell>
          <cell r="AE251">
            <v>2526.7199999999998</v>
          </cell>
          <cell r="AF251">
            <v>1948.8</v>
          </cell>
          <cell r="AG251">
            <v>2069.7600000000002</v>
          </cell>
          <cell r="AH251">
            <v>1706.88</v>
          </cell>
          <cell r="AI251">
            <v>1747.2</v>
          </cell>
          <cell r="AJ251">
            <v>1532.16</v>
          </cell>
          <cell r="AK251">
            <v>1535.15</v>
          </cell>
          <cell r="AL251">
            <v>1016.42</v>
          </cell>
          <cell r="AM251">
            <v>497.17</v>
          </cell>
          <cell r="AN251">
            <v>367.04</v>
          </cell>
          <cell r="AO251">
            <v>227.55</v>
          </cell>
          <cell r="AP251">
            <v>203.89</v>
          </cell>
          <cell r="AQ251">
            <v>143.69999999999999</v>
          </cell>
          <cell r="AR251">
            <v>41.11</v>
          </cell>
          <cell r="AS251">
            <v>143.9</v>
          </cell>
          <cell r="AT251">
            <v>70.78</v>
          </cell>
          <cell r="AU251">
            <v>99.39</v>
          </cell>
          <cell r="AV251">
            <v>106.42</v>
          </cell>
          <cell r="AW251">
            <v>156.38999999999999</v>
          </cell>
          <cell r="AX251">
            <v>29.19</v>
          </cell>
          <cell r="AY251">
            <v>39.89</v>
          </cell>
          <cell r="AZ251">
            <v>102.52</v>
          </cell>
          <cell r="BA251">
            <v>102.31</v>
          </cell>
          <cell r="BB251">
            <v>61.58</v>
          </cell>
        </row>
        <row r="252">
          <cell r="A252" t="str">
            <v>ptd</v>
          </cell>
          <cell r="B252">
            <v>1146.69</v>
          </cell>
          <cell r="C252">
            <v>2428.75</v>
          </cell>
          <cell r="D252">
            <v>3902.19</v>
          </cell>
          <cell r="E252">
            <v>5212.3099999999995</v>
          </cell>
          <cell r="F252">
            <v>1347.89</v>
          </cell>
          <cell r="G252">
            <v>2898.05</v>
          </cell>
          <cell r="H252">
            <v>4743.57</v>
          </cell>
          <cell r="I252">
            <v>6799.8899999999994</v>
          </cell>
          <cell r="J252">
            <v>2150.4</v>
          </cell>
          <cell r="K252">
            <v>3937.92</v>
          </cell>
          <cell r="L252">
            <v>5644.8</v>
          </cell>
          <cell r="M252">
            <v>6961.92</v>
          </cell>
          <cell r="N252">
            <v>1800.96</v>
          </cell>
          <cell r="O252">
            <v>3548.16</v>
          </cell>
          <cell r="P252">
            <v>6142.08</v>
          </cell>
          <cell r="Q252">
            <v>8037.12</v>
          </cell>
          <cell r="R252">
            <v>1868.16</v>
          </cell>
          <cell r="S252">
            <v>3736.32</v>
          </cell>
          <cell r="T252">
            <v>5362.56</v>
          </cell>
          <cell r="U252">
            <v>7163.52</v>
          </cell>
          <cell r="V252">
            <v>1935.36</v>
          </cell>
          <cell r="W252">
            <v>3588.4799999999996</v>
          </cell>
          <cell r="X252">
            <v>5389.44</v>
          </cell>
          <cell r="Y252">
            <v>7203.84</v>
          </cell>
          <cell r="Z252">
            <v>1962.24</v>
          </cell>
          <cell r="AA252">
            <v>3682.56</v>
          </cell>
          <cell r="AB252">
            <v>5644.8</v>
          </cell>
          <cell r="AC252">
            <v>7486.08</v>
          </cell>
          <cell r="AD252">
            <v>2271.36</v>
          </cell>
          <cell r="AE252">
            <v>4798.08</v>
          </cell>
          <cell r="AF252">
            <v>6746.88</v>
          </cell>
          <cell r="AG252">
            <v>8816.64</v>
          </cell>
          <cell r="AH252">
            <v>1706.88</v>
          </cell>
          <cell r="AI252">
            <v>3454.08</v>
          </cell>
          <cell r="AJ252">
            <v>4986.24</v>
          </cell>
          <cell r="AK252">
            <v>6521.3899999999994</v>
          </cell>
          <cell r="AL252">
            <v>1016.42</v>
          </cell>
          <cell r="AM252">
            <v>1513.59</v>
          </cell>
          <cell r="AN252">
            <v>1880.6299999999999</v>
          </cell>
          <cell r="AO252">
            <v>2108.1799999999998</v>
          </cell>
          <cell r="AP252">
            <v>203.89</v>
          </cell>
          <cell r="AQ252">
            <v>347.59</v>
          </cell>
          <cell r="AR252">
            <v>388.7</v>
          </cell>
          <cell r="AS252">
            <v>532.6</v>
          </cell>
          <cell r="AT252">
            <v>70.78</v>
          </cell>
          <cell r="AU252">
            <v>170.17000000000002</v>
          </cell>
          <cell r="AV252">
            <v>276.59000000000003</v>
          </cell>
          <cell r="AW252">
            <v>432.98</v>
          </cell>
          <cell r="AX252">
            <v>29.19</v>
          </cell>
          <cell r="AY252">
            <v>69.08</v>
          </cell>
          <cell r="AZ252">
            <v>171.6</v>
          </cell>
          <cell r="BA252">
            <v>273.90999999999997</v>
          </cell>
          <cell r="BB252">
            <v>335.48999999999995</v>
          </cell>
        </row>
        <row r="253">
          <cell r="A253" t="str">
            <v>qtd</v>
          </cell>
          <cell r="B253">
            <v>1146.69</v>
          </cell>
          <cell r="C253">
            <v>2428.75</v>
          </cell>
          <cell r="D253">
            <v>3902.19</v>
          </cell>
          <cell r="E253">
            <v>5212.3099999999995</v>
          </cell>
          <cell r="F253">
            <v>6560.2</v>
          </cell>
          <cell r="G253">
            <v>8110.36</v>
          </cell>
          <cell r="H253">
            <v>9955.8799999999992</v>
          </cell>
          <cell r="I253">
            <v>12012.199999999999</v>
          </cell>
          <cell r="J253">
            <v>14162.599999999999</v>
          </cell>
          <cell r="K253">
            <v>15950.119999999999</v>
          </cell>
          <cell r="L253">
            <v>17657</v>
          </cell>
          <cell r="M253">
            <v>18974.12</v>
          </cell>
          <cell r="N253">
            <v>1800.96</v>
          </cell>
          <cell r="O253">
            <v>3548.16</v>
          </cell>
          <cell r="P253">
            <v>6142.08</v>
          </cell>
          <cell r="Q253">
            <v>8037.12</v>
          </cell>
          <cell r="R253">
            <v>9905.2800000000007</v>
          </cell>
          <cell r="S253">
            <v>11773.44</v>
          </cell>
          <cell r="T253">
            <v>13399.68</v>
          </cell>
          <cell r="U253">
            <v>15200.64</v>
          </cell>
          <cell r="V253">
            <v>17136</v>
          </cell>
          <cell r="W253">
            <v>18789.12</v>
          </cell>
          <cell r="X253">
            <v>20590.079999999998</v>
          </cell>
          <cell r="Y253">
            <v>22404.48</v>
          </cell>
          <cell r="Z253">
            <v>1962.24</v>
          </cell>
          <cell r="AA253">
            <v>3682.56</v>
          </cell>
          <cell r="AB253">
            <v>5644.8</v>
          </cell>
          <cell r="AC253">
            <v>7486.08</v>
          </cell>
          <cell r="AD253">
            <v>9757.44</v>
          </cell>
          <cell r="AE253">
            <v>12284.16</v>
          </cell>
          <cell r="AF253">
            <v>14232.96</v>
          </cell>
          <cell r="AG253">
            <v>16302.72</v>
          </cell>
          <cell r="AH253">
            <v>18009.599999999999</v>
          </cell>
          <cell r="AI253">
            <v>19756.8</v>
          </cell>
          <cell r="AJ253">
            <v>21288.959999999999</v>
          </cell>
          <cell r="AK253">
            <v>22824.11</v>
          </cell>
          <cell r="AL253">
            <v>1016.42</v>
          </cell>
          <cell r="AM253">
            <v>1513.59</v>
          </cell>
          <cell r="AN253">
            <v>1880.6299999999999</v>
          </cell>
          <cell r="AO253">
            <v>2108.1799999999998</v>
          </cell>
          <cell r="AP253">
            <v>2312.0699999999997</v>
          </cell>
          <cell r="AQ253">
            <v>2455.7699999999995</v>
          </cell>
          <cell r="AR253">
            <v>2496.8799999999997</v>
          </cell>
          <cell r="AS253">
            <v>2640.7799999999997</v>
          </cell>
          <cell r="AT253">
            <v>2711.56</v>
          </cell>
          <cell r="AU253">
            <v>2810.95</v>
          </cell>
          <cell r="AV253">
            <v>2917.37</v>
          </cell>
          <cell r="AW253">
            <v>3073.7599999999998</v>
          </cell>
          <cell r="AX253">
            <v>3102.95</v>
          </cell>
          <cell r="AY253">
            <v>3142.8399999999997</v>
          </cell>
          <cell r="AZ253">
            <v>3245.3599999999997</v>
          </cell>
          <cell r="BA253">
            <v>3347.6699999999996</v>
          </cell>
          <cell r="BB253">
            <v>3409.2499999999995</v>
          </cell>
        </row>
        <row r="254">
          <cell r="A254" t="str">
            <v>ytd</v>
          </cell>
          <cell r="B254">
            <v>1146.69</v>
          </cell>
          <cell r="C254">
            <v>2428.75</v>
          </cell>
          <cell r="D254">
            <v>3902.19</v>
          </cell>
          <cell r="E254">
            <v>5212.3099999999995</v>
          </cell>
          <cell r="F254">
            <v>6560.2</v>
          </cell>
          <cell r="G254">
            <v>8110.36</v>
          </cell>
          <cell r="H254">
            <v>9955.8799999999992</v>
          </cell>
          <cell r="I254">
            <v>12012.199999999999</v>
          </cell>
          <cell r="J254">
            <v>14162.599999999999</v>
          </cell>
          <cell r="K254">
            <v>15950.119999999999</v>
          </cell>
          <cell r="L254">
            <v>17657</v>
          </cell>
          <cell r="M254">
            <v>18974.12</v>
          </cell>
          <cell r="N254">
            <v>20775.079999999998</v>
          </cell>
          <cell r="O254">
            <v>22522.28</v>
          </cell>
          <cell r="P254">
            <v>25116.199999999997</v>
          </cell>
          <cell r="Q254">
            <v>27011.239999999998</v>
          </cell>
          <cell r="R254">
            <v>28879.399999999998</v>
          </cell>
          <cell r="S254">
            <v>30747.559999999998</v>
          </cell>
          <cell r="T254">
            <v>32373.8</v>
          </cell>
          <cell r="U254">
            <v>34174.76</v>
          </cell>
          <cell r="V254">
            <v>36110.120000000003</v>
          </cell>
          <cell r="W254">
            <v>37763.240000000005</v>
          </cell>
          <cell r="X254">
            <v>39564.200000000004</v>
          </cell>
          <cell r="Y254">
            <v>41378.600000000006</v>
          </cell>
          <cell r="Z254">
            <v>43340.840000000004</v>
          </cell>
          <cell r="AA254">
            <v>45061.16</v>
          </cell>
          <cell r="AB254">
            <v>47023.4</v>
          </cell>
          <cell r="AC254">
            <v>48864.68</v>
          </cell>
          <cell r="AD254">
            <v>51136.04</v>
          </cell>
          <cell r="AE254">
            <v>53662.76</v>
          </cell>
          <cell r="AF254">
            <v>55611.560000000005</v>
          </cell>
          <cell r="AG254">
            <v>57681.320000000007</v>
          </cell>
          <cell r="AH254">
            <v>59388.200000000004</v>
          </cell>
          <cell r="AI254">
            <v>61135.4</v>
          </cell>
          <cell r="AJ254">
            <v>62667.560000000005</v>
          </cell>
          <cell r="AK254">
            <v>64202.710000000006</v>
          </cell>
          <cell r="AL254">
            <v>65219.130000000005</v>
          </cell>
          <cell r="AM254">
            <v>65716.3</v>
          </cell>
          <cell r="AN254">
            <v>66083.34</v>
          </cell>
          <cell r="AO254">
            <v>66310.89</v>
          </cell>
          <cell r="AP254">
            <v>66514.78</v>
          </cell>
          <cell r="AQ254">
            <v>66658.48</v>
          </cell>
          <cell r="AR254">
            <v>66699.59</v>
          </cell>
          <cell r="AS254">
            <v>66843.489999999991</v>
          </cell>
          <cell r="AT254">
            <v>66914.26999999999</v>
          </cell>
          <cell r="AU254">
            <v>67013.659999999989</v>
          </cell>
          <cell r="AV254">
            <v>67120.079999999987</v>
          </cell>
          <cell r="AW254">
            <v>67276.469999999987</v>
          </cell>
          <cell r="AX254">
            <v>67305.659999999989</v>
          </cell>
          <cell r="AY254">
            <v>67345.549999999988</v>
          </cell>
          <cell r="AZ254">
            <v>67448.069999999992</v>
          </cell>
          <cell r="BA254">
            <v>67550.37999999999</v>
          </cell>
          <cell r="BB254">
            <v>67611.959999999992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194622.22</v>
          </cell>
          <cell r="C263">
            <v>247977.37</v>
          </cell>
          <cell r="D263">
            <v>226870.38</v>
          </cell>
          <cell r="E263">
            <v>214503.78999999998</v>
          </cell>
          <cell r="F263">
            <v>214982.38</v>
          </cell>
          <cell r="G263">
            <v>261507.25</v>
          </cell>
          <cell r="H263">
            <v>300172.62</v>
          </cell>
          <cell r="I263">
            <v>292306.05000000005</v>
          </cell>
          <cell r="J263">
            <v>315919.55000000005</v>
          </cell>
          <cell r="K263">
            <v>302693.48</v>
          </cell>
          <cell r="L263">
            <v>333610.44</v>
          </cell>
          <cell r="M263">
            <v>335696.86</v>
          </cell>
          <cell r="N263">
            <v>281545.33</v>
          </cell>
          <cell r="O263">
            <v>346951.48</v>
          </cell>
          <cell r="P263">
            <v>364065.48</v>
          </cell>
          <cell r="Q263">
            <v>355799.07999999996</v>
          </cell>
          <cell r="R263">
            <v>344539.28</v>
          </cell>
          <cell r="S263">
            <v>419400.73</v>
          </cell>
          <cell r="T263">
            <v>660159.9</v>
          </cell>
          <cell r="U263">
            <v>403306.14</v>
          </cell>
          <cell r="V263">
            <v>373704.12</v>
          </cell>
          <cell r="W263">
            <v>377734.43</v>
          </cell>
          <cell r="X263">
            <v>381081.81999999995</v>
          </cell>
          <cell r="Y263">
            <v>339115.49</v>
          </cell>
          <cell r="Z263">
            <v>393340.91000000003</v>
          </cell>
          <cell r="AA263">
            <v>427789.09</v>
          </cell>
          <cell r="AB263">
            <v>393817</v>
          </cell>
          <cell r="AC263">
            <v>357408.18</v>
          </cell>
          <cell r="AD263">
            <v>382247.07999999996</v>
          </cell>
          <cell r="AE263">
            <v>381889.24</v>
          </cell>
          <cell r="AF263">
            <v>408038.29000000004</v>
          </cell>
          <cell r="AG263">
            <v>416690.57</v>
          </cell>
          <cell r="AH263">
            <v>405342.93000000005</v>
          </cell>
          <cell r="AI263">
            <v>403462.61</v>
          </cell>
          <cell r="AJ263">
            <v>461550.28</v>
          </cell>
          <cell r="AK263">
            <v>715945.7</v>
          </cell>
          <cell r="AL263">
            <v>434370.53</v>
          </cell>
          <cell r="AM263">
            <v>434466.29000000004</v>
          </cell>
          <cell r="AN263">
            <v>452981.32999999996</v>
          </cell>
          <cell r="AO263">
            <v>415953.30999999994</v>
          </cell>
          <cell r="AP263">
            <v>350380.37</v>
          </cell>
          <cell r="AQ263">
            <v>376667.95</v>
          </cell>
          <cell r="AR263">
            <v>360543.87</v>
          </cell>
          <cell r="AS263">
            <v>354864.54</v>
          </cell>
          <cell r="AT263">
            <v>381220.81</v>
          </cell>
          <cell r="AU263">
            <v>467841.92000000004</v>
          </cell>
          <cell r="AV263">
            <v>574638.77</v>
          </cell>
          <cell r="AW263">
            <v>734471.92999999993</v>
          </cell>
          <cell r="AX263">
            <v>1271334.92</v>
          </cell>
          <cell r="AY263">
            <v>2394812.96</v>
          </cell>
          <cell r="AZ263">
            <v>4533997.97</v>
          </cell>
          <cell r="BA263">
            <v>4413409.1100000003</v>
          </cell>
          <cell r="BB263">
            <v>454369.57</v>
          </cell>
        </row>
        <row r="264">
          <cell r="A264" t="str">
            <v>ptd</v>
          </cell>
          <cell r="B264">
            <v>194622.22</v>
          </cell>
          <cell r="C264">
            <v>442599.59</v>
          </cell>
          <cell r="D264">
            <v>669469.97</v>
          </cell>
          <cell r="E264">
            <v>883973.76</v>
          </cell>
          <cell r="F264">
            <v>214982.38</v>
          </cell>
          <cell r="G264">
            <v>476489.63</v>
          </cell>
          <cell r="H264">
            <v>776662.25</v>
          </cell>
          <cell r="I264">
            <v>1068968.2999999998</v>
          </cell>
          <cell r="J264">
            <v>315919.55000000005</v>
          </cell>
          <cell r="K264">
            <v>618613.03</v>
          </cell>
          <cell r="L264">
            <v>952223.47</v>
          </cell>
          <cell r="M264">
            <v>1287920.33</v>
          </cell>
          <cell r="N264">
            <v>281545.33</v>
          </cell>
          <cell r="O264">
            <v>628496.81000000006</v>
          </cell>
          <cell r="P264">
            <v>992562.29</v>
          </cell>
          <cell r="Q264">
            <v>1348361.37</v>
          </cell>
          <cell r="R264">
            <v>344539.28</v>
          </cell>
          <cell r="S264">
            <v>763940.01</v>
          </cell>
          <cell r="T264">
            <v>1424099.9100000001</v>
          </cell>
          <cell r="U264">
            <v>1827406.05</v>
          </cell>
          <cell r="V264">
            <v>373704.12</v>
          </cell>
          <cell r="W264">
            <v>751438.55</v>
          </cell>
          <cell r="X264">
            <v>1132520.3699999999</v>
          </cell>
          <cell r="Y264">
            <v>1471635.8599999999</v>
          </cell>
          <cell r="Z264">
            <v>393340.91000000003</v>
          </cell>
          <cell r="AA264">
            <v>821130</v>
          </cell>
          <cell r="AB264">
            <v>1214947</v>
          </cell>
          <cell r="AC264">
            <v>1572355.18</v>
          </cell>
          <cell r="AD264">
            <v>382247.07999999996</v>
          </cell>
          <cell r="AE264">
            <v>764136.32000000007</v>
          </cell>
          <cell r="AF264">
            <v>1172174.6100000001</v>
          </cell>
          <cell r="AG264">
            <v>1588865.1800000002</v>
          </cell>
          <cell r="AH264">
            <v>405342.93000000005</v>
          </cell>
          <cell r="AI264">
            <v>808805.54</v>
          </cell>
          <cell r="AJ264">
            <v>1270355.8199999998</v>
          </cell>
          <cell r="AK264">
            <v>1986301.5199999996</v>
          </cell>
          <cell r="AL264">
            <v>434370.53</v>
          </cell>
          <cell r="AM264">
            <v>868836.82000000007</v>
          </cell>
          <cell r="AN264">
            <v>1321818.1499999999</v>
          </cell>
          <cell r="AO264">
            <v>1737771.46</v>
          </cell>
          <cell r="AP264">
            <v>350380.37</v>
          </cell>
          <cell r="AQ264">
            <v>727048.32000000007</v>
          </cell>
          <cell r="AR264">
            <v>1087592.19</v>
          </cell>
          <cell r="AS264">
            <v>1442456.73</v>
          </cell>
          <cell r="AT264">
            <v>381220.81</v>
          </cell>
          <cell r="AU264">
            <v>849062.73</v>
          </cell>
          <cell r="AV264">
            <v>1423701.5</v>
          </cell>
          <cell r="AW264">
            <v>2158173.4300000002</v>
          </cell>
          <cell r="AX264">
            <v>1271334.92</v>
          </cell>
          <cell r="AY264">
            <v>3666147.88</v>
          </cell>
          <cell r="AZ264">
            <v>8200145.8499999996</v>
          </cell>
          <cell r="BA264">
            <v>12613554.960000001</v>
          </cell>
          <cell r="BB264">
            <v>13067924.530000001</v>
          </cell>
        </row>
        <row r="265">
          <cell r="A265" t="str">
            <v>qtd</v>
          </cell>
          <cell r="B265">
            <v>194622.22</v>
          </cell>
          <cell r="C265">
            <v>442599.59</v>
          </cell>
          <cell r="D265">
            <v>669469.97</v>
          </cell>
          <cell r="E265">
            <v>883973.76</v>
          </cell>
          <cell r="F265">
            <v>1098956.1400000001</v>
          </cell>
          <cell r="G265">
            <v>1360463.3900000001</v>
          </cell>
          <cell r="H265">
            <v>1660636.0100000002</v>
          </cell>
          <cell r="I265">
            <v>1952942.06</v>
          </cell>
          <cell r="J265">
            <v>2268861.6100000003</v>
          </cell>
          <cell r="K265">
            <v>2571555.0900000003</v>
          </cell>
          <cell r="L265">
            <v>2905165.5300000003</v>
          </cell>
          <cell r="M265">
            <v>3240862.3900000006</v>
          </cell>
          <cell r="N265">
            <v>281545.33</v>
          </cell>
          <cell r="O265">
            <v>628496.81000000006</v>
          </cell>
          <cell r="P265">
            <v>992562.29</v>
          </cell>
          <cell r="Q265">
            <v>1348361.37</v>
          </cell>
          <cell r="R265">
            <v>1692900.6500000001</v>
          </cell>
          <cell r="S265">
            <v>2112301.38</v>
          </cell>
          <cell r="T265">
            <v>2772461.2800000003</v>
          </cell>
          <cell r="U265">
            <v>3175767.42</v>
          </cell>
          <cell r="V265">
            <v>3549471.54</v>
          </cell>
          <cell r="W265">
            <v>3927205.97</v>
          </cell>
          <cell r="X265">
            <v>4308287.79</v>
          </cell>
          <cell r="Y265">
            <v>4647403.28</v>
          </cell>
          <cell r="Z265">
            <v>393340.91000000003</v>
          </cell>
          <cell r="AA265">
            <v>821130</v>
          </cell>
          <cell r="AB265">
            <v>1214947</v>
          </cell>
          <cell r="AC265">
            <v>1572355.18</v>
          </cell>
          <cell r="AD265">
            <v>1954602.2599999998</v>
          </cell>
          <cell r="AE265">
            <v>2336491.5</v>
          </cell>
          <cell r="AF265">
            <v>2744529.79</v>
          </cell>
          <cell r="AG265">
            <v>3161220.36</v>
          </cell>
          <cell r="AH265">
            <v>3566563.29</v>
          </cell>
          <cell r="AI265">
            <v>3970025.9</v>
          </cell>
          <cell r="AJ265">
            <v>4431576.18</v>
          </cell>
          <cell r="AK265">
            <v>5147521.88</v>
          </cell>
          <cell r="AL265">
            <v>434370.53</v>
          </cell>
          <cell r="AM265">
            <v>868836.82000000007</v>
          </cell>
          <cell r="AN265">
            <v>1321818.1499999999</v>
          </cell>
          <cell r="AO265">
            <v>1737771.46</v>
          </cell>
          <cell r="AP265">
            <v>2088151.83</v>
          </cell>
          <cell r="AQ265">
            <v>2464819.7799999998</v>
          </cell>
          <cell r="AR265">
            <v>2825363.65</v>
          </cell>
          <cell r="AS265">
            <v>3180228.19</v>
          </cell>
          <cell r="AT265">
            <v>3561449</v>
          </cell>
          <cell r="AU265">
            <v>4029290.92</v>
          </cell>
          <cell r="AV265">
            <v>4603929.6899999995</v>
          </cell>
          <cell r="AW265">
            <v>5338401.6199999992</v>
          </cell>
          <cell r="AX265">
            <v>6609736.54</v>
          </cell>
          <cell r="AY265">
            <v>9004549.5</v>
          </cell>
          <cell r="AZ265">
            <v>13538547.470000001</v>
          </cell>
          <cell r="BA265">
            <v>17951956.580000002</v>
          </cell>
          <cell r="BB265">
            <v>18406326.149999999</v>
          </cell>
        </row>
        <row r="266">
          <cell r="A266" t="str">
            <v>ytd</v>
          </cell>
          <cell r="B266">
            <v>194622.22</v>
          </cell>
          <cell r="C266">
            <v>442599.59</v>
          </cell>
          <cell r="D266">
            <v>669469.97</v>
          </cell>
          <cell r="E266">
            <v>883973.76</v>
          </cell>
          <cell r="F266">
            <v>1098956.1400000001</v>
          </cell>
          <cell r="G266">
            <v>1360463.3900000001</v>
          </cell>
          <cell r="H266">
            <v>1660636.0100000002</v>
          </cell>
          <cell r="I266">
            <v>1952942.06</v>
          </cell>
          <cell r="J266">
            <v>2268861.6100000003</v>
          </cell>
          <cell r="K266">
            <v>2571555.0900000003</v>
          </cell>
          <cell r="L266">
            <v>2905165.5300000003</v>
          </cell>
          <cell r="M266">
            <v>3240862.3900000006</v>
          </cell>
          <cell r="N266">
            <v>3522407.7200000007</v>
          </cell>
          <cell r="O266">
            <v>3869359.2</v>
          </cell>
          <cell r="P266">
            <v>4233424.6800000006</v>
          </cell>
          <cell r="Q266">
            <v>4589223.7600000007</v>
          </cell>
          <cell r="R266">
            <v>4933763.040000001</v>
          </cell>
          <cell r="S266">
            <v>5353163.7700000005</v>
          </cell>
          <cell r="T266">
            <v>6013323.6699999999</v>
          </cell>
          <cell r="U266">
            <v>6416629.8100000005</v>
          </cell>
          <cell r="V266">
            <v>6790333.9300000016</v>
          </cell>
          <cell r="W266">
            <v>7168068.3600000013</v>
          </cell>
          <cell r="X266">
            <v>7549150.1800000016</v>
          </cell>
          <cell r="Y266">
            <v>7888265.6700000018</v>
          </cell>
          <cell r="Z266">
            <v>8281606.5800000019</v>
          </cell>
          <cell r="AA266">
            <v>8709395.6700000018</v>
          </cell>
          <cell r="AB266">
            <v>9103212.6700000018</v>
          </cell>
          <cell r="AC266">
            <v>9460620.8500000015</v>
          </cell>
          <cell r="AD266">
            <v>9842867.9300000016</v>
          </cell>
          <cell r="AE266">
            <v>10224757.170000002</v>
          </cell>
          <cell r="AF266">
            <v>10632795.460000001</v>
          </cell>
          <cell r="AG266">
            <v>11049486.030000001</v>
          </cell>
          <cell r="AH266">
            <v>11454828.960000001</v>
          </cell>
          <cell r="AI266">
            <v>11858291.57</v>
          </cell>
          <cell r="AJ266">
            <v>12319841.85</v>
          </cell>
          <cell r="AK266">
            <v>13035787.550000001</v>
          </cell>
          <cell r="AL266">
            <v>13470158.080000002</v>
          </cell>
          <cell r="AM266">
            <v>13904624.370000001</v>
          </cell>
          <cell r="AN266">
            <v>14357605.700000001</v>
          </cell>
          <cell r="AO266">
            <v>14773559.010000002</v>
          </cell>
          <cell r="AP266">
            <v>15123939.380000003</v>
          </cell>
          <cell r="AQ266">
            <v>15500607.330000002</v>
          </cell>
          <cell r="AR266">
            <v>15861151.200000003</v>
          </cell>
          <cell r="AS266">
            <v>16216015.740000002</v>
          </cell>
          <cell r="AT266">
            <v>16597236.550000001</v>
          </cell>
          <cell r="AU266">
            <v>17065078.470000003</v>
          </cell>
          <cell r="AV266">
            <v>17639717.240000002</v>
          </cell>
          <cell r="AW266">
            <v>18374189.170000002</v>
          </cell>
          <cell r="AX266">
            <v>19645524.090000004</v>
          </cell>
          <cell r="AY266">
            <v>22040337.050000004</v>
          </cell>
          <cell r="AZ266">
            <v>26574335.020000003</v>
          </cell>
          <cell r="BA266">
            <v>30987744.130000003</v>
          </cell>
          <cell r="BB266">
            <v>31442113.700000003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K273">
            <v>444.39</v>
          </cell>
          <cell r="L273">
            <v>604.62</v>
          </cell>
          <cell r="N273">
            <v>517.27</v>
          </cell>
          <cell r="O273">
            <v>444.39</v>
          </cell>
          <cell r="P273">
            <v>575.54</v>
          </cell>
          <cell r="Q273">
            <v>735.85</v>
          </cell>
          <cell r="R273">
            <v>852.37</v>
          </cell>
          <cell r="S273">
            <v>4152.5600000000004</v>
          </cell>
          <cell r="T273">
            <v>7969.93</v>
          </cell>
          <cell r="U273">
            <v>8086.46</v>
          </cell>
          <cell r="V273">
            <v>19545.95</v>
          </cell>
          <cell r="W273">
            <v>9062.64</v>
          </cell>
          <cell r="X273">
            <v>9492.5</v>
          </cell>
          <cell r="Y273">
            <v>9462.49</v>
          </cell>
          <cell r="Z273">
            <v>6736.78</v>
          </cell>
          <cell r="AA273">
            <v>10089.540000000001</v>
          </cell>
          <cell r="AB273">
            <v>13607.35</v>
          </cell>
          <cell r="AC273">
            <v>10519.11</v>
          </cell>
          <cell r="AD273">
            <v>9295.57</v>
          </cell>
          <cell r="AE273">
            <v>9222.93</v>
          </cell>
          <cell r="AF273">
            <v>9295.3799999999992</v>
          </cell>
          <cell r="AG273">
            <v>8267.84</v>
          </cell>
          <cell r="AH273">
            <v>9943.7199999999993</v>
          </cell>
          <cell r="AI273">
            <v>10650.41</v>
          </cell>
          <cell r="AJ273">
            <v>10891.14</v>
          </cell>
          <cell r="AK273">
            <v>7941.87</v>
          </cell>
          <cell r="AL273">
            <v>7030.8</v>
          </cell>
          <cell r="AM273">
            <v>7591.01</v>
          </cell>
          <cell r="AN273">
            <v>7458.61</v>
          </cell>
          <cell r="AO273">
            <v>7765.66</v>
          </cell>
          <cell r="AP273">
            <v>8444.25</v>
          </cell>
          <cell r="AQ273">
            <v>7834.13</v>
          </cell>
          <cell r="AR273">
            <v>7858.87</v>
          </cell>
          <cell r="AS273">
            <v>9753.0300000000007</v>
          </cell>
          <cell r="AT273">
            <v>10655.98</v>
          </cell>
          <cell r="AU273">
            <v>11514.1</v>
          </cell>
          <cell r="AV273">
            <v>14607.9</v>
          </cell>
          <cell r="AW273">
            <v>21850.39</v>
          </cell>
          <cell r="AX273">
            <v>38690.089999999997</v>
          </cell>
          <cell r="AY273">
            <v>64644.7</v>
          </cell>
          <cell r="AZ273">
            <v>127891.18</v>
          </cell>
          <cell r="BA273">
            <v>240821.13</v>
          </cell>
          <cell r="BB273">
            <v>64209</v>
          </cell>
        </row>
        <row r="274">
          <cell r="A274" t="str">
            <v>ptd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444.39</v>
          </cell>
          <cell r="L274">
            <v>1049.01</v>
          </cell>
          <cell r="M274">
            <v>1049.01</v>
          </cell>
          <cell r="N274">
            <v>517.27</v>
          </cell>
          <cell r="O274">
            <v>961.66</v>
          </cell>
          <cell r="P274">
            <v>1537.1999999999998</v>
          </cell>
          <cell r="Q274">
            <v>2273.0499999999997</v>
          </cell>
          <cell r="R274">
            <v>852.37</v>
          </cell>
          <cell r="S274">
            <v>5004.93</v>
          </cell>
          <cell r="T274">
            <v>12974.86</v>
          </cell>
          <cell r="U274">
            <v>21061.32</v>
          </cell>
          <cell r="V274">
            <v>19545.95</v>
          </cell>
          <cell r="W274">
            <v>28608.59</v>
          </cell>
          <cell r="X274">
            <v>38101.089999999997</v>
          </cell>
          <cell r="Y274">
            <v>47563.579999999994</v>
          </cell>
          <cell r="Z274">
            <v>6736.78</v>
          </cell>
          <cell r="AA274">
            <v>16826.32</v>
          </cell>
          <cell r="AB274">
            <v>30433.67</v>
          </cell>
          <cell r="AC274">
            <v>40952.78</v>
          </cell>
          <cell r="AD274">
            <v>9295.57</v>
          </cell>
          <cell r="AE274">
            <v>18518.5</v>
          </cell>
          <cell r="AF274">
            <v>27813.879999999997</v>
          </cell>
          <cell r="AG274">
            <v>36081.72</v>
          </cell>
          <cell r="AH274">
            <v>9943.7199999999993</v>
          </cell>
          <cell r="AI274">
            <v>20594.129999999997</v>
          </cell>
          <cell r="AJ274">
            <v>31485.269999999997</v>
          </cell>
          <cell r="AK274">
            <v>39427.14</v>
          </cell>
          <cell r="AL274">
            <v>7030.8</v>
          </cell>
          <cell r="AM274">
            <v>14621.810000000001</v>
          </cell>
          <cell r="AN274">
            <v>22080.420000000002</v>
          </cell>
          <cell r="AO274">
            <v>29846.080000000002</v>
          </cell>
          <cell r="AP274">
            <v>8444.25</v>
          </cell>
          <cell r="AQ274">
            <v>16278.380000000001</v>
          </cell>
          <cell r="AR274">
            <v>24137.25</v>
          </cell>
          <cell r="AS274">
            <v>33890.28</v>
          </cell>
          <cell r="AT274">
            <v>10655.98</v>
          </cell>
          <cell r="AU274">
            <v>22170.080000000002</v>
          </cell>
          <cell r="AV274">
            <v>36777.980000000003</v>
          </cell>
          <cell r="AW274">
            <v>58628.37</v>
          </cell>
          <cell r="AX274">
            <v>38690.089999999997</v>
          </cell>
          <cell r="AY274">
            <v>103334.79</v>
          </cell>
          <cell r="AZ274">
            <v>231225.96999999997</v>
          </cell>
          <cell r="BA274">
            <v>472047.1</v>
          </cell>
          <cell r="BB274">
            <v>536256.1</v>
          </cell>
        </row>
        <row r="275">
          <cell r="A275" t="str">
            <v>qtd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444.39</v>
          </cell>
          <cell r="L275">
            <v>1049.01</v>
          </cell>
          <cell r="M275">
            <v>1049.01</v>
          </cell>
          <cell r="N275">
            <v>517.27</v>
          </cell>
          <cell r="O275">
            <v>961.66</v>
          </cell>
          <cell r="P275">
            <v>1537.1999999999998</v>
          </cell>
          <cell r="Q275">
            <v>2273.0499999999997</v>
          </cell>
          <cell r="R275">
            <v>3125.4199999999996</v>
          </cell>
          <cell r="S275">
            <v>7277.98</v>
          </cell>
          <cell r="T275">
            <v>15247.91</v>
          </cell>
          <cell r="U275">
            <v>23334.37</v>
          </cell>
          <cell r="V275">
            <v>42880.32</v>
          </cell>
          <cell r="W275">
            <v>51942.96</v>
          </cell>
          <cell r="X275">
            <v>61435.46</v>
          </cell>
          <cell r="Y275">
            <v>70897.95</v>
          </cell>
          <cell r="Z275">
            <v>6736.78</v>
          </cell>
          <cell r="AA275">
            <v>16826.32</v>
          </cell>
          <cell r="AB275">
            <v>30433.67</v>
          </cell>
          <cell r="AC275">
            <v>40952.78</v>
          </cell>
          <cell r="AD275">
            <v>50248.35</v>
          </cell>
          <cell r="AE275">
            <v>59471.28</v>
          </cell>
          <cell r="AF275">
            <v>68766.66</v>
          </cell>
          <cell r="AG275">
            <v>77034.5</v>
          </cell>
          <cell r="AH275">
            <v>86978.22</v>
          </cell>
          <cell r="AI275">
            <v>97628.63</v>
          </cell>
          <cell r="AJ275">
            <v>108519.77</v>
          </cell>
          <cell r="AK275">
            <v>116461.64</v>
          </cell>
          <cell r="AL275">
            <v>7030.8</v>
          </cell>
          <cell r="AM275">
            <v>14621.810000000001</v>
          </cell>
          <cell r="AN275">
            <v>22080.420000000002</v>
          </cell>
          <cell r="AO275">
            <v>29846.080000000002</v>
          </cell>
          <cell r="AP275">
            <v>38290.33</v>
          </cell>
          <cell r="AQ275">
            <v>46124.46</v>
          </cell>
          <cell r="AR275">
            <v>53983.33</v>
          </cell>
          <cell r="AS275">
            <v>63736.36</v>
          </cell>
          <cell r="AT275">
            <v>74392.34</v>
          </cell>
          <cell r="AU275">
            <v>85906.44</v>
          </cell>
          <cell r="AV275">
            <v>100514.34</v>
          </cell>
          <cell r="AW275">
            <v>122364.73</v>
          </cell>
          <cell r="AX275">
            <v>161054.82</v>
          </cell>
          <cell r="AY275">
            <v>225699.52000000002</v>
          </cell>
          <cell r="AZ275">
            <v>353590.7</v>
          </cell>
          <cell r="BA275">
            <v>594411.83000000007</v>
          </cell>
          <cell r="BB275">
            <v>658620.83000000007</v>
          </cell>
        </row>
        <row r="276">
          <cell r="A276" t="str">
            <v>ytd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444.39</v>
          </cell>
          <cell r="L276">
            <v>1049.01</v>
          </cell>
          <cell r="M276">
            <v>1049.01</v>
          </cell>
          <cell r="N276">
            <v>1566.28</v>
          </cell>
          <cell r="O276">
            <v>2010.67</v>
          </cell>
          <cell r="P276">
            <v>2586.21</v>
          </cell>
          <cell r="Q276">
            <v>3322.06</v>
          </cell>
          <cell r="R276">
            <v>4174.43</v>
          </cell>
          <cell r="S276">
            <v>8326.9900000000016</v>
          </cell>
          <cell r="T276">
            <v>16296.920000000002</v>
          </cell>
          <cell r="U276">
            <v>24383.38</v>
          </cell>
          <cell r="V276">
            <v>43929.33</v>
          </cell>
          <cell r="W276">
            <v>52991.97</v>
          </cell>
          <cell r="X276">
            <v>62484.47</v>
          </cell>
          <cell r="Y276">
            <v>71946.960000000006</v>
          </cell>
          <cell r="Z276">
            <v>78683.740000000005</v>
          </cell>
          <cell r="AA276">
            <v>88773.28</v>
          </cell>
          <cell r="AB276">
            <v>102380.63</v>
          </cell>
          <cell r="AC276">
            <v>112899.74</v>
          </cell>
          <cell r="AD276">
            <v>122195.31</v>
          </cell>
          <cell r="AE276">
            <v>131418.23999999999</v>
          </cell>
          <cell r="AF276">
            <v>140713.62</v>
          </cell>
          <cell r="AG276">
            <v>148981.46</v>
          </cell>
          <cell r="AH276">
            <v>158925.18</v>
          </cell>
          <cell r="AI276">
            <v>169575.59</v>
          </cell>
          <cell r="AJ276">
            <v>180466.72999999998</v>
          </cell>
          <cell r="AK276">
            <v>188408.59999999998</v>
          </cell>
          <cell r="AL276">
            <v>195439.39999999997</v>
          </cell>
          <cell r="AM276">
            <v>203030.40999999997</v>
          </cell>
          <cell r="AN276">
            <v>210489.01999999996</v>
          </cell>
          <cell r="AO276">
            <v>218254.67999999996</v>
          </cell>
          <cell r="AP276">
            <v>226698.92999999996</v>
          </cell>
          <cell r="AQ276">
            <v>234533.05999999997</v>
          </cell>
          <cell r="AR276">
            <v>242391.92999999996</v>
          </cell>
          <cell r="AS276">
            <v>252144.95999999996</v>
          </cell>
          <cell r="AT276">
            <v>262800.93999999994</v>
          </cell>
          <cell r="AU276">
            <v>274315.03999999992</v>
          </cell>
          <cell r="AV276">
            <v>288922.93999999994</v>
          </cell>
          <cell r="AW276">
            <v>310773.32999999996</v>
          </cell>
          <cell r="AX276">
            <v>349463.41999999993</v>
          </cell>
          <cell r="AY276">
            <v>414108.11999999994</v>
          </cell>
          <cell r="AZ276">
            <v>541999.29999999993</v>
          </cell>
          <cell r="BA276">
            <v>782820.42999999993</v>
          </cell>
          <cell r="BB276">
            <v>847029.42999999993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UNKNOWN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444.39</v>
          </cell>
          <cell r="L301">
            <v>604.62</v>
          </cell>
          <cell r="M301">
            <v>0</v>
          </cell>
          <cell r="N301">
            <v>517.27</v>
          </cell>
          <cell r="O301">
            <v>444.39</v>
          </cell>
          <cell r="P301">
            <v>575.54</v>
          </cell>
          <cell r="Q301">
            <v>735.85</v>
          </cell>
          <cell r="R301">
            <v>852.37</v>
          </cell>
          <cell r="S301">
            <v>4152.5600000000004</v>
          </cell>
          <cell r="T301">
            <v>7969.93</v>
          </cell>
          <cell r="U301">
            <v>8086.46</v>
          </cell>
          <cell r="V301">
            <v>19545.95</v>
          </cell>
          <cell r="W301">
            <v>9062.64</v>
          </cell>
          <cell r="X301">
            <v>9492.5</v>
          </cell>
          <cell r="Y301">
            <v>9462.49</v>
          </cell>
          <cell r="Z301">
            <v>6736.78</v>
          </cell>
          <cell r="AA301">
            <v>10089.540000000001</v>
          </cell>
          <cell r="AB301">
            <v>13607.35</v>
          </cell>
          <cell r="AC301">
            <v>10519.11</v>
          </cell>
          <cell r="AD301">
            <v>9295.57</v>
          </cell>
          <cell r="AE301">
            <v>9222.93</v>
          </cell>
          <cell r="AF301">
            <v>9295.3799999999992</v>
          </cell>
          <cell r="AG301">
            <v>8267.84</v>
          </cell>
          <cell r="AH301">
            <v>9943.7199999999993</v>
          </cell>
          <cell r="AI301">
            <v>10650.41</v>
          </cell>
          <cell r="AJ301">
            <v>10891.14</v>
          </cell>
          <cell r="AK301">
            <v>7941.87</v>
          </cell>
          <cell r="AL301">
            <v>7030.8</v>
          </cell>
          <cell r="AM301">
            <v>7591.01</v>
          </cell>
          <cell r="AN301">
            <v>7458.61</v>
          </cell>
          <cell r="AO301">
            <v>7765.66</v>
          </cell>
          <cell r="AP301">
            <v>8444.25</v>
          </cell>
          <cell r="AQ301">
            <v>7834.13</v>
          </cell>
          <cell r="AR301">
            <v>7858.87</v>
          </cell>
          <cell r="AS301">
            <v>9753.0300000000007</v>
          </cell>
          <cell r="AT301">
            <v>10655.98</v>
          </cell>
          <cell r="AU301">
            <v>11514.1</v>
          </cell>
          <cell r="AV301">
            <v>14607.9</v>
          </cell>
          <cell r="AW301">
            <v>21850.39</v>
          </cell>
          <cell r="AX301">
            <v>38690.089999999997</v>
          </cell>
          <cell r="AY301">
            <v>64644.7</v>
          </cell>
          <cell r="AZ301">
            <v>127891.18</v>
          </cell>
          <cell r="BA301">
            <v>240821.13</v>
          </cell>
          <cell r="BB301">
            <v>64209</v>
          </cell>
        </row>
        <row r="302">
          <cell r="A302" t="str">
            <v>ptd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444.39</v>
          </cell>
          <cell r="L302">
            <v>1049.01</v>
          </cell>
          <cell r="M302">
            <v>1049.01</v>
          </cell>
          <cell r="N302">
            <v>517.27</v>
          </cell>
          <cell r="O302">
            <v>961.66</v>
          </cell>
          <cell r="P302">
            <v>1537.1999999999998</v>
          </cell>
          <cell r="Q302">
            <v>2273.0499999999997</v>
          </cell>
          <cell r="R302">
            <v>852.37</v>
          </cell>
          <cell r="S302">
            <v>5004.93</v>
          </cell>
          <cell r="T302">
            <v>12974.86</v>
          </cell>
          <cell r="U302">
            <v>21061.32</v>
          </cell>
          <cell r="V302">
            <v>19545.95</v>
          </cell>
          <cell r="W302">
            <v>28608.59</v>
          </cell>
          <cell r="X302">
            <v>38101.089999999997</v>
          </cell>
          <cell r="Y302">
            <v>47563.579999999994</v>
          </cell>
          <cell r="Z302">
            <v>6736.78</v>
          </cell>
          <cell r="AA302">
            <v>16826.32</v>
          </cell>
          <cell r="AB302">
            <v>30433.67</v>
          </cell>
          <cell r="AC302">
            <v>40952.78</v>
          </cell>
          <cell r="AD302">
            <v>9295.57</v>
          </cell>
          <cell r="AE302">
            <v>18518.5</v>
          </cell>
          <cell r="AF302">
            <v>27813.879999999997</v>
          </cell>
          <cell r="AG302">
            <v>36081.72</v>
          </cell>
          <cell r="AH302">
            <v>9943.7199999999993</v>
          </cell>
          <cell r="AI302">
            <v>20594.129999999997</v>
          </cell>
          <cell r="AJ302">
            <v>31485.269999999997</v>
          </cell>
          <cell r="AK302">
            <v>39427.14</v>
          </cell>
          <cell r="AL302">
            <v>7030.8</v>
          </cell>
          <cell r="AM302">
            <v>14621.810000000001</v>
          </cell>
          <cell r="AN302">
            <v>22080.420000000002</v>
          </cell>
          <cell r="AO302">
            <v>29846.080000000002</v>
          </cell>
          <cell r="AP302">
            <v>8444.25</v>
          </cell>
          <cell r="AQ302">
            <v>16278.380000000001</v>
          </cell>
          <cell r="AR302">
            <v>24137.25</v>
          </cell>
          <cell r="AS302">
            <v>33890.28</v>
          </cell>
          <cell r="AT302">
            <v>10655.98</v>
          </cell>
          <cell r="AU302">
            <v>22170.080000000002</v>
          </cell>
          <cell r="AV302">
            <v>36777.980000000003</v>
          </cell>
          <cell r="AW302">
            <v>58628.37</v>
          </cell>
          <cell r="AX302">
            <v>38690.089999999997</v>
          </cell>
          <cell r="AY302">
            <v>103334.79</v>
          </cell>
          <cell r="AZ302">
            <v>231225.96999999997</v>
          </cell>
          <cell r="BA302">
            <v>472047.1</v>
          </cell>
          <cell r="BB302">
            <v>536256.1</v>
          </cell>
        </row>
        <row r="303">
          <cell r="A303" t="str">
            <v>qtd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444.39</v>
          </cell>
          <cell r="L303">
            <v>1049.01</v>
          </cell>
          <cell r="M303">
            <v>1049.01</v>
          </cell>
          <cell r="N303">
            <v>517.27</v>
          </cell>
          <cell r="O303">
            <v>961.66</v>
          </cell>
          <cell r="P303">
            <v>1537.1999999999998</v>
          </cell>
          <cell r="Q303">
            <v>2273.0499999999997</v>
          </cell>
          <cell r="R303">
            <v>3125.4199999999996</v>
          </cell>
          <cell r="S303">
            <v>7277.98</v>
          </cell>
          <cell r="T303">
            <v>15247.91</v>
          </cell>
          <cell r="U303">
            <v>23334.37</v>
          </cell>
          <cell r="V303">
            <v>42880.32</v>
          </cell>
          <cell r="W303">
            <v>51942.96</v>
          </cell>
          <cell r="X303">
            <v>61435.46</v>
          </cell>
          <cell r="Y303">
            <v>70897.95</v>
          </cell>
          <cell r="Z303">
            <v>6736.78</v>
          </cell>
          <cell r="AA303">
            <v>16826.32</v>
          </cell>
          <cell r="AB303">
            <v>30433.67</v>
          </cell>
          <cell r="AC303">
            <v>40952.78</v>
          </cell>
          <cell r="AD303">
            <v>50248.35</v>
          </cell>
          <cell r="AE303">
            <v>59471.28</v>
          </cell>
          <cell r="AF303">
            <v>68766.66</v>
          </cell>
          <cell r="AG303">
            <v>77034.5</v>
          </cell>
          <cell r="AH303">
            <v>86978.22</v>
          </cell>
          <cell r="AI303">
            <v>97628.63</v>
          </cell>
          <cell r="AJ303">
            <v>108519.77</v>
          </cell>
          <cell r="AK303">
            <v>116461.64</v>
          </cell>
          <cell r="AL303">
            <v>7030.8</v>
          </cell>
          <cell r="AM303">
            <v>14621.810000000001</v>
          </cell>
          <cell r="AN303">
            <v>22080.420000000002</v>
          </cell>
          <cell r="AO303">
            <v>29846.080000000002</v>
          </cell>
          <cell r="AP303">
            <v>38290.33</v>
          </cell>
          <cell r="AQ303">
            <v>46124.46</v>
          </cell>
          <cell r="AR303">
            <v>53983.33</v>
          </cell>
          <cell r="AS303">
            <v>63736.36</v>
          </cell>
          <cell r="AT303">
            <v>74392.34</v>
          </cell>
          <cell r="AU303">
            <v>85906.44</v>
          </cell>
          <cell r="AV303">
            <v>100514.34</v>
          </cell>
          <cell r="AW303">
            <v>122364.73</v>
          </cell>
          <cell r="AX303">
            <v>161054.82</v>
          </cell>
          <cell r="AY303">
            <v>225699.52000000002</v>
          </cell>
          <cell r="AZ303">
            <v>353590.7</v>
          </cell>
          <cell r="BA303">
            <v>594411.83000000007</v>
          </cell>
          <cell r="BB303">
            <v>658620.83000000007</v>
          </cell>
        </row>
        <row r="304">
          <cell r="A304" t="str">
            <v>ytd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444.39</v>
          </cell>
          <cell r="L304">
            <v>1049.01</v>
          </cell>
          <cell r="M304">
            <v>1049.01</v>
          </cell>
          <cell r="N304">
            <v>1566.28</v>
          </cell>
          <cell r="O304">
            <v>2010.67</v>
          </cell>
          <cell r="P304">
            <v>2586.21</v>
          </cell>
          <cell r="Q304">
            <v>3322.06</v>
          </cell>
          <cell r="R304">
            <v>4174.43</v>
          </cell>
          <cell r="S304">
            <v>8326.9900000000016</v>
          </cell>
          <cell r="T304">
            <v>16296.920000000002</v>
          </cell>
          <cell r="U304">
            <v>24383.38</v>
          </cell>
          <cell r="V304">
            <v>43929.33</v>
          </cell>
          <cell r="W304">
            <v>52991.97</v>
          </cell>
          <cell r="X304">
            <v>62484.47</v>
          </cell>
          <cell r="Y304">
            <v>71946.960000000006</v>
          </cell>
          <cell r="Z304">
            <v>78683.740000000005</v>
          </cell>
          <cell r="AA304">
            <v>88773.28</v>
          </cell>
          <cell r="AB304">
            <v>102380.63</v>
          </cell>
          <cell r="AC304">
            <v>112899.74</v>
          </cell>
          <cell r="AD304">
            <v>122195.31</v>
          </cell>
          <cell r="AE304">
            <v>131418.23999999999</v>
          </cell>
          <cell r="AF304">
            <v>140713.62</v>
          </cell>
          <cell r="AG304">
            <v>148981.46</v>
          </cell>
          <cell r="AH304">
            <v>158925.18</v>
          </cell>
          <cell r="AI304">
            <v>169575.59</v>
          </cell>
          <cell r="AJ304">
            <v>180466.72999999998</v>
          </cell>
          <cell r="AK304">
            <v>188408.59999999998</v>
          </cell>
          <cell r="AL304">
            <v>195439.39999999997</v>
          </cell>
          <cell r="AM304">
            <v>203030.40999999997</v>
          </cell>
          <cell r="AN304">
            <v>210489.01999999996</v>
          </cell>
          <cell r="AO304">
            <v>218254.67999999996</v>
          </cell>
          <cell r="AP304">
            <v>226698.92999999996</v>
          </cell>
          <cell r="AQ304">
            <v>234533.05999999997</v>
          </cell>
          <cell r="AR304">
            <v>242391.92999999996</v>
          </cell>
          <cell r="AS304">
            <v>252144.95999999996</v>
          </cell>
          <cell r="AT304">
            <v>262800.93999999994</v>
          </cell>
          <cell r="AU304">
            <v>274315.03999999992</v>
          </cell>
          <cell r="AV304">
            <v>288922.93999999994</v>
          </cell>
          <cell r="AW304">
            <v>310773.32999999996</v>
          </cell>
          <cell r="AX304">
            <v>349463.41999999993</v>
          </cell>
          <cell r="AY304">
            <v>414108.11999999994</v>
          </cell>
          <cell r="AZ304">
            <v>541999.29999999993</v>
          </cell>
          <cell r="BA304">
            <v>782820.42999999993</v>
          </cell>
          <cell r="BB304">
            <v>847029.42999999993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36.520000000000003</v>
          </cell>
          <cell r="E421">
            <v>330.12</v>
          </cell>
          <cell r="F421">
            <v>0</v>
          </cell>
          <cell r="G421">
            <v>111.36</v>
          </cell>
          <cell r="H421">
            <v>0</v>
          </cell>
          <cell r="I421">
            <v>0</v>
          </cell>
          <cell r="J421">
            <v>0</v>
          </cell>
          <cell r="K421">
            <v>37.200000000000003</v>
          </cell>
          <cell r="L421">
            <v>37.200000000000003</v>
          </cell>
          <cell r="M421">
            <v>0</v>
          </cell>
          <cell r="N421">
            <v>0</v>
          </cell>
          <cell r="O421">
            <v>111.6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111.6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36.520000000000003</v>
          </cell>
          <cell r="E422">
            <v>366.64</v>
          </cell>
          <cell r="F422">
            <v>0</v>
          </cell>
          <cell r="G422">
            <v>111.36</v>
          </cell>
          <cell r="H422">
            <v>111.36</v>
          </cell>
          <cell r="I422">
            <v>111.36</v>
          </cell>
          <cell r="J422">
            <v>0</v>
          </cell>
          <cell r="K422">
            <v>37.200000000000003</v>
          </cell>
          <cell r="L422">
            <v>74.400000000000006</v>
          </cell>
          <cell r="M422">
            <v>74.400000000000006</v>
          </cell>
          <cell r="N422">
            <v>0</v>
          </cell>
          <cell r="O422">
            <v>111.6</v>
          </cell>
          <cell r="P422">
            <v>111.6</v>
          </cell>
          <cell r="Q422">
            <v>111.6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111.6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36.520000000000003</v>
          </cell>
          <cell r="E423">
            <v>366.64</v>
          </cell>
          <cell r="F423">
            <v>366.64</v>
          </cell>
          <cell r="G423">
            <v>478</v>
          </cell>
          <cell r="H423">
            <v>478</v>
          </cell>
          <cell r="I423">
            <v>478</v>
          </cell>
          <cell r="J423">
            <v>478</v>
          </cell>
          <cell r="K423">
            <v>515.20000000000005</v>
          </cell>
          <cell r="L423">
            <v>552.40000000000009</v>
          </cell>
          <cell r="M423">
            <v>552.40000000000009</v>
          </cell>
          <cell r="N423">
            <v>0</v>
          </cell>
          <cell r="O423">
            <v>111.6</v>
          </cell>
          <cell r="P423">
            <v>111.6</v>
          </cell>
          <cell r="Q423">
            <v>111.6</v>
          </cell>
          <cell r="R423">
            <v>111.6</v>
          </cell>
          <cell r="S423">
            <v>111.6</v>
          </cell>
          <cell r="T423">
            <v>111.6</v>
          </cell>
          <cell r="U423">
            <v>111.6</v>
          </cell>
          <cell r="V423">
            <v>111.6</v>
          </cell>
          <cell r="W423">
            <v>111.6</v>
          </cell>
          <cell r="X423">
            <v>111.6</v>
          </cell>
          <cell r="Y423">
            <v>223.2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36.520000000000003</v>
          </cell>
          <cell r="E424">
            <v>366.64</v>
          </cell>
          <cell r="F424">
            <v>366.64</v>
          </cell>
          <cell r="G424">
            <v>478</v>
          </cell>
          <cell r="H424">
            <v>478</v>
          </cell>
          <cell r="I424">
            <v>478</v>
          </cell>
          <cell r="J424">
            <v>478</v>
          </cell>
          <cell r="K424">
            <v>515.20000000000005</v>
          </cell>
          <cell r="L424">
            <v>552.40000000000009</v>
          </cell>
          <cell r="M424">
            <v>552.40000000000009</v>
          </cell>
          <cell r="N424">
            <v>552.40000000000009</v>
          </cell>
          <cell r="O424">
            <v>664.00000000000011</v>
          </cell>
          <cell r="P424">
            <v>664.00000000000011</v>
          </cell>
          <cell r="Q424">
            <v>664.00000000000011</v>
          </cell>
          <cell r="R424">
            <v>664.00000000000011</v>
          </cell>
          <cell r="S424">
            <v>664.00000000000011</v>
          </cell>
          <cell r="T424">
            <v>664.00000000000011</v>
          </cell>
          <cell r="U424">
            <v>664.00000000000011</v>
          </cell>
          <cell r="V424">
            <v>664.00000000000011</v>
          </cell>
          <cell r="W424">
            <v>664.00000000000011</v>
          </cell>
          <cell r="X424">
            <v>664.00000000000011</v>
          </cell>
          <cell r="Y424">
            <v>775.60000000000014</v>
          </cell>
          <cell r="Z424">
            <v>775.60000000000014</v>
          </cell>
          <cell r="AA424">
            <v>775.60000000000014</v>
          </cell>
          <cell r="AB424">
            <v>775.60000000000014</v>
          </cell>
          <cell r="AC424">
            <v>775.60000000000014</v>
          </cell>
          <cell r="AD424">
            <v>775.60000000000014</v>
          </cell>
          <cell r="AE424">
            <v>775.60000000000014</v>
          </cell>
          <cell r="AF424">
            <v>775.60000000000014</v>
          </cell>
          <cell r="AG424">
            <v>775.60000000000014</v>
          </cell>
          <cell r="AH424">
            <v>775.60000000000014</v>
          </cell>
          <cell r="AI424">
            <v>775.60000000000014</v>
          </cell>
          <cell r="AJ424">
            <v>775.60000000000014</v>
          </cell>
          <cell r="AK424">
            <v>775.60000000000014</v>
          </cell>
          <cell r="AL424">
            <v>775.60000000000014</v>
          </cell>
          <cell r="AM424">
            <v>775.60000000000014</v>
          </cell>
          <cell r="AN424">
            <v>775.60000000000014</v>
          </cell>
          <cell r="AO424">
            <v>775.60000000000014</v>
          </cell>
          <cell r="AP424">
            <v>775.60000000000014</v>
          </cell>
          <cell r="AQ424">
            <v>775.60000000000014</v>
          </cell>
          <cell r="AR424">
            <v>775.60000000000014</v>
          </cell>
          <cell r="AS424">
            <v>775.60000000000014</v>
          </cell>
          <cell r="AT424">
            <v>775.60000000000014</v>
          </cell>
          <cell r="AU424">
            <v>775.60000000000014</v>
          </cell>
          <cell r="AV424">
            <v>775.60000000000014</v>
          </cell>
          <cell r="AW424">
            <v>775.60000000000014</v>
          </cell>
          <cell r="AX424">
            <v>775.60000000000014</v>
          </cell>
          <cell r="AY424">
            <v>775.60000000000014</v>
          </cell>
          <cell r="AZ424">
            <v>775.60000000000014</v>
          </cell>
          <cell r="BA424">
            <v>775.60000000000014</v>
          </cell>
          <cell r="BB424">
            <v>775.60000000000014</v>
          </cell>
        </row>
        <row r="425">
          <cell r="A425" t="str">
            <v>PART</v>
          </cell>
          <cell r="B425">
            <v>165847.14000000001</v>
          </cell>
          <cell r="C425">
            <v>192275.12</v>
          </cell>
          <cell r="D425">
            <v>192323.31</v>
          </cell>
          <cell r="E425">
            <v>195822.84</v>
          </cell>
          <cell r="F425">
            <v>201358.53</v>
          </cell>
          <cell r="G425">
            <v>235079.21000000002</v>
          </cell>
          <cell r="H425">
            <v>304739.33</v>
          </cell>
          <cell r="I425">
            <v>249127.46</v>
          </cell>
          <cell r="J425">
            <v>341240.67000000004</v>
          </cell>
          <cell r="K425">
            <v>279173.81</v>
          </cell>
          <cell r="L425">
            <v>290180.74</v>
          </cell>
          <cell r="M425">
            <v>305581.74</v>
          </cell>
          <cell r="N425">
            <v>252921.1</v>
          </cell>
          <cell r="O425">
            <v>283907.95</v>
          </cell>
          <cell r="P425">
            <v>287917.90999999997</v>
          </cell>
          <cell r="Q425">
            <v>292664.24</v>
          </cell>
          <cell r="R425">
            <v>302138.12</v>
          </cell>
          <cell r="S425">
            <v>392282.95</v>
          </cell>
          <cell r="T425">
            <v>567506.78</v>
          </cell>
          <cell r="U425">
            <v>375196.58</v>
          </cell>
          <cell r="V425">
            <v>376418.88</v>
          </cell>
          <cell r="W425">
            <v>339973.43000000005</v>
          </cell>
          <cell r="X425">
            <v>365898.70999999996</v>
          </cell>
          <cell r="Y425">
            <v>364164.61</v>
          </cell>
          <cell r="Z425">
            <v>360838.85000000003</v>
          </cell>
          <cell r="AA425">
            <v>387723.10000000003</v>
          </cell>
          <cell r="AB425">
            <v>367788.85</v>
          </cell>
          <cell r="AC425">
            <v>333865.76</v>
          </cell>
          <cell r="AD425">
            <v>356865.69</v>
          </cell>
          <cell r="AE425">
            <v>344734.59</v>
          </cell>
          <cell r="AF425">
            <v>343598.75</v>
          </cell>
          <cell r="AG425">
            <v>356038.47000000003</v>
          </cell>
          <cell r="AH425">
            <v>346696.87</v>
          </cell>
          <cell r="AI425">
            <v>359162.38999999996</v>
          </cell>
          <cell r="AJ425">
            <v>397117.58</v>
          </cell>
          <cell r="AK425">
            <v>598593.55999999994</v>
          </cell>
          <cell r="AL425">
            <v>361655.00999999995</v>
          </cell>
          <cell r="AM425">
            <v>353142.03</v>
          </cell>
          <cell r="AN425">
            <v>357726.3</v>
          </cell>
          <cell r="AO425">
            <v>332272.63999999996</v>
          </cell>
          <cell r="AP425">
            <v>281574.7</v>
          </cell>
          <cell r="AQ425">
            <v>280910.08000000002</v>
          </cell>
          <cell r="AR425">
            <v>279497.13</v>
          </cell>
          <cell r="AS425">
            <v>285599.92000000004</v>
          </cell>
          <cell r="AT425">
            <v>383666.76</v>
          </cell>
          <cell r="AU425">
            <v>528740.18000000005</v>
          </cell>
          <cell r="AV425">
            <v>543102.61</v>
          </cell>
          <cell r="AW425">
            <v>669150.89</v>
          </cell>
          <cell r="AX425">
            <v>1152073.3900000001</v>
          </cell>
          <cell r="AY425">
            <v>2023647.43</v>
          </cell>
          <cell r="AZ425">
            <v>4330020.6899999995</v>
          </cell>
          <cell r="BA425">
            <v>3775112.1399999997</v>
          </cell>
          <cell r="BB425">
            <v>533655.88</v>
          </cell>
        </row>
        <row r="426">
          <cell r="A426" t="str">
            <v>ptd</v>
          </cell>
          <cell r="B426">
            <v>165847.14000000001</v>
          </cell>
          <cell r="C426">
            <v>358122.26</v>
          </cell>
          <cell r="D426">
            <v>550445.57000000007</v>
          </cell>
          <cell r="E426">
            <v>746268.41</v>
          </cell>
          <cell r="F426">
            <v>201358.53</v>
          </cell>
          <cell r="G426">
            <v>436437.74</v>
          </cell>
          <cell r="H426">
            <v>741177.07000000007</v>
          </cell>
          <cell r="I426">
            <v>990304.53</v>
          </cell>
          <cell r="J426">
            <v>341240.67000000004</v>
          </cell>
          <cell r="K426">
            <v>620414.48</v>
          </cell>
          <cell r="L426">
            <v>910595.22</v>
          </cell>
          <cell r="M426">
            <v>1216176.96</v>
          </cell>
          <cell r="N426">
            <v>252921.1</v>
          </cell>
          <cell r="O426">
            <v>536829.05000000005</v>
          </cell>
          <cell r="P426">
            <v>824746.96</v>
          </cell>
          <cell r="Q426">
            <v>1117411.2</v>
          </cell>
          <cell r="R426">
            <v>302138.12</v>
          </cell>
          <cell r="S426">
            <v>694421.07000000007</v>
          </cell>
          <cell r="T426">
            <v>1261927.8500000001</v>
          </cell>
          <cell r="U426">
            <v>1637124.4300000002</v>
          </cell>
          <cell r="V426">
            <v>376418.88</v>
          </cell>
          <cell r="W426">
            <v>716392.31</v>
          </cell>
          <cell r="X426">
            <v>1082291.02</v>
          </cell>
          <cell r="Y426">
            <v>1446455.63</v>
          </cell>
          <cell r="Z426">
            <v>360838.85000000003</v>
          </cell>
          <cell r="AA426">
            <v>748561.95000000007</v>
          </cell>
          <cell r="AB426">
            <v>1116350.8</v>
          </cell>
          <cell r="AC426">
            <v>1450216.56</v>
          </cell>
          <cell r="AD426">
            <v>356865.69</v>
          </cell>
          <cell r="AE426">
            <v>701600.28</v>
          </cell>
          <cell r="AF426">
            <v>1045199.03</v>
          </cell>
          <cell r="AG426">
            <v>1401237.5</v>
          </cell>
          <cell r="AH426">
            <v>346696.87</v>
          </cell>
          <cell r="AI426">
            <v>705859.26</v>
          </cell>
          <cell r="AJ426">
            <v>1102976.8400000001</v>
          </cell>
          <cell r="AK426">
            <v>1701570.4</v>
          </cell>
          <cell r="AL426">
            <v>361655.00999999995</v>
          </cell>
          <cell r="AM426">
            <v>714797.04</v>
          </cell>
          <cell r="AN426">
            <v>1072523.3400000001</v>
          </cell>
          <cell r="AO426">
            <v>1404795.98</v>
          </cell>
          <cell r="AP426">
            <v>281574.7</v>
          </cell>
          <cell r="AQ426">
            <v>562484.78</v>
          </cell>
          <cell r="AR426">
            <v>841981.91</v>
          </cell>
          <cell r="AS426">
            <v>1127581.83</v>
          </cell>
          <cell r="AT426">
            <v>383666.76</v>
          </cell>
          <cell r="AU426">
            <v>912406.94000000006</v>
          </cell>
          <cell r="AV426">
            <v>1455509.55</v>
          </cell>
          <cell r="AW426">
            <v>2124660.44</v>
          </cell>
          <cell r="AX426">
            <v>1152073.3900000001</v>
          </cell>
          <cell r="AY426">
            <v>3175720.8200000003</v>
          </cell>
          <cell r="AZ426">
            <v>7505741.5099999998</v>
          </cell>
          <cell r="BA426">
            <v>11280853.649999999</v>
          </cell>
          <cell r="BB426">
            <v>11814509.529999999</v>
          </cell>
        </row>
        <row r="427">
          <cell r="A427" t="str">
            <v>qtd</v>
          </cell>
          <cell r="B427">
            <v>165847.14000000001</v>
          </cell>
          <cell r="C427">
            <v>358122.26</v>
          </cell>
          <cell r="D427">
            <v>550445.57000000007</v>
          </cell>
          <cell r="E427">
            <v>746268.41</v>
          </cell>
          <cell r="F427">
            <v>947626.94000000006</v>
          </cell>
          <cell r="G427">
            <v>1182706.1500000001</v>
          </cell>
          <cell r="H427">
            <v>1487445.4800000002</v>
          </cell>
          <cell r="I427">
            <v>1736572.9400000002</v>
          </cell>
          <cell r="J427">
            <v>2077813.6100000003</v>
          </cell>
          <cell r="K427">
            <v>2356987.4200000004</v>
          </cell>
          <cell r="L427">
            <v>2647168.16</v>
          </cell>
          <cell r="M427">
            <v>2952749.9000000004</v>
          </cell>
          <cell r="N427">
            <v>252921.1</v>
          </cell>
          <cell r="O427">
            <v>536829.05000000005</v>
          </cell>
          <cell r="P427">
            <v>824746.96</v>
          </cell>
          <cell r="Q427">
            <v>1117411.2</v>
          </cell>
          <cell r="R427">
            <v>1419549.3199999998</v>
          </cell>
          <cell r="S427">
            <v>1811832.2699999998</v>
          </cell>
          <cell r="T427">
            <v>2379339.0499999998</v>
          </cell>
          <cell r="U427">
            <v>2754535.63</v>
          </cell>
          <cell r="V427">
            <v>3130954.51</v>
          </cell>
          <cell r="W427">
            <v>3470927.94</v>
          </cell>
          <cell r="X427">
            <v>3836826.65</v>
          </cell>
          <cell r="Y427">
            <v>4200991.26</v>
          </cell>
          <cell r="Z427">
            <v>360838.85000000003</v>
          </cell>
          <cell r="AA427">
            <v>748561.95000000007</v>
          </cell>
          <cell r="AB427">
            <v>1116350.8</v>
          </cell>
          <cell r="AC427">
            <v>1450216.56</v>
          </cell>
          <cell r="AD427">
            <v>1807082.25</v>
          </cell>
          <cell r="AE427">
            <v>2151816.84</v>
          </cell>
          <cell r="AF427">
            <v>2495415.59</v>
          </cell>
          <cell r="AG427">
            <v>2851454.06</v>
          </cell>
          <cell r="AH427">
            <v>3198150.93</v>
          </cell>
          <cell r="AI427">
            <v>3557313.3200000003</v>
          </cell>
          <cell r="AJ427">
            <v>3954430.9000000004</v>
          </cell>
          <cell r="AK427">
            <v>4553024.46</v>
          </cell>
          <cell r="AL427">
            <v>361655.00999999995</v>
          </cell>
          <cell r="AM427">
            <v>714797.04</v>
          </cell>
          <cell r="AN427">
            <v>1072523.3400000001</v>
          </cell>
          <cell r="AO427">
            <v>1404795.98</v>
          </cell>
          <cell r="AP427">
            <v>1686370.68</v>
          </cell>
          <cell r="AQ427">
            <v>1967280.76</v>
          </cell>
          <cell r="AR427">
            <v>2246777.89</v>
          </cell>
          <cell r="AS427">
            <v>2532377.81</v>
          </cell>
          <cell r="AT427">
            <v>2916044.5700000003</v>
          </cell>
          <cell r="AU427">
            <v>3444784.7500000005</v>
          </cell>
          <cell r="AV427">
            <v>3987887.3600000003</v>
          </cell>
          <cell r="AW427">
            <v>4657038.25</v>
          </cell>
          <cell r="AX427">
            <v>5809111.6400000006</v>
          </cell>
          <cell r="AY427">
            <v>7832759.0700000003</v>
          </cell>
          <cell r="AZ427">
            <v>12162779.76</v>
          </cell>
          <cell r="BA427">
            <v>15937891.899999999</v>
          </cell>
          <cell r="BB427">
            <v>16471547.779999999</v>
          </cell>
        </row>
        <row r="428">
          <cell r="A428" t="str">
            <v>ytd</v>
          </cell>
          <cell r="B428">
            <v>165847.14000000001</v>
          </cell>
          <cell r="C428">
            <v>358122.26</v>
          </cell>
          <cell r="D428">
            <v>550445.57000000007</v>
          </cell>
          <cell r="E428">
            <v>746268.41</v>
          </cell>
          <cell r="F428">
            <v>947626.94000000006</v>
          </cell>
          <cell r="G428">
            <v>1182706.1500000001</v>
          </cell>
          <cell r="H428">
            <v>1487445.4800000002</v>
          </cell>
          <cell r="I428">
            <v>1736572.9400000002</v>
          </cell>
          <cell r="J428">
            <v>2077813.6100000003</v>
          </cell>
          <cell r="K428">
            <v>2356987.4200000004</v>
          </cell>
          <cell r="L428">
            <v>2647168.16</v>
          </cell>
          <cell r="M428">
            <v>2952749.9000000004</v>
          </cell>
          <cell r="N428">
            <v>3205671.0000000005</v>
          </cell>
          <cell r="O428">
            <v>3489578.9500000007</v>
          </cell>
          <cell r="P428">
            <v>3777496.8600000008</v>
          </cell>
          <cell r="Q428">
            <v>4070161.1000000006</v>
          </cell>
          <cell r="R428">
            <v>4372299.2200000007</v>
          </cell>
          <cell r="S428">
            <v>4764582.1700000009</v>
          </cell>
          <cell r="T428">
            <v>5332088.9500000011</v>
          </cell>
          <cell r="U428">
            <v>5707285.5300000012</v>
          </cell>
          <cell r="V428">
            <v>6083704.4100000011</v>
          </cell>
          <cell r="W428">
            <v>6423677.8400000008</v>
          </cell>
          <cell r="X428">
            <v>6789576.5500000007</v>
          </cell>
          <cell r="Y428">
            <v>7153741.1600000011</v>
          </cell>
          <cell r="Z428">
            <v>7514580.0100000007</v>
          </cell>
          <cell r="AA428">
            <v>7902303.1100000003</v>
          </cell>
          <cell r="AB428">
            <v>8270091.96</v>
          </cell>
          <cell r="AC428">
            <v>8603957.7200000007</v>
          </cell>
          <cell r="AD428">
            <v>8960823.4100000001</v>
          </cell>
          <cell r="AE428">
            <v>9305558</v>
          </cell>
          <cell r="AF428">
            <v>9649156.75</v>
          </cell>
          <cell r="AG428">
            <v>10005195.220000001</v>
          </cell>
          <cell r="AH428">
            <v>10351892.09</v>
          </cell>
          <cell r="AI428">
            <v>10711054.48</v>
          </cell>
          <cell r="AJ428">
            <v>11108172.060000001</v>
          </cell>
          <cell r="AK428">
            <v>11706765.620000001</v>
          </cell>
          <cell r="AL428">
            <v>12068420.630000001</v>
          </cell>
          <cell r="AM428">
            <v>12421562.66</v>
          </cell>
          <cell r="AN428">
            <v>12779288.960000001</v>
          </cell>
          <cell r="AO428">
            <v>13111561.600000001</v>
          </cell>
          <cell r="AP428">
            <v>13393136.300000001</v>
          </cell>
          <cell r="AQ428">
            <v>13674046.380000001</v>
          </cell>
          <cell r="AR428">
            <v>13953543.510000002</v>
          </cell>
          <cell r="AS428">
            <v>14239143.430000002</v>
          </cell>
          <cell r="AT428">
            <v>14622810.190000001</v>
          </cell>
          <cell r="AU428">
            <v>15151550.370000001</v>
          </cell>
          <cell r="AV428">
            <v>15694652.98</v>
          </cell>
          <cell r="AW428">
            <v>16363803.870000001</v>
          </cell>
          <cell r="AX428">
            <v>17515877.260000002</v>
          </cell>
          <cell r="AY428">
            <v>19539524.690000001</v>
          </cell>
          <cell r="AZ428">
            <v>23869545.380000003</v>
          </cell>
          <cell r="BA428">
            <v>27644657.520000003</v>
          </cell>
          <cell r="BB428">
            <v>28178313.400000002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40.19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205.59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40.19</v>
          </cell>
          <cell r="AN430">
            <v>40.19</v>
          </cell>
          <cell r="AO430">
            <v>40.19</v>
          </cell>
          <cell r="AP430">
            <v>0</v>
          </cell>
          <cell r="AQ430">
            <v>0</v>
          </cell>
          <cell r="AR430">
            <v>205.59</v>
          </cell>
          <cell r="AS430">
            <v>205.59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40.19</v>
          </cell>
          <cell r="AN431">
            <v>40.19</v>
          </cell>
          <cell r="AO431">
            <v>40.19</v>
          </cell>
          <cell r="AP431">
            <v>40.19</v>
          </cell>
          <cell r="AQ431">
            <v>40.19</v>
          </cell>
          <cell r="AR431">
            <v>245.78</v>
          </cell>
          <cell r="AS431">
            <v>245.78</v>
          </cell>
          <cell r="AT431">
            <v>245.78</v>
          </cell>
          <cell r="AU431">
            <v>245.78</v>
          </cell>
          <cell r="AV431">
            <v>245.78</v>
          </cell>
          <cell r="AW431">
            <v>245.78</v>
          </cell>
          <cell r="AX431">
            <v>245.78</v>
          </cell>
          <cell r="AY431">
            <v>245.78</v>
          </cell>
          <cell r="AZ431">
            <v>245.78</v>
          </cell>
          <cell r="BA431">
            <v>245.78</v>
          </cell>
          <cell r="BB431">
            <v>245.78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40.19</v>
          </cell>
          <cell r="AN432">
            <v>40.19</v>
          </cell>
          <cell r="AO432">
            <v>40.19</v>
          </cell>
          <cell r="AP432">
            <v>40.19</v>
          </cell>
          <cell r="AQ432">
            <v>40.19</v>
          </cell>
          <cell r="AR432">
            <v>245.78</v>
          </cell>
          <cell r="AS432">
            <v>245.78</v>
          </cell>
          <cell r="AT432">
            <v>245.78</v>
          </cell>
          <cell r="AU432">
            <v>245.78</v>
          </cell>
          <cell r="AV432">
            <v>245.78</v>
          </cell>
          <cell r="AW432">
            <v>245.78</v>
          </cell>
          <cell r="AX432">
            <v>245.78</v>
          </cell>
          <cell r="AY432">
            <v>245.78</v>
          </cell>
          <cell r="AZ432">
            <v>245.78</v>
          </cell>
          <cell r="BA432">
            <v>245.78</v>
          </cell>
          <cell r="BB432">
            <v>245.78</v>
          </cell>
        </row>
        <row r="433">
          <cell r="A433" t="str">
            <v>PREG</v>
          </cell>
          <cell r="B433">
            <v>94841.22</v>
          </cell>
          <cell r="C433">
            <v>123729.54</v>
          </cell>
          <cell r="D433">
            <v>101234.61</v>
          </cell>
          <cell r="E433">
            <v>91024.61</v>
          </cell>
          <cell r="F433">
            <v>97518.080000000002</v>
          </cell>
          <cell r="G433">
            <v>118476.58</v>
          </cell>
          <cell r="H433">
            <v>122274.66</v>
          </cell>
          <cell r="I433">
            <v>136680.92000000001</v>
          </cell>
          <cell r="J433">
            <v>153575.98000000001</v>
          </cell>
          <cell r="K433">
            <v>136590.9</v>
          </cell>
          <cell r="L433">
            <v>144657.12</v>
          </cell>
          <cell r="M433">
            <v>140982.07</v>
          </cell>
          <cell r="N433">
            <v>125924.86</v>
          </cell>
          <cell r="O433">
            <v>161059</v>
          </cell>
          <cell r="P433">
            <v>166123.15</v>
          </cell>
          <cell r="Q433">
            <v>154291.57999999999</v>
          </cell>
          <cell r="R433">
            <v>144074.19</v>
          </cell>
          <cell r="S433">
            <v>170469</v>
          </cell>
          <cell r="T433">
            <v>225364.15</v>
          </cell>
          <cell r="U433">
            <v>170155.7</v>
          </cell>
          <cell r="V433">
            <v>151288.82999999999</v>
          </cell>
          <cell r="W433">
            <v>170334.58</v>
          </cell>
          <cell r="X433">
            <v>162447.51999999999</v>
          </cell>
          <cell r="Y433">
            <v>145463.54999999999</v>
          </cell>
          <cell r="Z433">
            <v>170110.39</v>
          </cell>
          <cell r="AA433">
            <v>183958.6</v>
          </cell>
          <cell r="AB433">
            <v>169572.85</v>
          </cell>
          <cell r="AC433">
            <v>160161.96</v>
          </cell>
          <cell r="AD433">
            <v>171814.04</v>
          </cell>
          <cell r="AE433">
            <v>173830.39</v>
          </cell>
          <cell r="AF433">
            <v>193956.7</v>
          </cell>
          <cell r="AG433">
            <v>184332.88</v>
          </cell>
          <cell r="AH433">
            <v>184477.66</v>
          </cell>
          <cell r="AI433">
            <v>175056.19</v>
          </cell>
          <cell r="AJ433">
            <v>187452.81</v>
          </cell>
          <cell r="AK433">
            <v>264956.94</v>
          </cell>
          <cell r="AL433">
            <v>211196.33</v>
          </cell>
          <cell r="AM433">
            <v>213540.09</v>
          </cell>
          <cell r="AN433">
            <v>230098.46</v>
          </cell>
          <cell r="AO433">
            <v>220132.9</v>
          </cell>
          <cell r="AP433">
            <v>182476.57</v>
          </cell>
          <cell r="AQ433">
            <v>206723.63</v>
          </cell>
          <cell r="AR433">
            <v>191004.83</v>
          </cell>
          <cell r="AS433">
            <v>191216.46</v>
          </cell>
          <cell r="AT433">
            <v>204573.17</v>
          </cell>
          <cell r="AU433">
            <v>242353.53</v>
          </cell>
          <cell r="AV433">
            <v>284426.44</v>
          </cell>
          <cell r="AW433">
            <v>351964.48</v>
          </cell>
          <cell r="AX433">
            <v>550153.48</v>
          </cell>
          <cell r="AY433">
            <v>1026646.4</v>
          </cell>
          <cell r="AZ433">
            <v>2053521.53</v>
          </cell>
          <cell r="BA433">
            <v>2007474.26</v>
          </cell>
          <cell r="BB433">
            <v>183727.04</v>
          </cell>
        </row>
        <row r="434">
          <cell r="A434" t="str">
            <v>ptd</v>
          </cell>
          <cell r="B434">
            <v>94841.22</v>
          </cell>
          <cell r="C434">
            <v>218570.76</v>
          </cell>
          <cell r="D434">
            <v>319805.37</v>
          </cell>
          <cell r="E434">
            <v>410829.98</v>
          </cell>
          <cell r="F434">
            <v>97518.080000000002</v>
          </cell>
          <cell r="G434">
            <v>215994.66</v>
          </cell>
          <cell r="H434">
            <v>338269.32</v>
          </cell>
          <cell r="I434">
            <v>474950.24</v>
          </cell>
          <cell r="J434">
            <v>153575.98000000001</v>
          </cell>
          <cell r="K434">
            <v>290166.88</v>
          </cell>
          <cell r="L434">
            <v>434824</v>
          </cell>
          <cell r="M434">
            <v>575806.07000000007</v>
          </cell>
          <cell r="N434">
            <v>125924.86</v>
          </cell>
          <cell r="O434">
            <v>286983.86</v>
          </cell>
          <cell r="P434">
            <v>453107.01</v>
          </cell>
          <cell r="Q434">
            <v>607398.59</v>
          </cell>
          <cell r="R434">
            <v>144074.19</v>
          </cell>
          <cell r="S434">
            <v>314543.19</v>
          </cell>
          <cell r="T434">
            <v>539907.34</v>
          </cell>
          <cell r="U434">
            <v>710063.04</v>
          </cell>
          <cell r="V434">
            <v>151288.82999999999</v>
          </cell>
          <cell r="W434">
            <v>321623.40999999997</v>
          </cell>
          <cell r="X434">
            <v>484070.92999999993</v>
          </cell>
          <cell r="Y434">
            <v>629534.48</v>
          </cell>
          <cell r="Z434">
            <v>170110.39</v>
          </cell>
          <cell r="AA434">
            <v>354068.99</v>
          </cell>
          <cell r="AB434">
            <v>523641.83999999997</v>
          </cell>
          <cell r="AC434">
            <v>683803.79999999993</v>
          </cell>
          <cell r="AD434">
            <v>171814.04</v>
          </cell>
          <cell r="AE434">
            <v>345644.43000000005</v>
          </cell>
          <cell r="AF434">
            <v>539601.13000000012</v>
          </cell>
          <cell r="AG434">
            <v>723934.01000000013</v>
          </cell>
          <cell r="AH434">
            <v>184477.66</v>
          </cell>
          <cell r="AI434">
            <v>359533.85</v>
          </cell>
          <cell r="AJ434">
            <v>546986.65999999992</v>
          </cell>
          <cell r="AK434">
            <v>811943.59999999986</v>
          </cell>
          <cell r="AL434">
            <v>211196.33</v>
          </cell>
          <cell r="AM434">
            <v>424736.42</v>
          </cell>
          <cell r="AN434">
            <v>654834.88</v>
          </cell>
          <cell r="AO434">
            <v>874967.78</v>
          </cell>
          <cell r="AP434">
            <v>182476.57</v>
          </cell>
          <cell r="AQ434">
            <v>389200.2</v>
          </cell>
          <cell r="AR434">
            <v>580205.03</v>
          </cell>
          <cell r="AS434">
            <v>771421.49</v>
          </cell>
          <cell r="AT434">
            <v>204573.17</v>
          </cell>
          <cell r="AU434">
            <v>446926.7</v>
          </cell>
          <cell r="AV434">
            <v>731353.14</v>
          </cell>
          <cell r="AW434">
            <v>1083317.6200000001</v>
          </cell>
          <cell r="AX434">
            <v>550153.48</v>
          </cell>
          <cell r="AY434">
            <v>1576799.88</v>
          </cell>
          <cell r="AZ434">
            <v>3630321.41</v>
          </cell>
          <cell r="BA434">
            <v>5637795.6699999999</v>
          </cell>
          <cell r="BB434">
            <v>5821522.71</v>
          </cell>
        </row>
        <row r="435">
          <cell r="A435" t="str">
            <v>qtd</v>
          </cell>
          <cell r="B435">
            <v>94841.22</v>
          </cell>
          <cell r="C435">
            <v>218570.76</v>
          </cell>
          <cell r="D435">
            <v>319805.37</v>
          </cell>
          <cell r="E435">
            <v>410829.98</v>
          </cell>
          <cell r="F435">
            <v>508348.06</v>
          </cell>
          <cell r="G435">
            <v>626824.64</v>
          </cell>
          <cell r="H435">
            <v>749099.3</v>
          </cell>
          <cell r="I435">
            <v>885780.22000000009</v>
          </cell>
          <cell r="J435">
            <v>1039356.2000000001</v>
          </cell>
          <cell r="K435">
            <v>1175947.1000000001</v>
          </cell>
          <cell r="L435">
            <v>1320604.2200000002</v>
          </cell>
          <cell r="M435">
            <v>1461586.2900000003</v>
          </cell>
          <cell r="N435">
            <v>125924.86</v>
          </cell>
          <cell r="O435">
            <v>286983.86</v>
          </cell>
          <cell r="P435">
            <v>453107.01</v>
          </cell>
          <cell r="Q435">
            <v>607398.59</v>
          </cell>
          <cell r="R435">
            <v>751472.78</v>
          </cell>
          <cell r="S435">
            <v>921941.78</v>
          </cell>
          <cell r="T435">
            <v>1147305.93</v>
          </cell>
          <cell r="U435">
            <v>1317461.6299999999</v>
          </cell>
          <cell r="V435">
            <v>1468750.46</v>
          </cell>
          <cell r="W435">
            <v>1639085.04</v>
          </cell>
          <cell r="X435">
            <v>1801532.56</v>
          </cell>
          <cell r="Y435">
            <v>1946996.11</v>
          </cell>
          <cell r="Z435">
            <v>170110.39</v>
          </cell>
          <cell r="AA435">
            <v>354068.99</v>
          </cell>
          <cell r="AB435">
            <v>523641.83999999997</v>
          </cell>
          <cell r="AC435">
            <v>683803.79999999993</v>
          </cell>
          <cell r="AD435">
            <v>855617.84</v>
          </cell>
          <cell r="AE435">
            <v>1029448.23</v>
          </cell>
          <cell r="AF435">
            <v>1223404.93</v>
          </cell>
          <cell r="AG435">
            <v>1407737.81</v>
          </cell>
          <cell r="AH435">
            <v>1592215.47</v>
          </cell>
          <cell r="AI435">
            <v>1767271.66</v>
          </cell>
          <cell r="AJ435">
            <v>1954724.47</v>
          </cell>
          <cell r="AK435">
            <v>2219681.41</v>
          </cell>
          <cell r="AL435">
            <v>211196.33</v>
          </cell>
          <cell r="AM435">
            <v>424736.42</v>
          </cell>
          <cell r="AN435">
            <v>654834.88</v>
          </cell>
          <cell r="AO435">
            <v>874967.78</v>
          </cell>
          <cell r="AP435">
            <v>1057444.3500000001</v>
          </cell>
          <cell r="AQ435">
            <v>1264167.98</v>
          </cell>
          <cell r="AR435">
            <v>1455172.81</v>
          </cell>
          <cell r="AS435">
            <v>1646389.27</v>
          </cell>
          <cell r="AT435">
            <v>1850962.44</v>
          </cell>
          <cell r="AU435">
            <v>2093315.97</v>
          </cell>
          <cell r="AV435">
            <v>2377742.41</v>
          </cell>
          <cell r="AW435">
            <v>2729706.89</v>
          </cell>
          <cell r="AX435">
            <v>3279860.37</v>
          </cell>
          <cell r="AY435">
            <v>4306506.7700000005</v>
          </cell>
          <cell r="AZ435">
            <v>6360028.3000000007</v>
          </cell>
          <cell r="BA435">
            <v>8367502.5600000005</v>
          </cell>
          <cell r="BB435">
            <v>8551229.5999999996</v>
          </cell>
        </row>
        <row r="436">
          <cell r="A436" t="str">
            <v>ytd</v>
          </cell>
          <cell r="B436">
            <v>94841.22</v>
          </cell>
          <cell r="C436">
            <v>218570.76</v>
          </cell>
          <cell r="D436">
            <v>319805.37</v>
          </cell>
          <cell r="E436">
            <v>410829.98</v>
          </cell>
          <cell r="F436">
            <v>508348.06</v>
          </cell>
          <cell r="G436">
            <v>626824.64</v>
          </cell>
          <cell r="H436">
            <v>749099.3</v>
          </cell>
          <cell r="I436">
            <v>885780.22000000009</v>
          </cell>
          <cell r="J436">
            <v>1039356.2000000001</v>
          </cell>
          <cell r="K436">
            <v>1175947.1000000001</v>
          </cell>
          <cell r="L436">
            <v>1320604.2200000002</v>
          </cell>
          <cell r="M436">
            <v>1461586.2900000003</v>
          </cell>
          <cell r="N436">
            <v>1587511.1500000004</v>
          </cell>
          <cell r="O436">
            <v>1748570.1500000004</v>
          </cell>
          <cell r="P436">
            <v>1914693.3000000003</v>
          </cell>
          <cell r="Q436">
            <v>2068984.8800000004</v>
          </cell>
          <cell r="R436">
            <v>2213059.0700000003</v>
          </cell>
          <cell r="S436">
            <v>2383528.0700000003</v>
          </cell>
          <cell r="T436">
            <v>2608892.2200000002</v>
          </cell>
          <cell r="U436">
            <v>2779047.9200000004</v>
          </cell>
          <cell r="V436">
            <v>2930336.7500000005</v>
          </cell>
          <cell r="W436">
            <v>3100671.3300000005</v>
          </cell>
          <cell r="X436">
            <v>3263118.8500000006</v>
          </cell>
          <cell r="Y436">
            <v>3408582.4000000004</v>
          </cell>
          <cell r="Z436">
            <v>3578692.7900000005</v>
          </cell>
          <cell r="AA436">
            <v>3762651.3900000006</v>
          </cell>
          <cell r="AB436">
            <v>3932224.2400000007</v>
          </cell>
          <cell r="AC436">
            <v>4092386.2000000007</v>
          </cell>
          <cell r="AD436">
            <v>4264200.24</v>
          </cell>
          <cell r="AE436">
            <v>4438030.63</v>
          </cell>
          <cell r="AF436">
            <v>4631987.33</v>
          </cell>
          <cell r="AG436">
            <v>4816320.21</v>
          </cell>
          <cell r="AH436">
            <v>5000797.87</v>
          </cell>
          <cell r="AI436">
            <v>5175854.0600000005</v>
          </cell>
          <cell r="AJ436">
            <v>5363306.87</v>
          </cell>
          <cell r="AK436">
            <v>5628263.8100000005</v>
          </cell>
          <cell r="AL436">
            <v>5839460.1400000006</v>
          </cell>
          <cell r="AM436">
            <v>6053000.2300000004</v>
          </cell>
          <cell r="AN436">
            <v>6283098.6900000004</v>
          </cell>
          <cell r="AO436">
            <v>6503231.5900000008</v>
          </cell>
          <cell r="AP436">
            <v>6685708.1600000011</v>
          </cell>
          <cell r="AQ436">
            <v>6892431.790000001</v>
          </cell>
          <cell r="AR436">
            <v>7083436.620000001</v>
          </cell>
          <cell r="AS436">
            <v>7274653.080000001</v>
          </cell>
          <cell r="AT436">
            <v>7479226.2500000009</v>
          </cell>
          <cell r="AU436">
            <v>7721579.7800000012</v>
          </cell>
          <cell r="AV436">
            <v>8006006.2200000016</v>
          </cell>
          <cell r="AW436">
            <v>8357970.7000000011</v>
          </cell>
          <cell r="AX436">
            <v>8908124.1800000016</v>
          </cell>
          <cell r="AY436">
            <v>9934770.5800000019</v>
          </cell>
          <cell r="AZ436">
            <v>11988292.110000001</v>
          </cell>
          <cell r="BA436">
            <v>13995766.370000001</v>
          </cell>
          <cell r="BB436">
            <v>14179493.41</v>
          </cell>
        </row>
        <row r="437">
          <cell r="A437" t="str">
            <v>SPRT</v>
          </cell>
          <cell r="B437">
            <v>6744.28</v>
          </cell>
          <cell r="C437">
            <v>6342.18</v>
          </cell>
          <cell r="D437">
            <v>8278.73</v>
          </cell>
          <cell r="E437">
            <v>7843.08</v>
          </cell>
          <cell r="F437">
            <v>6331.49</v>
          </cell>
          <cell r="G437">
            <v>8270.51</v>
          </cell>
          <cell r="H437">
            <v>9742.27</v>
          </cell>
          <cell r="I437">
            <v>8087.9</v>
          </cell>
          <cell r="J437">
            <v>8559.1</v>
          </cell>
          <cell r="K437">
            <v>10110</v>
          </cell>
          <cell r="L437">
            <v>6988.56</v>
          </cell>
          <cell r="M437">
            <v>8186.14</v>
          </cell>
          <cell r="N437">
            <v>6666.64</v>
          </cell>
          <cell r="O437">
            <v>8961.44</v>
          </cell>
          <cell r="P437">
            <v>7027.82</v>
          </cell>
          <cell r="Q437">
            <v>7773.8</v>
          </cell>
          <cell r="R437">
            <v>8971.44</v>
          </cell>
          <cell r="S437">
            <v>8833.8799999999992</v>
          </cell>
          <cell r="T437">
            <v>6242.56</v>
          </cell>
          <cell r="U437">
            <v>7145.68</v>
          </cell>
          <cell r="V437">
            <v>6419.3</v>
          </cell>
          <cell r="W437">
            <v>5928.5</v>
          </cell>
          <cell r="X437">
            <v>7616.78</v>
          </cell>
          <cell r="Y437">
            <v>7577.48</v>
          </cell>
          <cell r="Z437">
            <v>6458.52</v>
          </cell>
          <cell r="AA437">
            <v>8775.1200000000008</v>
          </cell>
          <cell r="AB437">
            <v>8402.06</v>
          </cell>
          <cell r="AC437">
            <v>8402.06</v>
          </cell>
          <cell r="AD437">
            <v>9795.8799999999992</v>
          </cell>
          <cell r="AE437">
            <v>9933.2199999999993</v>
          </cell>
          <cell r="AF437">
            <v>6733.42</v>
          </cell>
          <cell r="AG437">
            <v>7577.56</v>
          </cell>
          <cell r="AH437">
            <v>7734.64</v>
          </cell>
          <cell r="AI437">
            <v>7322.38</v>
          </cell>
          <cell r="AJ437">
            <v>10011.86</v>
          </cell>
          <cell r="AK437">
            <v>7336.5</v>
          </cell>
          <cell r="AL437">
            <v>6152.2</v>
          </cell>
          <cell r="AM437">
            <v>6072.69</v>
          </cell>
          <cell r="AN437">
            <v>8382.99</v>
          </cell>
          <cell r="AO437">
            <v>8045.95</v>
          </cell>
          <cell r="AP437">
            <v>5286.41</v>
          </cell>
          <cell r="AQ437">
            <v>6181.35</v>
          </cell>
          <cell r="AR437">
            <v>4659.2700000000004</v>
          </cell>
          <cell r="AS437">
            <v>6039.14</v>
          </cell>
          <cell r="AT437">
            <v>6019.62</v>
          </cell>
          <cell r="AU437">
            <v>5461.14</v>
          </cell>
          <cell r="AV437">
            <v>6934.9</v>
          </cell>
          <cell r="AW437">
            <v>11121.77</v>
          </cell>
          <cell r="AX437">
            <v>19394.099999999999</v>
          </cell>
          <cell r="AY437">
            <v>30837.7</v>
          </cell>
          <cell r="AZ437">
            <v>55603.59</v>
          </cell>
          <cell r="BA437">
            <v>52609</v>
          </cell>
          <cell r="BB437">
            <v>5161.05</v>
          </cell>
        </row>
        <row r="438">
          <cell r="A438" t="str">
            <v>ptd</v>
          </cell>
          <cell r="B438">
            <v>6744.28</v>
          </cell>
          <cell r="C438">
            <v>13086.46</v>
          </cell>
          <cell r="D438">
            <v>21365.19</v>
          </cell>
          <cell r="E438">
            <v>29208.269999999997</v>
          </cell>
          <cell r="F438">
            <v>6331.49</v>
          </cell>
          <cell r="G438">
            <v>14602</v>
          </cell>
          <cell r="H438">
            <v>24344.27</v>
          </cell>
          <cell r="I438">
            <v>32432.17</v>
          </cell>
          <cell r="J438">
            <v>8559.1</v>
          </cell>
          <cell r="K438">
            <v>18669.099999999999</v>
          </cell>
          <cell r="L438">
            <v>25657.66</v>
          </cell>
          <cell r="M438">
            <v>33843.800000000003</v>
          </cell>
          <cell r="N438">
            <v>6666.64</v>
          </cell>
          <cell r="O438">
            <v>15628.080000000002</v>
          </cell>
          <cell r="P438">
            <v>22655.9</v>
          </cell>
          <cell r="Q438">
            <v>30429.7</v>
          </cell>
          <cell r="R438">
            <v>8971.44</v>
          </cell>
          <cell r="S438">
            <v>17805.32</v>
          </cell>
          <cell r="T438">
            <v>24047.88</v>
          </cell>
          <cell r="U438">
            <v>31193.56</v>
          </cell>
          <cell r="V438">
            <v>6419.3</v>
          </cell>
          <cell r="W438">
            <v>12347.8</v>
          </cell>
          <cell r="X438">
            <v>19964.579999999998</v>
          </cell>
          <cell r="Y438">
            <v>27542.059999999998</v>
          </cell>
          <cell r="Z438">
            <v>6458.52</v>
          </cell>
          <cell r="AA438">
            <v>15233.640000000001</v>
          </cell>
          <cell r="AB438">
            <v>23635.7</v>
          </cell>
          <cell r="AC438">
            <v>32037.760000000002</v>
          </cell>
          <cell r="AD438">
            <v>9795.8799999999992</v>
          </cell>
          <cell r="AE438">
            <v>19729.099999999999</v>
          </cell>
          <cell r="AF438">
            <v>26462.519999999997</v>
          </cell>
          <cell r="AG438">
            <v>34040.079999999994</v>
          </cell>
          <cell r="AH438">
            <v>7734.64</v>
          </cell>
          <cell r="AI438">
            <v>15057.02</v>
          </cell>
          <cell r="AJ438">
            <v>25068.880000000001</v>
          </cell>
          <cell r="AK438">
            <v>32405.38</v>
          </cell>
          <cell r="AL438">
            <v>6152.2</v>
          </cell>
          <cell r="AM438">
            <v>12224.89</v>
          </cell>
          <cell r="AN438">
            <v>20607.879999999997</v>
          </cell>
          <cell r="AO438">
            <v>28653.829999999998</v>
          </cell>
          <cell r="AP438">
            <v>5286.41</v>
          </cell>
          <cell r="AQ438">
            <v>11467.76</v>
          </cell>
          <cell r="AR438">
            <v>16127.03</v>
          </cell>
          <cell r="AS438">
            <v>22166.170000000002</v>
          </cell>
          <cell r="AT438">
            <v>6019.62</v>
          </cell>
          <cell r="AU438">
            <v>11480.76</v>
          </cell>
          <cell r="AV438">
            <v>18415.66</v>
          </cell>
          <cell r="AW438">
            <v>29537.43</v>
          </cell>
          <cell r="AX438">
            <v>19394.099999999999</v>
          </cell>
          <cell r="AY438">
            <v>50231.8</v>
          </cell>
          <cell r="AZ438">
            <v>105835.39</v>
          </cell>
          <cell r="BA438">
            <v>158444.39000000001</v>
          </cell>
          <cell r="BB438">
            <v>163605.44</v>
          </cell>
        </row>
        <row r="439">
          <cell r="A439" t="str">
            <v>qtd</v>
          </cell>
          <cell r="B439">
            <v>6744.28</v>
          </cell>
          <cell r="C439">
            <v>13086.46</v>
          </cell>
          <cell r="D439">
            <v>21365.19</v>
          </cell>
          <cell r="E439">
            <v>29208.269999999997</v>
          </cell>
          <cell r="F439">
            <v>35539.759999999995</v>
          </cell>
          <cell r="G439">
            <v>43810.27</v>
          </cell>
          <cell r="H439">
            <v>53552.539999999994</v>
          </cell>
          <cell r="I439">
            <v>61640.439999999995</v>
          </cell>
          <cell r="J439">
            <v>70199.539999999994</v>
          </cell>
          <cell r="K439">
            <v>80309.539999999994</v>
          </cell>
          <cell r="L439">
            <v>87298.099999999991</v>
          </cell>
          <cell r="M439">
            <v>95484.239999999991</v>
          </cell>
          <cell r="N439">
            <v>6666.64</v>
          </cell>
          <cell r="O439">
            <v>15628.080000000002</v>
          </cell>
          <cell r="P439">
            <v>22655.9</v>
          </cell>
          <cell r="Q439">
            <v>30429.7</v>
          </cell>
          <cell r="R439">
            <v>39401.14</v>
          </cell>
          <cell r="S439">
            <v>48235.02</v>
          </cell>
          <cell r="T439">
            <v>54477.579999999994</v>
          </cell>
          <cell r="U439">
            <v>61623.259999999995</v>
          </cell>
          <cell r="V439">
            <v>68042.559999999998</v>
          </cell>
          <cell r="W439">
            <v>73971.06</v>
          </cell>
          <cell r="X439">
            <v>81587.839999999997</v>
          </cell>
          <cell r="Y439">
            <v>89165.319999999992</v>
          </cell>
          <cell r="Z439">
            <v>6458.52</v>
          </cell>
          <cell r="AA439">
            <v>15233.640000000001</v>
          </cell>
          <cell r="AB439">
            <v>23635.7</v>
          </cell>
          <cell r="AC439">
            <v>32037.760000000002</v>
          </cell>
          <cell r="AD439">
            <v>41833.64</v>
          </cell>
          <cell r="AE439">
            <v>51766.86</v>
          </cell>
          <cell r="AF439">
            <v>58500.28</v>
          </cell>
          <cell r="AG439">
            <v>66077.84</v>
          </cell>
          <cell r="AH439">
            <v>73812.479999999996</v>
          </cell>
          <cell r="AI439">
            <v>81134.86</v>
          </cell>
          <cell r="AJ439">
            <v>91146.72</v>
          </cell>
          <cell r="AK439">
            <v>98483.22</v>
          </cell>
          <cell r="AL439">
            <v>6152.2</v>
          </cell>
          <cell r="AM439">
            <v>12224.89</v>
          </cell>
          <cell r="AN439">
            <v>20607.879999999997</v>
          </cell>
          <cell r="AO439">
            <v>28653.829999999998</v>
          </cell>
          <cell r="AP439">
            <v>33940.239999999998</v>
          </cell>
          <cell r="AQ439">
            <v>40121.589999999997</v>
          </cell>
          <cell r="AR439">
            <v>44780.86</v>
          </cell>
          <cell r="AS439">
            <v>50820</v>
          </cell>
          <cell r="AT439">
            <v>56839.62</v>
          </cell>
          <cell r="AU439">
            <v>62300.76</v>
          </cell>
          <cell r="AV439">
            <v>69235.66</v>
          </cell>
          <cell r="AW439">
            <v>80357.430000000008</v>
          </cell>
          <cell r="AX439">
            <v>99751.53</v>
          </cell>
          <cell r="AY439">
            <v>130589.23</v>
          </cell>
          <cell r="AZ439">
            <v>186192.82</v>
          </cell>
          <cell r="BA439">
            <v>238801.82</v>
          </cell>
          <cell r="BB439">
            <v>243962.87</v>
          </cell>
        </row>
        <row r="440">
          <cell r="A440" t="str">
            <v>ytd</v>
          </cell>
          <cell r="B440">
            <v>6744.28</v>
          </cell>
          <cell r="C440">
            <v>13086.46</v>
          </cell>
          <cell r="D440">
            <v>21365.19</v>
          </cell>
          <cell r="E440">
            <v>29208.269999999997</v>
          </cell>
          <cell r="F440">
            <v>35539.759999999995</v>
          </cell>
          <cell r="G440">
            <v>43810.27</v>
          </cell>
          <cell r="H440">
            <v>53552.539999999994</v>
          </cell>
          <cell r="I440">
            <v>61640.439999999995</v>
          </cell>
          <cell r="J440">
            <v>70199.539999999994</v>
          </cell>
          <cell r="K440">
            <v>80309.539999999994</v>
          </cell>
          <cell r="L440">
            <v>87298.099999999991</v>
          </cell>
          <cell r="M440">
            <v>95484.239999999991</v>
          </cell>
          <cell r="N440">
            <v>102150.87999999999</v>
          </cell>
          <cell r="O440">
            <v>111112.31999999999</v>
          </cell>
          <cell r="P440">
            <v>118140.13999999998</v>
          </cell>
          <cell r="Q440">
            <v>125913.93999999999</v>
          </cell>
          <cell r="R440">
            <v>134885.37999999998</v>
          </cell>
          <cell r="S440">
            <v>143719.25999999998</v>
          </cell>
          <cell r="T440">
            <v>149961.81999999998</v>
          </cell>
          <cell r="U440">
            <v>157107.49999999997</v>
          </cell>
          <cell r="V440">
            <v>163526.79999999996</v>
          </cell>
          <cell r="W440">
            <v>169455.29999999996</v>
          </cell>
          <cell r="X440">
            <v>177072.07999999996</v>
          </cell>
          <cell r="Y440">
            <v>184649.55999999997</v>
          </cell>
          <cell r="Z440">
            <v>191108.07999999996</v>
          </cell>
          <cell r="AA440">
            <v>199883.19999999995</v>
          </cell>
          <cell r="AB440">
            <v>208285.25999999995</v>
          </cell>
          <cell r="AC440">
            <v>216687.31999999995</v>
          </cell>
          <cell r="AD440">
            <v>226483.19999999995</v>
          </cell>
          <cell r="AE440">
            <v>236416.41999999995</v>
          </cell>
          <cell r="AF440">
            <v>243149.83999999997</v>
          </cell>
          <cell r="AG440">
            <v>250727.39999999997</v>
          </cell>
          <cell r="AH440">
            <v>258462.03999999998</v>
          </cell>
          <cell r="AI440">
            <v>265784.42</v>
          </cell>
          <cell r="AJ440">
            <v>275796.27999999997</v>
          </cell>
          <cell r="AK440">
            <v>283132.77999999997</v>
          </cell>
          <cell r="AL440">
            <v>289284.98</v>
          </cell>
          <cell r="AM440">
            <v>295357.67</v>
          </cell>
          <cell r="AN440">
            <v>303740.65999999997</v>
          </cell>
          <cell r="AO440">
            <v>311786.61</v>
          </cell>
          <cell r="AP440">
            <v>317073.01999999996</v>
          </cell>
          <cell r="AQ440">
            <v>323254.36999999994</v>
          </cell>
          <cell r="AR440">
            <v>327913.63999999996</v>
          </cell>
          <cell r="AS440">
            <v>333952.77999999997</v>
          </cell>
          <cell r="AT440">
            <v>339972.39999999997</v>
          </cell>
          <cell r="AU440">
            <v>345433.54</v>
          </cell>
          <cell r="AV440">
            <v>352368.44</v>
          </cell>
          <cell r="AW440">
            <v>363490.21</v>
          </cell>
          <cell r="AX440">
            <v>382884.31</v>
          </cell>
          <cell r="AY440">
            <v>413722.01</v>
          </cell>
          <cell r="AZ440">
            <v>469325.6</v>
          </cell>
          <cell r="BA440">
            <v>521934.6</v>
          </cell>
          <cell r="BB440">
            <v>527095.65</v>
          </cell>
        </row>
        <row r="441">
          <cell r="A441" t="str">
            <v>TELE</v>
          </cell>
          <cell r="B441">
            <v>1146.69</v>
          </cell>
          <cell r="C441">
            <v>1282.06</v>
          </cell>
          <cell r="D441">
            <v>1473.44</v>
          </cell>
          <cell r="E441">
            <v>1310.1199999999999</v>
          </cell>
          <cell r="F441">
            <v>1347.89</v>
          </cell>
          <cell r="G441">
            <v>1550.16</v>
          </cell>
          <cell r="H441">
            <v>1845.52</v>
          </cell>
          <cell r="I441">
            <v>2056.3200000000002</v>
          </cell>
          <cell r="J441">
            <v>2150.4</v>
          </cell>
          <cell r="K441">
            <v>1787.52</v>
          </cell>
          <cell r="L441">
            <v>1706.88</v>
          </cell>
          <cell r="M441">
            <v>1317.12</v>
          </cell>
          <cell r="N441">
            <v>1800.96</v>
          </cell>
          <cell r="O441">
            <v>1747.2</v>
          </cell>
          <cell r="P441">
            <v>2593.92</v>
          </cell>
          <cell r="Q441">
            <v>1895.04</v>
          </cell>
          <cell r="R441">
            <v>1868.16</v>
          </cell>
          <cell r="S441">
            <v>1868.16</v>
          </cell>
          <cell r="T441">
            <v>1626.24</v>
          </cell>
          <cell r="U441">
            <v>1800.96</v>
          </cell>
          <cell r="V441">
            <v>1935.36</v>
          </cell>
          <cell r="W441">
            <v>1653.12</v>
          </cell>
          <cell r="X441">
            <v>1800.96</v>
          </cell>
          <cell r="Y441">
            <v>1814.4</v>
          </cell>
          <cell r="Z441">
            <v>1962.24</v>
          </cell>
          <cell r="AA441">
            <v>1720.32</v>
          </cell>
          <cell r="AB441">
            <v>1962.24</v>
          </cell>
          <cell r="AC441">
            <v>1841.28</v>
          </cell>
          <cell r="AD441">
            <v>2271.36</v>
          </cell>
          <cell r="AE441">
            <v>2526.7199999999998</v>
          </cell>
          <cell r="AF441">
            <v>1948.8</v>
          </cell>
          <cell r="AG441">
            <v>2069.7600000000002</v>
          </cell>
          <cell r="AH441">
            <v>1706.88</v>
          </cell>
          <cell r="AI441">
            <v>1747.2</v>
          </cell>
          <cell r="AJ441">
            <v>1532.16</v>
          </cell>
          <cell r="AK441">
            <v>1535.15</v>
          </cell>
          <cell r="AL441">
            <v>1016.42</v>
          </cell>
          <cell r="AM441">
            <v>497.17</v>
          </cell>
          <cell r="AN441">
            <v>367.04</v>
          </cell>
          <cell r="AO441">
            <v>227.55</v>
          </cell>
          <cell r="AP441">
            <v>203.89</v>
          </cell>
          <cell r="AQ441">
            <v>143.69999999999999</v>
          </cell>
          <cell r="AR441">
            <v>41.11</v>
          </cell>
          <cell r="AS441">
            <v>143.9</v>
          </cell>
          <cell r="AT441">
            <v>70.78</v>
          </cell>
          <cell r="AU441">
            <v>99.39</v>
          </cell>
          <cell r="AV441">
            <v>106.42</v>
          </cell>
          <cell r="AW441">
            <v>156.38999999999999</v>
          </cell>
          <cell r="AX441">
            <v>29.19</v>
          </cell>
          <cell r="AY441">
            <v>39.89</v>
          </cell>
          <cell r="AZ441">
            <v>102.52</v>
          </cell>
          <cell r="BA441">
            <v>102.31</v>
          </cell>
          <cell r="BB441">
            <v>61.58</v>
          </cell>
        </row>
        <row r="442">
          <cell r="A442" t="str">
            <v>ptd</v>
          </cell>
          <cell r="B442">
            <v>1146.69</v>
          </cell>
          <cell r="C442">
            <v>2428.75</v>
          </cell>
          <cell r="D442">
            <v>3902.19</v>
          </cell>
          <cell r="E442">
            <v>5212.3099999999995</v>
          </cell>
          <cell r="F442">
            <v>1347.89</v>
          </cell>
          <cell r="G442">
            <v>2898.05</v>
          </cell>
          <cell r="H442">
            <v>4743.57</v>
          </cell>
          <cell r="I442">
            <v>6799.8899999999994</v>
          </cell>
          <cell r="J442">
            <v>2150.4</v>
          </cell>
          <cell r="K442">
            <v>3937.92</v>
          </cell>
          <cell r="L442">
            <v>5644.8</v>
          </cell>
          <cell r="M442">
            <v>6961.92</v>
          </cell>
          <cell r="N442">
            <v>1800.96</v>
          </cell>
          <cell r="O442">
            <v>3548.16</v>
          </cell>
          <cell r="P442">
            <v>6142.08</v>
          </cell>
          <cell r="Q442">
            <v>8037.12</v>
          </cell>
          <cell r="R442">
            <v>1868.16</v>
          </cell>
          <cell r="S442">
            <v>3736.32</v>
          </cell>
          <cell r="T442">
            <v>5362.56</v>
          </cell>
          <cell r="U442">
            <v>7163.52</v>
          </cell>
          <cell r="V442">
            <v>1935.36</v>
          </cell>
          <cell r="W442">
            <v>3588.4799999999996</v>
          </cell>
          <cell r="X442">
            <v>5389.44</v>
          </cell>
          <cell r="Y442">
            <v>7203.84</v>
          </cell>
          <cell r="Z442">
            <v>1962.24</v>
          </cell>
          <cell r="AA442">
            <v>3682.56</v>
          </cell>
          <cell r="AB442">
            <v>5644.8</v>
          </cell>
          <cell r="AC442">
            <v>7486.08</v>
          </cell>
          <cell r="AD442">
            <v>2271.36</v>
          </cell>
          <cell r="AE442">
            <v>4798.08</v>
          </cell>
          <cell r="AF442">
            <v>6746.88</v>
          </cell>
          <cell r="AG442">
            <v>8816.64</v>
          </cell>
          <cell r="AH442">
            <v>1706.88</v>
          </cell>
          <cell r="AI442">
            <v>3454.08</v>
          </cell>
          <cell r="AJ442">
            <v>4986.24</v>
          </cell>
          <cell r="AK442">
            <v>6521.3899999999994</v>
          </cell>
          <cell r="AL442">
            <v>1016.42</v>
          </cell>
          <cell r="AM442">
            <v>1513.59</v>
          </cell>
          <cell r="AN442">
            <v>1880.6299999999999</v>
          </cell>
          <cell r="AO442">
            <v>2108.1799999999998</v>
          </cell>
          <cell r="AP442">
            <v>203.89</v>
          </cell>
          <cell r="AQ442">
            <v>347.59</v>
          </cell>
          <cell r="AR442">
            <v>388.7</v>
          </cell>
          <cell r="AS442">
            <v>532.6</v>
          </cell>
          <cell r="AT442">
            <v>70.78</v>
          </cell>
          <cell r="AU442">
            <v>170.17000000000002</v>
          </cell>
          <cell r="AV442">
            <v>276.59000000000003</v>
          </cell>
          <cell r="AW442">
            <v>432.98</v>
          </cell>
          <cell r="AX442">
            <v>29.19</v>
          </cell>
          <cell r="AY442">
            <v>69.08</v>
          </cell>
          <cell r="AZ442">
            <v>171.6</v>
          </cell>
          <cell r="BA442">
            <v>273.90999999999997</v>
          </cell>
          <cell r="BB442">
            <v>335.48999999999995</v>
          </cell>
        </row>
        <row r="443">
          <cell r="A443" t="str">
            <v>qtd</v>
          </cell>
          <cell r="B443">
            <v>1146.69</v>
          </cell>
          <cell r="C443">
            <v>2428.75</v>
          </cell>
          <cell r="D443">
            <v>3902.19</v>
          </cell>
          <cell r="E443">
            <v>5212.3099999999995</v>
          </cell>
          <cell r="F443">
            <v>6560.2</v>
          </cell>
          <cell r="G443">
            <v>8110.36</v>
          </cell>
          <cell r="H443">
            <v>9955.8799999999992</v>
          </cell>
          <cell r="I443">
            <v>12012.199999999999</v>
          </cell>
          <cell r="J443">
            <v>14162.599999999999</v>
          </cell>
          <cell r="K443">
            <v>15950.119999999999</v>
          </cell>
          <cell r="L443">
            <v>17657</v>
          </cell>
          <cell r="M443">
            <v>18974.12</v>
          </cell>
          <cell r="N443">
            <v>1800.96</v>
          </cell>
          <cell r="O443">
            <v>3548.16</v>
          </cell>
          <cell r="P443">
            <v>6142.08</v>
          </cell>
          <cell r="Q443">
            <v>8037.12</v>
          </cell>
          <cell r="R443">
            <v>9905.2800000000007</v>
          </cell>
          <cell r="S443">
            <v>11773.44</v>
          </cell>
          <cell r="T443">
            <v>13399.68</v>
          </cell>
          <cell r="U443">
            <v>15200.64</v>
          </cell>
          <cell r="V443">
            <v>17136</v>
          </cell>
          <cell r="W443">
            <v>18789.12</v>
          </cell>
          <cell r="X443">
            <v>20590.079999999998</v>
          </cell>
          <cell r="Y443">
            <v>22404.48</v>
          </cell>
          <cell r="Z443">
            <v>1962.24</v>
          </cell>
          <cell r="AA443">
            <v>3682.56</v>
          </cell>
          <cell r="AB443">
            <v>5644.8</v>
          </cell>
          <cell r="AC443">
            <v>7486.08</v>
          </cell>
          <cell r="AD443">
            <v>9757.44</v>
          </cell>
          <cell r="AE443">
            <v>12284.16</v>
          </cell>
          <cell r="AF443">
            <v>14232.96</v>
          </cell>
          <cell r="AG443">
            <v>16302.72</v>
          </cell>
          <cell r="AH443">
            <v>18009.599999999999</v>
          </cell>
          <cell r="AI443">
            <v>19756.8</v>
          </cell>
          <cell r="AJ443">
            <v>21288.959999999999</v>
          </cell>
          <cell r="AK443">
            <v>22824.11</v>
          </cell>
          <cell r="AL443">
            <v>1016.42</v>
          </cell>
          <cell r="AM443">
            <v>1513.59</v>
          </cell>
          <cell r="AN443">
            <v>1880.6299999999999</v>
          </cell>
          <cell r="AO443">
            <v>2108.1799999999998</v>
          </cell>
          <cell r="AP443">
            <v>2312.0699999999997</v>
          </cell>
          <cell r="AQ443">
            <v>2455.7699999999995</v>
          </cell>
          <cell r="AR443">
            <v>2496.8799999999997</v>
          </cell>
          <cell r="AS443">
            <v>2640.7799999999997</v>
          </cell>
          <cell r="AT443">
            <v>2711.56</v>
          </cell>
          <cell r="AU443">
            <v>2810.95</v>
          </cell>
          <cell r="AV443">
            <v>2917.37</v>
          </cell>
          <cell r="AW443">
            <v>3073.7599999999998</v>
          </cell>
          <cell r="AX443">
            <v>3102.95</v>
          </cell>
          <cell r="AY443">
            <v>3142.8399999999997</v>
          </cell>
          <cell r="AZ443">
            <v>3245.3599999999997</v>
          </cell>
          <cell r="BA443">
            <v>3347.6699999999996</v>
          </cell>
          <cell r="BB443">
            <v>3409.2499999999995</v>
          </cell>
        </row>
        <row r="444">
          <cell r="A444" t="str">
            <v>ytd</v>
          </cell>
          <cell r="B444">
            <v>1146.69</v>
          </cell>
          <cell r="C444">
            <v>2428.75</v>
          </cell>
          <cell r="D444">
            <v>3902.19</v>
          </cell>
          <cell r="E444">
            <v>5212.3099999999995</v>
          </cell>
          <cell r="F444">
            <v>6560.2</v>
          </cell>
          <cell r="G444">
            <v>8110.36</v>
          </cell>
          <cell r="H444">
            <v>9955.8799999999992</v>
          </cell>
          <cell r="I444">
            <v>12012.199999999999</v>
          </cell>
          <cell r="J444">
            <v>14162.599999999999</v>
          </cell>
          <cell r="K444">
            <v>15950.119999999999</v>
          </cell>
          <cell r="L444">
            <v>17657</v>
          </cell>
          <cell r="M444">
            <v>18974.12</v>
          </cell>
          <cell r="N444">
            <v>20775.079999999998</v>
          </cell>
          <cell r="O444">
            <v>22522.28</v>
          </cell>
          <cell r="P444">
            <v>25116.199999999997</v>
          </cell>
          <cell r="Q444">
            <v>27011.239999999998</v>
          </cell>
          <cell r="R444">
            <v>28879.399999999998</v>
          </cell>
          <cell r="S444">
            <v>30747.559999999998</v>
          </cell>
          <cell r="T444">
            <v>32373.8</v>
          </cell>
          <cell r="U444">
            <v>34174.76</v>
          </cell>
          <cell r="V444">
            <v>36110.120000000003</v>
          </cell>
          <cell r="W444">
            <v>37763.240000000005</v>
          </cell>
          <cell r="X444">
            <v>39564.200000000004</v>
          </cell>
          <cell r="Y444">
            <v>41378.600000000006</v>
          </cell>
          <cell r="Z444">
            <v>43340.840000000004</v>
          </cell>
          <cell r="AA444">
            <v>45061.16</v>
          </cell>
          <cell r="AB444">
            <v>47023.4</v>
          </cell>
          <cell r="AC444">
            <v>48864.68</v>
          </cell>
          <cell r="AD444">
            <v>51136.04</v>
          </cell>
          <cell r="AE444">
            <v>53662.76</v>
          </cell>
          <cell r="AF444">
            <v>55611.560000000005</v>
          </cell>
          <cell r="AG444">
            <v>57681.320000000007</v>
          </cell>
          <cell r="AH444">
            <v>59388.200000000004</v>
          </cell>
          <cell r="AI444">
            <v>61135.4</v>
          </cell>
          <cell r="AJ444">
            <v>62667.560000000005</v>
          </cell>
          <cell r="AK444">
            <v>64202.710000000006</v>
          </cell>
          <cell r="AL444">
            <v>65219.130000000005</v>
          </cell>
          <cell r="AM444">
            <v>65716.3</v>
          </cell>
          <cell r="AN444">
            <v>66083.34</v>
          </cell>
          <cell r="AO444">
            <v>66310.89</v>
          </cell>
          <cell r="AP444">
            <v>66514.78</v>
          </cell>
          <cell r="AQ444">
            <v>66658.48</v>
          </cell>
          <cell r="AR444">
            <v>66699.59</v>
          </cell>
          <cell r="AS444">
            <v>66843.489999999991</v>
          </cell>
          <cell r="AT444">
            <v>66914.26999999999</v>
          </cell>
          <cell r="AU444">
            <v>67013.659999999989</v>
          </cell>
          <cell r="AV444">
            <v>67120.079999999987</v>
          </cell>
          <cell r="AW444">
            <v>67276.469999999987</v>
          </cell>
          <cell r="AX444">
            <v>67305.659999999989</v>
          </cell>
          <cell r="AY444">
            <v>67345.549999999988</v>
          </cell>
          <cell r="AZ444">
            <v>67448.069999999992</v>
          </cell>
          <cell r="BA444">
            <v>67550.37999999999</v>
          </cell>
          <cell r="BB444">
            <v>67611.959999999992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19.95</v>
          </cell>
          <cell r="AW449">
            <v>98.28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19.95</v>
          </cell>
          <cell r="AW450">
            <v>118.23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19.95</v>
          </cell>
          <cell r="AW451">
            <v>118.23</v>
          </cell>
          <cell r="AX451">
            <v>118.23</v>
          </cell>
          <cell r="AY451">
            <v>118.23</v>
          </cell>
          <cell r="AZ451">
            <v>118.23</v>
          </cell>
          <cell r="BA451">
            <v>118.23</v>
          </cell>
          <cell r="BB451">
            <v>118.23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19.95</v>
          </cell>
          <cell r="AW452">
            <v>118.23</v>
          </cell>
          <cell r="AX452">
            <v>118.23</v>
          </cell>
          <cell r="AY452">
            <v>118.23</v>
          </cell>
          <cell r="AZ452">
            <v>118.23</v>
          </cell>
          <cell r="BA452">
            <v>118.23</v>
          </cell>
          <cell r="BB452">
            <v>118.23</v>
          </cell>
        </row>
        <row r="453">
          <cell r="A453" t="str">
            <v>TOTAL</v>
          </cell>
          <cell r="B453">
            <v>268579.33</v>
          </cell>
          <cell r="C453">
            <v>323628.90000000002</v>
          </cell>
          <cell r="D453">
            <v>303346.61</v>
          </cell>
          <cell r="E453">
            <v>296330.76999999996</v>
          </cell>
          <cell r="F453">
            <v>306555.99</v>
          </cell>
          <cell r="G453">
            <v>363487.82</v>
          </cell>
          <cell r="H453">
            <v>438601.78</v>
          </cell>
          <cell r="I453">
            <v>395952.60000000003</v>
          </cell>
          <cell r="J453">
            <v>505526.15</v>
          </cell>
          <cell r="K453">
            <v>427699.43</v>
          </cell>
          <cell r="L453">
            <v>443570.5</v>
          </cell>
          <cell r="M453">
            <v>456067.07</v>
          </cell>
          <cell r="N453">
            <v>387313.56000000006</v>
          </cell>
          <cell r="O453">
            <v>455787.19</v>
          </cell>
          <cell r="P453">
            <v>463662.8</v>
          </cell>
          <cell r="Q453">
            <v>456624.65999999992</v>
          </cell>
          <cell r="R453">
            <v>457051.91000000003</v>
          </cell>
          <cell r="S453">
            <v>573453.99</v>
          </cell>
          <cell r="T453">
            <v>800739.7300000001</v>
          </cell>
          <cell r="U453">
            <v>554298.91999999993</v>
          </cell>
          <cell r="V453">
            <v>536062.37</v>
          </cell>
          <cell r="W453">
            <v>517889.63</v>
          </cell>
          <cell r="X453">
            <v>537763.97</v>
          </cell>
          <cell r="Y453">
            <v>519131.64</v>
          </cell>
          <cell r="Z453">
            <v>539370</v>
          </cell>
          <cell r="AA453">
            <v>582177.14000000013</v>
          </cell>
          <cell r="AB453">
            <v>547726</v>
          </cell>
          <cell r="AC453">
            <v>504271.06</v>
          </cell>
          <cell r="AD453">
            <v>540746.96999999986</v>
          </cell>
          <cell r="AE453">
            <v>531024.92000000004</v>
          </cell>
          <cell r="AF453">
            <v>546237.67000000004</v>
          </cell>
          <cell r="AG453">
            <v>550018.66999999993</v>
          </cell>
          <cell r="AH453">
            <v>540616.05000000005</v>
          </cell>
          <cell r="AI453">
            <v>543288.16</v>
          </cell>
          <cell r="AJ453">
            <v>596114.41</v>
          </cell>
          <cell r="AK453">
            <v>872422.14999999991</v>
          </cell>
          <cell r="AL453">
            <v>580019.96000000008</v>
          </cell>
          <cell r="AM453">
            <v>573292.17000000004</v>
          </cell>
          <cell r="AN453">
            <v>596574.78999999992</v>
          </cell>
          <cell r="AO453">
            <v>560679.03999999992</v>
          </cell>
          <cell r="AP453">
            <v>469541.57</v>
          </cell>
          <cell r="AQ453">
            <v>493958.76</v>
          </cell>
          <cell r="AR453">
            <v>475407.93</v>
          </cell>
          <cell r="AS453">
            <v>482999.42000000004</v>
          </cell>
          <cell r="AT453">
            <v>594330.32999999996</v>
          </cell>
          <cell r="AU453">
            <v>776654.24000000011</v>
          </cell>
          <cell r="AV453">
            <v>834590.32000000007</v>
          </cell>
          <cell r="AW453">
            <v>1032491.8099999999</v>
          </cell>
          <cell r="AX453">
            <v>1721650.16</v>
          </cell>
          <cell r="AY453">
            <v>3081171.42</v>
          </cell>
          <cell r="AZ453">
            <v>6439248.3300000001</v>
          </cell>
          <cell r="BA453">
            <v>5835297.71</v>
          </cell>
          <cell r="BB453">
            <v>722605.55</v>
          </cell>
        </row>
        <row r="454">
          <cell r="A454" t="str">
            <v>ptd</v>
          </cell>
          <cell r="B454">
            <v>268579.33</v>
          </cell>
          <cell r="C454">
            <v>592208.23</v>
          </cell>
          <cell r="D454">
            <v>895554.84000000008</v>
          </cell>
          <cell r="E454">
            <v>1191885.6099999999</v>
          </cell>
          <cell r="F454">
            <v>306555.99</v>
          </cell>
          <cell r="G454">
            <v>670043.80999999994</v>
          </cell>
          <cell r="H454">
            <v>1108645.5900000001</v>
          </cell>
          <cell r="I454">
            <v>1504598.1900000002</v>
          </cell>
          <cell r="J454">
            <v>505526.15</v>
          </cell>
          <cell r="K454">
            <v>933225.58</v>
          </cell>
          <cell r="L454">
            <v>1376796.0799999998</v>
          </cell>
          <cell r="M454">
            <v>1832863.15</v>
          </cell>
          <cell r="N454">
            <v>387313.56</v>
          </cell>
          <cell r="O454">
            <v>843100.75</v>
          </cell>
          <cell r="P454">
            <v>1306763.55</v>
          </cell>
          <cell r="Q454">
            <v>1763388.21</v>
          </cell>
          <cell r="R454">
            <v>457051.91000000003</v>
          </cell>
          <cell r="S454">
            <v>1030505.9000000001</v>
          </cell>
          <cell r="T454">
            <v>1831245.6300000001</v>
          </cell>
          <cell r="U454">
            <v>2385544.5500000003</v>
          </cell>
          <cell r="V454">
            <v>536062.37</v>
          </cell>
          <cell r="W454">
            <v>1053952</v>
          </cell>
          <cell r="X454">
            <v>1591715.97</v>
          </cell>
          <cell r="Y454">
            <v>2110847.61</v>
          </cell>
          <cell r="Z454">
            <v>539370</v>
          </cell>
          <cell r="AA454">
            <v>1121547.1400000001</v>
          </cell>
          <cell r="AB454">
            <v>1669273.1400000001</v>
          </cell>
          <cell r="AC454">
            <v>2173544.2000000002</v>
          </cell>
          <cell r="AD454">
            <v>540746.97</v>
          </cell>
          <cell r="AE454">
            <v>1071771.8900000001</v>
          </cell>
          <cell r="AF454">
            <v>1618009.56</v>
          </cell>
          <cell r="AG454">
            <v>2168028.23</v>
          </cell>
          <cell r="AH454">
            <v>540616.05000000005</v>
          </cell>
          <cell r="AI454">
            <v>1083904.21</v>
          </cell>
          <cell r="AJ454">
            <v>1680018.62</v>
          </cell>
          <cell r="AK454">
            <v>2552440.7699999996</v>
          </cell>
          <cell r="AL454">
            <v>580019.96</v>
          </cell>
          <cell r="AM454">
            <v>1153312.1299999999</v>
          </cell>
          <cell r="AN454">
            <v>1749886.92</v>
          </cell>
          <cell r="AO454">
            <v>2310565.96</v>
          </cell>
          <cell r="AP454">
            <v>469541.57</v>
          </cell>
          <cell r="AQ454">
            <v>963500.33000000007</v>
          </cell>
          <cell r="AR454">
            <v>1438908.26</v>
          </cell>
          <cell r="AS454">
            <v>1921907.6800000002</v>
          </cell>
          <cell r="AT454">
            <v>594330.33000000007</v>
          </cell>
          <cell r="AU454">
            <v>1370984.57</v>
          </cell>
          <cell r="AV454">
            <v>2205574.89</v>
          </cell>
          <cell r="AW454">
            <v>3238066.7</v>
          </cell>
          <cell r="AX454">
            <v>1721650.1600000001</v>
          </cell>
          <cell r="AY454">
            <v>4802821.58</v>
          </cell>
          <cell r="AZ454">
            <v>11242069.91</v>
          </cell>
          <cell r="BA454">
            <v>17077367.619999997</v>
          </cell>
          <cell r="BB454">
            <v>17799973.169999998</v>
          </cell>
        </row>
        <row r="455">
          <cell r="A455" t="str">
            <v>qtd</v>
          </cell>
          <cell r="B455">
            <v>268579.33</v>
          </cell>
          <cell r="C455">
            <v>592208.23</v>
          </cell>
          <cell r="D455">
            <v>895554.84000000008</v>
          </cell>
          <cell r="E455">
            <v>1191885.6099999999</v>
          </cell>
          <cell r="F455">
            <v>1498441.5999999999</v>
          </cell>
          <cell r="G455">
            <v>1861929.4200000002</v>
          </cell>
          <cell r="H455">
            <v>2300531.2000000002</v>
          </cell>
          <cell r="I455">
            <v>2696483.8000000003</v>
          </cell>
          <cell r="J455">
            <v>3202009.95</v>
          </cell>
          <cell r="K455">
            <v>3629709.3800000008</v>
          </cell>
          <cell r="L455">
            <v>4073279.8800000004</v>
          </cell>
          <cell r="M455">
            <v>4529346.9500000011</v>
          </cell>
          <cell r="N455">
            <v>387313.56</v>
          </cell>
          <cell r="O455">
            <v>843100.75</v>
          </cell>
          <cell r="P455">
            <v>1306763.55</v>
          </cell>
          <cell r="Q455">
            <v>1763388.21</v>
          </cell>
          <cell r="R455">
            <v>2220440.12</v>
          </cell>
          <cell r="S455">
            <v>2793894.11</v>
          </cell>
          <cell r="T455">
            <v>3594633.84</v>
          </cell>
          <cell r="U455">
            <v>4148932.76</v>
          </cell>
          <cell r="V455">
            <v>4684995.129999999</v>
          </cell>
          <cell r="W455">
            <v>5202884.76</v>
          </cell>
          <cell r="X455">
            <v>5740648.7299999995</v>
          </cell>
          <cell r="Y455">
            <v>6259780.3700000001</v>
          </cell>
          <cell r="Z455">
            <v>539370</v>
          </cell>
          <cell r="AA455">
            <v>1121547.1400000001</v>
          </cell>
          <cell r="AB455">
            <v>1669273.1400000001</v>
          </cell>
          <cell r="AC455">
            <v>2173544.2000000002</v>
          </cell>
          <cell r="AD455">
            <v>2714291.17</v>
          </cell>
          <cell r="AE455">
            <v>3245316.09</v>
          </cell>
          <cell r="AF455">
            <v>3791553.76</v>
          </cell>
          <cell r="AG455">
            <v>4341572.43</v>
          </cell>
          <cell r="AH455">
            <v>4882188.4800000004</v>
          </cell>
          <cell r="AI455">
            <v>5425476.6400000006</v>
          </cell>
          <cell r="AJ455">
            <v>6021591.0500000007</v>
          </cell>
          <cell r="AK455">
            <v>6894013.2000000002</v>
          </cell>
          <cell r="AL455">
            <v>580019.96</v>
          </cell>
          <cell r="AM455">
            <v>1153312.1299999999</v>
          </cell>
          <cell r="AN455">
            <v>1749886.92</v>
          </cell>
          <cell r="AO455">
            <v>2310565.96</v>
          </cell>
          <cell r="AP455">
            <v>2780107.5300000003</v>
          </cell>
          <cell r="AQ455">
            <v>3274066.29</v>
          </cell>
          <cell r="AR455">
            <v>3749474.22</v>
          </cell>
          <cell r="AS455">
            <v>4232473.6400000006</v>
          </cell>
          <cell r="AT455">
            <v>4826803.9700000007</v>
          </cell>
          <cell r="AU455">
            <v>5603458.2100000009</v>
          </cell>
          <cell r="AV455">
            <v>6438048.5300000003</v>
          </cell>
          <cell r="AW455">
            <v>7470540.3399999999</v>
          </cell>
          <cell r="AX455">
            <v>9192190.5</v>
          </cell>
          <cell r="AY455">
            <v>12273361.920000002</v>
          </cell>
          <cell r="AZ455">
            <v>18712610.25</v>
          </cell>
          <cell r="BA455">
            <v>24547907.960000001</v>
          </cell>
          <cell r="BB455">
            <v>25270513.509999998</v>
          </cell>
        </row>
        <row r="456">
          <cell r="A456" t="str">
            <v>ytd</v>
          </cell>
          <cell r="B456">
            <v>268579.33</v>
          </cell>
          <cell r="C456">
            <v>592208.23</v>
          </cell>
          <cell r="D456">
            <v>895554.84000000008</v>
          </cell>
          <cell r="E456">
            <v>1191885.6099999999</v>
          </cell>
          <cell r="F456">
            <v>1498441.5999999999</v>
          </cell>
          <cell r="G456">
            <v>1861929.4200000002</v>
          </cell>
          <cell r="H456">
            <v>2300531.2000000002</v>
          </cell>
          <cell r="I456">
            <v>2696483.8000000003</v>
          </cell>
          <cell r="J456">
            <v>3202009.95</v>
          </cell>
          <cell r="K456">
            <v>3629709.3800000008</v>
          </cell>
          <cell r="L456">
            <v>4073279.8800000004</v>
          </cell>
          <cell r="M456">
            <v>4529346.9500000011</v>
          </cell>
          <cell r="N456">
            <v>4916660.5100000016</v>
          </cell>
          <cell r="O456">
            <v>5372447.7000000011</v>
          </cell>
          <cell r="P456">
            <v>5836110.5000000009</v>
          </cell>
          <cell r="Q456">
            <v>6292735.1600000011</v>
          </cell>
          <cell r="R456">
            <v>6749787.0700000003</v>
          </cell>
          <cell r="S456">
            <v>7323241.0600000005</v>
          </cell>
          <cell r="T456">
            <v>8123980.790000001</v>
          </cell>
          <cell r="U456">
            <v>8678279.7100000009</v>
          </cell>
          <cell r="V456">
            <v>9214342.0800000019</v>
          </cell>
          <cell r="W456">
            <v>9732231.7100000009</v>
          </cell>
          <cell r="X456">
            <v>10269995.680000002</v>
          </cell>
          <cell r="Y456">
            <v>10789127.320000002</v>
          </cell>
          <cell r="Z456">
            <v>11328497.32</v>
          </cell>
          <cell r="AA456">
            <v>11910674.460000001</v>
          </cell>
          <cell r="AB456">
            <v>12458400.460000001</v>
          </cell>
          <cell r="AC456">
            <v>12962671.520000001</v>
          </cell>
          <cell r="AD456">
            <v>13503418.49</v>
          </cell>
          <cell r="AE456">
            <v>14034443.409999998</v>
          </cell>
          <cell r="AF456">
            <v>14580681.08</v>
          </cell>
          <cell r="AG456">
            <v>15130699.75</v>
          </cell>
          <cell r="AH456">
            <v>15671315.799999999</v>
          </cell>
          <cell r="AI456">
            <v>16214603.960000001</v>
          </cell>
          <cell r="AJ456">
            <v>16810718.370000001</v>
          </cell>
          <cell r="AK456">
            <v>17683140.520000003</v>
          </cell>
          <cell r="AL456">
            <v>18263160.480000004</v>
          </cell>
          <cell r="AM456">
            <v>18836452.650000002</v>
          </cell>
          <cell r="AN456">
            <v>19433027.440000005</v>
          </cell>
          <cell r="AO456">
            <v>19993706.480000004</v>
          </cell>
          <cell r="AP456">
            <v>20463248.050000004</v>
          </cell>
          <cell r="AQ456">
            <v>20957206.810000002</v>
          </cell>
          <cell r="AR456">
            <v>21432614.740000006</v>
          </cell>
          <cell r="AS456">
            <v>21915614.160000004</v>
          </cell>
          <cell r="AT456">
            <v>22509944.490000002</v>
          </cell>
          <cell r="AU456">
            <v>23286598.730000004</v>
          </cell>
          <cell r="AV456">
            <v>24121189.050000004</v>
          </cell>
          <cell r="AW456">
            <v>25153680.860000003</v>
          </cell>
          <cell r="AX456">
            <v>26875331.020000003</v>
          </cell>
          <cell r="AY456">
            <v>29956502.440000005</v>
          </cell>
          <cell r="AZ456">
            <v>36395750.770000003</v>
          </cell>
          <cell r="BA456">
            <v>42231048.480000004</v>
          </cell>
          <cell r="BB456">
            <v>42953654.030000001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590927.99</v>
          </cell>
          <cell r="C460">
            <v>502035.08999999997</v>
          </cell>
          <cell r="D460">
            <v>572308.07000000007</v>
          </cell>
          <cell r="E460">
            <v>584371.4</v>
          </cell>
          <cell r="F460">
            <v>614732.89</v>
          </cell>
          <cell r="G460">
            <v>675537.02</v>
          </cell>
          <cell r="H460">
            <v>928542.09000000008</v>
          </cell>
          <cell r="I460">
            <v>514255.22</v>
          </cell>
          <cell r="J460">
            <v>557935.90999999992</v>
          </cell>
          <cell r="K460">
            <v>557173.52</v>
          </cell>
          <cell r="L460">
            <v>656081.19999999995</v>
          </cell>
          <cell r="M460">
            <v>1038697.72</v>
          </cell>
          <cell r="N460">
            <v>597383.53</v>
          </cell>
          <cell r="O460">
            <v>588875.47</v>
          </cell>
          <cell r="P460">
            <v>593112.09000000008</v>
          </cell>
          <cell r="Q460">
            <v>631032.15</v>
          </cell>
          <cell r="R460">
            <v>754833.89</v>
          </cell>
          <cell r="S460">
            <v>757458.6</v>
          </cell>
          <cell r="T460">
            <v>1312798.71</v>
          </cell>
          <cell r="U460">
            <v>1017290.5700000001</v>
          </cell>
          <cell r="V460">
            <v>892075.89</v>
          </cell>
          <cell r="W460">
            <v>953281.88</v>
          </cell>
          <cell r="X460">
            <v>1153196.31</v>
          </cell>
          <cell r="Y460">
            <v>1802738.9400000002</v>
          </cell>
          <cell r="Z460">
            <v>1253297.82</v>
          </cell>
          <cell r="AA460">
            <v>876028.33</v>
          </cell>
          <cell r="AB460">
            <v>810253.89999999991</v>
          </cell>
          <cell r="AC460">
            <v>826636.17999999993</v>
          </cell>
          <cell r="AD460">
            <v>843347.73</v>
          </cell>
          <cell r="AE460">
            <v>829040.46</v>
          </cell>
          <cell r="AF460">
            <v>820554</v>
          </cell>
          <cell r="AG460">
            <v>890199.79</v>
          </cell>
          <cell r="AH460">
            <v>849839.08000000007</v>
          </cell>
          <cell r="AI460">
            <v>766338.39999999991</v>
          </cell>
          <cell r="AJ460">
            <v>767623.62</v>
          </cell>
          <cell r="AK460">
            <v>602258.94999999995</v>
          </cell>
          <cell r="AL460">
            <v>618309.65999999992</v>
          </cell>
          <cell r="AM460">
            <v>598343.74</v>
          </cell>
          <cell r="AN460">
            <v>612622.39</v>
          </cell>
          <cell r="AO460">
            <v>607852.38</v>
          </cell>
          <cell r="AP460">
            <v>593867.59</v>
          </cell>
          <cell r="AQ460">
            <v>723502.15999999992</v>
          </cell>
          <cell r="AR460">
            <v>700232.01</v>
          </cell>
          <cell r="AS460">
            <v>760509.14</v>
          </cell>
          <cell r="AT460">
            <v>815031.55</v>
          </cell>
          <cell r="AU460">
            <v>921632.3600000001</v>
          </cell>
          <cell r="AV460">
            <v>997600.12</v>
          </cell>
          <cell r="AW460">
            <v>1177589.31</v>
          </cell>
          <cell r="AX460">
            <v>1701748.5899999999</v>
          </cell>
          <cell r="AY460">
            <v>3130812.04</v>
          </cell>
          <cell r="AZ460">
            <v>6604551.4000000004</v>
          </cell>
          <cell r="BA460">
            <v>8480632.0499999989</v>
          </cell>
          <cell r="BB460">
            <v>913643.87</v>
          </cell>
        </row>
        <row r="461">
          <cell r="A461" t="str">
            <v>ptd</v>
          </cell>
          <cell r="B461">
            <v>590927.99</v>
          </cell>
          <cell r="C461">
            <v>1092963.08</v>
          </cell>
          <cell r="D461">
            <v>1665271.1500000001</v>
          </cell>
          <cell r="E461">
            <v>2249642.5500000003</v>
          </cell>
          <cell r="F461">
            <v>614732.89</v>
          </cell>
          <cell r="G461">
            <v>1290269.9100000001</v>
          </cell>
          <cell r="H461">
            <v>2218812</v>
          </cell>
          <cell r="I461">
            <v>2733067.2199999997</v>
          </cell>
          <cell r="J461">
            <v>557935.90999999992</v>
          </cell>
          <cell r="K461">
            <v>1115109.43</v>
          </cell>
          <cell r="L461">
            <v>1771190.63</v>
          </cell>
          <cell r="M461">
            <v>2809888.3499999996</v>
          </cell>
          <cell r="N461">
            <v>597383.53</v>
          </cell>
          <cell r="O461">
            <v>1186259</v>
          </cell>
          <cell r="P461">
            <v>1779371.09</v>
          </cell>
          <cell r="Q461">
            <v>2410403.2400000002</v>
          </cell>
          <cell r="R461">
            <v>754833.89</v>
          </cell>
          <cell r="S461">
            <v>1512292.49</v>
          </cell>
          <cell r="T461">
            <v>2825091.2</v>
          </cell>
          <cell r="U461">
            <v>3842381.7700000005</v>
          </cell>
          <cell r="V461">
            <v>892075.89</v>
          </cell>
          <cell r="W461">
            <v>1845357.77</v>
          </cell>
          <cell r="X461">
            <v>2998554.08</v>
          </cell>
          <cell r="Y461">
            <v>4801293.0200000005</v>
          </cell>
          <cell r="Z461">
            <v>1253297.82</v>
          </cell>
          <cell r="AA461">
            <v>2129326.15</v>
          </cell>
          <cell r="AB461">
            <v>2939580.05</v>
          </cell>
          <cell r="AC461">
            <v>3766216.2299999995</v>
          </cell>
          <cell r="AD461">
            <v>843347.73</v>
          </cell>
          <cell r="AE461">
            <v>1672388.19</v>
          </cell>
          <cell r="AF461">
            <v>2492942.19</v>
          </cell>
          <cell r="AG461">
            <v>3383141.98</v>
          </cell>
          <cell r="AH461">
            <v>849839.08000000007</v>
          </cell>
          <cell r="AI461">
            <v>1616177.48</v>
          </cell>
          <cell r="AJ461">
            <v>2383801.1</v>
          </cell>
          <cell r="AK461">
            <v>2986060.05</v>
          </cell>
          <cell r="AL461">
            <v>618309.65999999992</v>
          </cell>
          <cell r="AM461">
            <v>1216653.3999999999</v>
          </cell>
          <cell r="AN461">
            <v>1829275.79</v>
          </cell>
          <cell r="AO461">
            <v>2437128.17</v>
          </cell>
          <cell r="AP461">
            <v>593867.59</v>
          </cell>
          <cell r="AQ461">
            <v>1317369.75</v>
          </cell>
          <cell r="AR461">
            <v>2017601.76</v>
          </cell>
          <cell r="AS461">
            <v>2778110.9</v>
          </cell>
          <cell r="AT461">
            <v>815031.55</v>
          </cell>
          <cell r="AU461">
            <v>1736663.9100000001</v>
          </cell>
          <cell r="AV461">
            <v>2734264.0300000003</v>
          </cell>
          <cell r="AW461">
            <v>3911853.3400000003</v>
          </cell>
          <cell r="AX461">
            <v>1701748.5899999999</v>
          </cell>
          <cell r="AY461">
            <v>4832560.63</v>
          </cell>
          <cell r="AZ461">
            <v>11437112.030000001</v>
          </cell>
          <cell r="BA461">
            <v>19917744.079999998</v>
          </cell>
          <cell r="BB461">
            <v>20831387.949999999</v>
          </cell>
        </row>
        <row r="462">
          <cell r="A462" t="str">
            <v>qtd</v>
          </cell>
          <cell r="B462">
            <v>590927.99</v>
          </cell>
          <cell r="C462">
            <v>1092963.08</v>
          </cell>
          <cell r="D462">
            <v>1665271.1500000001</v>
          </cell>
          <cell r="E462">
            <v>2249642.5500000003</v>
          </cell>
          <cell r="F462">
            <v>2864375.4400000004</v>
          </cell>
          <cell r="G462">
            <v>3539912.4600000004</v>
          </cell>
          <cell r="H462">
            <v>4468454.5500000007</v>
          </cell>
          <cell r="I462">
            <v>4982709.7700000005</v>
          </cell>
          <cell r="J462">
            <v>5540645.6800000006</v>
          </cell>
          <cell r="K462">
            <v>6097819.2000000011</v>
          </cell>
          <cell r="L462">
            <v>6753900.4000000013</v>
          </cell>
          <cell r="M462">
            <v>7792598.120000001</v>
          </cell>
          <cell r="N462">
            <v>597383.53</v>
          </cell>
          <cell r="O462">
            <v>1186259</v>
          </cell>
          <cell r="P462">
            <v>1779371.09</v>
          </cell>
          <cell r="Q462">
            <v>2410403.2400000002</v>
          </cell>
          <cell r="R462">
            <v>3165237.1300000004</v>
          </cell>
          <cell r="S462">
            <v>3922695.7300000004</v>
          </cell>
          <cell r="T462">
            <v>5235494.4400000004</v>
          </cell>
          <cell r="U462">
            <v>6252785.0100000007</v>
          </cell>
          <cell r="V462">
            <v>7144860.9000000004</v>
          </cell>
          <cell r="W462">
            <v>8098142.7800000003</v>
          </cell>
          <cell r="X462">
            <v>9251339.0899999999</v>
          </cell>
          <cell r="Y462">
            <v>11054078.029999999</v>
          </cell>
          <cell r="Z462">
            <v>1253297.82</v>
          </cell>
          <cell r="AA462">
            <v>2129326.15</v>
          </cell>
          <cell r="AB462">
            <v>2939580.05</v>
          </cell>
          <cell r="AC462">
            <v>3766216.2299999995</v>
          </cell>
          <cell r="AD462">
            <v>4609563.959999999</v>
          </cell>
          <cell r="AE462">
            <v>5438604.419999999</v>
          </cell>
          <cell r="AF462">
            <v>6259158.419999999</v>
          </cell>
          <cell r="AG462">
            <v>7149358.209999999</v>
          </cell>
          <cell r="AH462">
            <v>7999197.2899999991</v>
          </cell>
          <cell r="AI462">
            <v>8765535.6899999995</v>
          </cell>
          <cell r="AJ462">
            <v>9533159.3099999987</v>
          </cell>
          <cell r="AK462">
            <v>10135418.259999998</v>
          </cell>
          <cell r="AL462">
            <v>618309.65999999992</v>
          </cell>
          <cell r="AM462">
            <v>1216653.3999999999</v>
          </cell>
          <cell r="AN462">
            <v>1829275.79</v>
          </cell>
          <cell r="AO462">
            <v>2437128.17</v>
          </cell>
          <cell r="AP462">
            <v>3030995.76</v>
          </cell>
          <cell r="AQ462">
            <v>3754497.92</v>
          </cell>
          <cell r="AR462">
            <v>4454729.93</v>
          </cell>
          <cell r="AS462">
            <v>5215239.0699999994</v>
          </cell>
          <cell r="AT462">
            <v>6030270.6199999992</v>
          </cell>
          <cell r="AU462">
            <v>6951902.9799999995</v>
          </cell>
          <cell r="AV462">
            <v>7949503.0999999996</v>
          </cell>
          <cell r="AW462">
            <v>9127092.4100000001</v>
          </cell>
          <cell r="AX462">
            <v>10828841</v>
          </cell>
          <cell r="AY462">
            <v>13959653.039999999</v>
          </cell>
          <cell r="AZ462">
            <v>20564204.439999998</v>
          </cell>
          <cell r="BA462">
            <v>29044836.489999995</v>
          </cell>
          <cell r="BB462">
            <v>29958480.359999996</v>
          </cell>
        </row>
        <row r="463">
          <cell r="A463" t="str">
            <v>ytd</v>
          </cell>
          <cell r="B463">
            <v>590927.99</v>
          </cell>
          <cell r="C463">
            <v>1092963.08</v>
          </cell>
          <cell r="D463">
            <v>1665271.1500000001</v>
          </cell>
          <cell r="E463">
            <v>2249642.5500000003</v>
          </cell>
          <cell r="F463">
            <v>2864375.4400000004</v>
          </cell>
          <cell r="G463">
            <v>3539912.4600000004</v>
          </cell>
          <cell r="H463">
            <v>4468454.5500000007</v>
          </cell>
          <cell r="I463">
            <v>4982709.7700000005</v>
          </cell>
          <cell r="J463">
            <v>5540645.6800000006</v>
          </cell>
          <cell r="K463">
            <v>6097819.2000000011</v>
          </cell>
          <cell r="L463">
            <v>6753900.4000000013</v>
          </cell>
          <cell r="M463">
            <v>7792598.120000001</v>
          </cell>
          <cell r="N463">
            <v>8389981.6500000004</v>
          </cell>
          <cell r="O463">
            <v>8978857.120000001</v>
          </cell>
          <cell r="P463">
            <v>9571969.2100000009</v>
          </cell>
          <cell r="Q463">
            <v>10203001.360000001</v>
          </cell>
          <cell r="R463">
            <v>10957835.250000002</v>
          </cell>
          <cell r="S463">
            <v>11715293.850000001</v>
          </cell>
          <cell r="T463">
            <v>13028092.560000002</v>
          </cell>
          <cell r="U463">
            <v>14045383.130000003</v>
          </cell>
          <cell r="V463">
            <v>14937459.020000003</v>
          </cell>
          <cell r="W463">
            <v>15890740.900000004</v>
          </cell>
          <cell r="X463">
            <v>17043937.210000005</v>
          </cell>
          <cell r="Y463">
            <v>18846676.150000006</v>
          </cell>
          <cell r="Z463">
            <v>20099973.970000006</v>
          </cell>
          <cell r="AA463">
            <v>20976002.300000004</v>
          </cell>
          <cell r="AB463">
            <v>21786256.200000003</v>
          </cell>
          <cell r="AC463">
            <v>22612892.380000003</v>
          </cell>
          <cell r="AD463">
            <v>23456240.110000003</v>
          </cell>
          <cell r="AE463">
            <v>24285280.570000004</v>
          </cell>
          <cell r="AF463">
            <v>25105834.570000004</v>
          </cell>
          <cell r="AG463">
            <v>25996034.360000003</v>
          </cell>
          <cell r="AH463">
            <v>26845873.440000005</v>
          </cell>
          <cell r="AI463">
            <v>27612211.840000004</v>
          </cell>
          <cell r="AJ463">
            <v>28379835.460000005</v>
          </cell>
          <cell r="AK463">
            <v>28982094.410000004</v>
          </cell>
          <cell r="AL463">
            <v>29600404.070000004</v>
          </cell>
          <cell r="AM463">
            <v>30198747.810000002</v>
          </cell>
          <cell r="AN463">
            <v>30811370.200000003</v>
          </cell>
          <cell r="AO463">
            <v>31419222.580000002</v>
          </cell>
          <cell r="AP463">
            <v>32013090.170000002</v>
          </cell>
          <cell r="AQ463">
            <v>32736592.330000002</v>
          </cell>
          <cell r="AR463">
            <v>33436824.340000004</v>
          </cell>
          <cell r="AS463">
            <v>34197333.480000004</v>
          </cell>
          <cell r="AT463">
            <v>35012365.030000001</v>
          </cell>
          <cell r="AU463">
            <v>35933997.390000001</v>
          </cell>
          <cell r="AV463">
            <v>36931597.509999998</v>
          </cell>
          <cell r="AW463">
            <v>38109186.82</v>
          </cell>
          <cell r="AX463">
            <v>39810935.409999996</v>
          </cell>
          <cell r="AY463">
            <v>42941747.449999996</v>
          </cell>
          <cell r="AZ463">
            <v>49546298.849999994</v>
          </cell>
          <cell r="BA463">
            <v>58026930.899999991</v>
          </cell>
          <cell r="BB463">
            <v>58940574.769999988</v>
          </cell>
        </row>
        <row r="464">
          <cell r="A464" t="str">
            <v>PART</v>
          </cell>
          <cell r="B464">
            <v>23633307.34</v>
          </cell>
          <cell r="C464">
            <v>20254249.870000001</v>
          </cell>
          <cell r="D464">
            <v>20244578.98</v>
          </cell>
          <cell r="E464">
            <v>20218142.859999999</v>
          </cell>
          <cell r="F464">
            <v>20899263.720000003</v>
          </cell>
          <cell r="G464">
            <v>22911269.52</v>
          </cell>
          <cell r="H464">
            <v>32948615.809999999</v>
          </cell>
          <cell r="I464">
            <v>20635413.75</v>
          </cell>
          <cell r="J464">
            <v>20970174.25</v>
          </cell>
          <cell r="K464">
            <v>21436366.009999998</v>
          </cell>
          <cell r="L464">
            <v>24356776.739999998</v>
          </cell>
          <cell r="M464">
            <v>34382981.5</v>
          </cell>
          <cell r="N464">
            <v>22437838.630000003</v>
          </cell>
          <cell r="O464">
            <v>23716445.489999998</v>
          </cell>
          <cell r="P464">
            <v>23892664.550000001</v>
          </cell>
          <cell r="Q464">
            <v>25569123.969999999</v>
          </cell>
          <cell r="R464">
            <v>29890782.52</v>
          </cell>
          <cell r="S464">
            <v>30109884.289999999</v>
          </cell>
          <cell r="T464">
            <v>50783770.189999998</v>
          </cell>
          <cell r="U464">
            <v>38786076.719999999</v>
          </cell>
          <cell r="V464">
            <v>35098538.140000008</v>
          </cell>
          <cell r="W464">
            <v>35300761.520000003</v>
          </cell>
          <cell r="X464">
            <v>41151888.339999996</v>
          </cell>
          <cell r="Y464">
            <v>61677174.709999993</v>
          </cell>
          <cell r="Z464">
            <v>45131571.560000002</v>
          </cell>
          <cell r="AA464">
            <v>33818091.329999998</v>
          </cell>
          <cell r="AB464">
            <v>29946492.430000003</v>
          </cell>
          <cell r="AC464">
            <v>29222790.290000003</v>
          </cell>
          <cell r="AD464">
            <v>30302552.970000003</v>
          </cell>
          <cell r="AE464">
            <v>29618855.960000001</v>
          </cell>
          <cell r="AF464">
            <v>30115995.73</v>
          </cell>
          <cell r="AG464">
            <v>31929217.619999997</v>
          </cell>
          <cell r="AH464">
            <v>33372205.859999999</v>
          </cell>
          <cell r="AI464">
            <v>34440645.010000005</v>
          </cell>
          <cell r="AJ464">
            <v>34157331.07</v>
          </cell>
          <cell r="AK464">
            <v>28447124.329999998</v>
          </cell>
          <cell r="AL464">
            <v>28286254.050000001</v>
          </cell>
          <cell r="AM464">
            <v>28366580.030000001</v>
          </cell>
          <cell r="AN464">
            <v>28199304.449999999</v>
          </cell>
          <cell r="AO464">
            <v>28800346.789999999</v>
          </cell>
          <cell r="AP464">
            <v>27868914.969999999</v>
          </cell>
          <cell r="AQ464">
            <v>30834142.449999996</v>
          </cell>
          <cell r="AR464">
            <v>30190158.849999998</v>
          </cell>
          <cell r="AS464">
            <v>31376805.719999999</v>
          </cell>
          <cell r="AT464">
            <v>32843924.050000001</v>
          </cell>
          <cell r="AU464">
            <v>37608252.25</v>
          </cell>
          <cell r="AV464">
            <v>43031688.450000003</v>
          </cell>
          <cell r="AW464">
            <v>54658024.679999992</v>
          </cell>
          <cell r="AX464">
            <v>75357703.040000007</v>
          </cell>
          <cell r="AY464">
            <v>132633563.73000002</v>
          </cell>
          <cell r="AZ464">
            <v>260949353.70999998</v>
          </cell>
          <cell r="BA464">
            <v>320643671.74000001</v>
          </cell>
          <cell r="BB464">
            <v>38072790.960000001</v>
          </cell>
        </row>
        <row r="465">
          <cell r="A465" t="str">
            <v>ptd</v>
          </cell>
          <cell r="B465">
            <v>23633307.34</v>
          </cell>
          <cell r="C465">
            <v>43887557.210000001</v>
          </cell>
          <cell r="D465">
            <v>64132136.189999998</v>
          </cell>
          <cell r="E465">
            <v>84350279.049999997</v>
          </cell>
          <cell r="F465">
            <v>20899263.720000003</v>
          </cell>
          <cell r="G465">
            <v>43810533.240000002</v>
          </cell>
          <cell r="H465">
            <v>76759149.049999997</v>
          </cell>
          <cell r="I465">
            <v>97394562.799999997</v>
          </cell>
          <cell r="J465">
            <v>20970174.25</v>
          </cell>
          <cell r="K465">
            <v>42406540.259999998</v>
          </cell>
          <cell r="L465">
            <v>66763317</v>
          </cell>
          <cell r="M465">
            <v>101146298.5</v>
          </cell>
          <cell r="N465">
            <v>22437838.630000003</v>
          </cell>
          <cell r="O465">
            <v>46154284.120000005</v>
          </cell>
          <cell r="P465">
            <v>70046948.670000002</v>
          </cell>
          <cell r="Q465">
            <v>95616072.640000001</v>
          </cell>
          <cell r="R465">
            <v>29890782.52</v>
          </cell>
          <cell r="S465">
            <v>60000666.810000002</v>
          </cell>
          <cell r="T465">
            <v>110784437</v>
          </cell>
          <cell r="U465">
            <v>149570513.72</v>
          </cell>
          <cell r="V465">
            <v>35098538.140000008</v>
          </cell>
          <cell r="W465">
            <v>70399299.660000011</v>
          </cell>
          <cell r="X465">
            <v>111551188</v>
          </cell>
          <cell r="Y465">
            <v>173228362.70999998</v>
          </cell>
          <cell r="Z465">
            <v>45131571.560000002</v>
          </cell>
          <cell r="AA465">
            <v>78949662.890000001</v>
          </cell>
          <cell r="AB465">
            <v>108896155.32000001</v>
          </cell>
          <cell r="AC465">
            <v>138118945.61000001</v>
          </cell>
          <cell r="AD465">
            <v>30302552.970000003</v>
          </cell>
          <cell r="AE465">
            <v>59921408.930000007</v>
          </cell>
          <cell r="AF465">
            <v>90037404.660000011</v>
          </cell>
          <cell r="AG465">
            <v>121966622.28</v>
          </cell>
          <cell r="AH465">
            <v>33372205.859999999</v>
          </cell>
          <cell r="AI465">
            <v>67812850.870000005</v>
          </cell>
          <cell r="AJ465">
            <v>101970181.94</v>
          </cell>
          <cell r="AK465">
            <v>130417306.27</v>
          </cell>
          <cell r="AL465">
            <v>28286254.050000001</v>
          </cell>
          <cell r="AM465">
            <v>56652834.079999998</v>
          </cell>
          <cell r="AN465">
            <v>84852138.530000001</v>
          </cell>
          <cell r="AO465">
            <v>113652485.31999999</v>
          </cell>
          <cell r="AP465">
            <v>27868914.969999999</v>
          </cell>
          <cell r="AQ465">
            <v>58703057.419999994</v>
          </cell>
          <cell r="AR465">
            <v>88893216.269999996</v>
          </cell>
          <cell r="AS465">
            <v>120270021.98999999</v>
          </cell>
          <cell r="AT465">
            <v>32843924.050000001</v>
          </cell>
          <cell r="AU465">
            <v>70452176.299999997</v>
          </cell>
          <cell r="AV465">
            <v>113483864.75</v>
          </cell>
          <cell r="AW465">
            <v>168141889.43000001</v>
          </cell>
          <cell r="AX465">
            <v>75357703.040000007</v>
          </cell>
          <cell r="AY465">
            <v>207991266.77000004</v>
          </cell>
          <cell r="AZ465">
            <v>468940620.48000002</v>
          </cell>
          <cell r="BA465">
            <v>789584292.22000003</v>
          </cell>
          <cell r="BB465">
            <v>827657083.18000007</v>
          </cell>
        </row>
        <row r="466">
          <cell r="A466" t="str">
            <v>qtd</v>
          </cell>
          <cell r="B466">
            <v>23633307.34</v>
          </cell>
          <cell r="C466">
            <v>43887557.210000001</v>
          </cell>
          <cell r="D466">
            <v>64132136.189999998</v>
          </cell>
          <cell r="E466">
            <v>84350279.049999997</v>
          </cell>
          <cell r="F466">
            <v>105249542.77</v>
          </cell>
          <cell r="G466">
            <v>128160812.28999999</v>
          </cell>
          <cell r="H466">
            <v>161109428.09999999</v>
          </cell>
          <cell r="I466">
            <v>181744841.84999999</v>
          </cell>
          <cell r="J466">
            <v>202715016.09999999</v>
          </cell>
          <cell r="K466">
            <v>224151382.10999998</v>
          </cell>
          <cell r="L466">
            <v>248508158.84999999</v>
          </cell>
          <cell r="M466">
            <v>282891140.35000002</v>
          </cell>
          <cell r="N466">
            <v>22437838.630000003</v>
          </cell>
          <cell r="O466">
            <v>46154284.120000005</v>
          </cell>
          <cell r="P466">
            <v>70046948.670000002</v>
          </cell>
          <cell r="Q466">
            <v>95616072.640000001</v>
          </cell>
          <cell r="R466">
            <v>125506855.16</v>
          </cell>
          <cell r="S466">
            <v>155616739.44999999</v>
          </cell>
          <cell r="T466">
            <v>206400509.63999999</v>
          </cell>
          <cell r="U466">
            <v>245186586.35999998</v>
          </cell>
          <cell r="V466">
            <v>280285124.5</v>
          </cell>
          <cell r="W466">
            <v>315585886.01999998</v>
          </cell>
          <cell r="X466">
            <v>356737774.35999995</v>
          </cell>
          <cell r="Y466">
            <v>418414949.06999993</v>
          </cell>
          <cell r="Z466">
            <v>45131571.560000002</v>
          </cell>
          <cell r="AA466">
            <v>78949662.890000001</v>
          </cell>
          <cell r="AB466">
            <v>108896155.32000001</v>
          </cell>
          <cell r="AC466">
            <v>138118945.61000001</v>
          </cell>
          <cell r="AD466">
            <v>168421498.58000001</v>
          </cell>
          <cell r="AE466">
            <v>198040354.54000002</v>
          </cell>
          <cell r="AF466">
            <v>228156350.27000001</v>
          </cell>
          <cell r="AG466">
            <v>260085567.89000002</v>
          </cell>
          <cell r="AH466">
            <v>293457773.75</v>
          </cell>
          <cell r="AI466">
            <v>327898418.75999999</v>
          </cell>
          <cell r="AJ466">
            <v>362055749.82999998</v>
          </cell>
          <cell r="AK466">
            <v>390502874.15999997</v>
          </cell>
          <cell r="AL466">
            <v>28286254.050000001</v>
          </cell>
          <cell r="AM466">
            <v>56652834.079999998</v>
          </cell>
          <cell r="AN466">
            <v>84852138.530000001</v>
          </cell>
          <cell r="AO466">
            <v>113652485.31999999</v>
          </cell>
          <cell r="AP466">
            <v>141521400.28999999</v>
          </cell>
          <cell r="AQ466">
            <v>172355542.73999998</v>
          </cell>
          <cell r="AR466">
            <v>202545701.58999997</v>
          </cell>
          <cell r="AS466">
            <v>233922507.30999997</v>
          </cell>
          <cell r="AT466">
            <v>266766431.35999998</v>
          </cell>
          <cell r="AU466">
            <v>304374683.61000001</v>
          </cell>
          <cell r="AV466">
            <v>347406372.06</v>
          </cell>
          <cell r="AW466">
            <v>402064396.74000001</v>
          </cell>
          <cell r="AX466">
            <v>477422099.78000003</v>
          </cell>
          <cell r="AY466">
            <v>610055663.50999999</v>
          </cell>
          <cell r="AZ466">
            <v>871005017.22000003</v>
          </cell>
          <cell r="BA466">
            <v>1191648688.96</v>
          </cell>
          <cell r="BB466">
            <v>1229721479.9200001</v>
          </cell>
        </row>
        <row r="467">
          <cell r="A467" t="str">
            <v>ytd</v>
          </cell>
          <cell r="B467">
            <v>23633307.34</v>
          </cell>
          <cell r="C467">
            <v>43887557.210000001</v>
          </cell>
          <cell r="D467">
            <v>64132136.189999998</v>
          </cell>
          <cell r="E467">
            <v>84350279.049999997</v>
          </cell>
          <cell r="F467">
            <v>105249542.77</v>
          </cell>
          <cell r="G467">
            <v>128160812.28999999</v>
          </cell>
          <cell r="H467">
            <v>161109428.09999999</v>
          </cell>
          <cell r="I467">
            <v>181744841.84999999</v>
          </cell>
          <cell r="J467">
            <v>202715016.09999999</v>
          </cell>
          <cell r="K467">
            <v>224151382.10999998</v>
          </cell>
          <cell r="L467">
            <v>248508158.84999999</v>
          </cell>
          <cell r="M467">
            <v>282891140.35000002</v>
          </cell>
          <cell r="N467">
            <v>305328978.98000002</v>
          </cell>
          <cell r="O467">
            <v>329045424.47000003</v>
          </cell>
          <cell r="P467">
            <v>352938089.02000004</v>
          </cell>
          <cell r="Q467">
            <v>378507212.99000001</v>
          </cell>
          <cell r="R467">
            <v>408397995.50999999</v>
          </cell>
          <cell r="S467">
            <v>438507879.80000001</v>
          </cell>
          <cell r="T467">
            <v>489291649.99000001</v>
          </cell>
          <cell r="U467">
            <v>528077726.71000004</v>
          </cell>
          <cell r="V467">
            <v>563176264.85000002</v>
          </cell>
          <cell r="W467">
            <v>598477026.37</v>
          </cell>
          <cell r="X467">
            <v>639628914.71000004</v>
          </cell>
          <cell r="Y467">
            <v>701306089.42000008</v>
          </cell>
          <cell r="Z467">
            <v>746437660.98000002</v>
          </cell>
          <cell r="AA467">
            <v>780255752.31000006</v>
          </cell>
          <cell r="AB467">
            <v>810202244.74000001</v>
          </cell>
          <cell r="AC467">
            <v>839425035.02999997</v>
          </cell>
          <cell r="AD467">
            <v>869727588</v>
          </cell>
          <cell r="AE467">
            <v>899346443.96000004</v>
          </cell>
          <cell r="AF467">
            <v>929462439.69000006</v>
          </cell>
          <cell r="AG467">
            <v>961391657.31000006</v>
          </cell>
          <cell r="AH467">
            <v>994763863.17000008</v>
          </cell>
          <cell r="AI467">
            <v>1029204508.1800001</v>
          </cell>
          <cell r="AJ467">
            <v>1063361839.2500001</v>
          </cell>
          <cell r="AK467">
            <v>1091808963.5800002</v>
          </cell>
          <cell r="AL467">
            <v>1120095217.6300001</v>
          </cell>
          <cell r="AM467">
            <v>1148461797.6600001</v>
          </cell>
          <cell r="AN467">
            <v>1176661102.1100001</v>
          </cell>
          <cell r="AO467">
            <v>1205461448.9000001</v>
          </cell>
          <cell r="AP467">
            <v>1233330363.8700001</v>
          </cell>
          <cell r="AQ467">
            <v>1264164506.3200002</v>
          </cell>
          <cell r="AR467">
            <v>1294354665.1700001</v>
          </cell>
          <cell r="AS467">
            <v>1325731470.8900001</v>
          </cell>
          <cell r="AT467">
            <v>1358575394.9400001</v>
          </cell>
          <cell r="AU467">
            <v>1396183647.1900001</v>
          </cell>
          <cell r="AV467">
            <v>1439215335.6400001</v>
          </cell>
          <cell r="AW467">
            <v>1493873360.3200002</v>
          </cell>
          <cell r="AX467">
            <v>1569231063.3600001</v>
          </cell>
          <cell r="AY467">
            <v>1701864627.0900002</v>
          </cell>
          <cell r="AZ467">
            <v>1962813980.8000002</v>
          </cell>
          <cell r="BA467">
            <v>2283457652.54</v>
          </cell>
          <cell r="BB467">
            <v>2321530443.5</v>
          </cell>
        </row>
        <row r="468">
          <cell r="A468" t="str">
            <v>PRED</v>
          </cell>
          <cell r="B468">
            <v>2297993.59</v>
          </cell>
          <cell r="C468">
            <v>2160148.91</v>
          </cell>
          <cell r="D468">
            <v>2292603.86</v>
          </cell>
          <cell r="E468">
            <v>2150806.48</v>
          </cell>
          <cell r="F468">
            <v>2541109.4200000004</v>
          </cell>
          <cell r="G468">
            <v>2515089.6800000002</v>
          </cell>
          <cell r="H468">
            <v>2464706.42</v>
          </cell>
          <cell r="I468">
            <v>2431746.61</v>
          </cell>
          <cell r="J468">
            <v>2623238.8400000003</v>
          </cell>
          <cell r="K468">
            <v>2620375.91</v>
          </cell>
          <cell r="L468">
            <v>2620000.63</v>
          </cell>
          <cell r="M468">
            <v>2511958.8699999996</v>
          </cell>
          <cell r="N468">
            <v>2270831.4</v>
          </cell>
          <cell r="O468">
            <v>2637941.2400000002</v>
          </cell>
          <cell r="P468">
            <v>2236917.9900000002</v>
          </cell>
          <cell r="Q468">
            <v>2356014.64</v>
          </cell>
          <cell r="R468">
            <v>2246181.69</v>
          </cell>
          <cell r="S468">
            <v>2457352.16</v>
          </cell>
          <cell r="T468">
            <v>2362514.0499999998</v>
          </cell>
          <cell r="U468">
            <v>2311141.9</v>
          </cell>
          <cell r="V468">
            <v>2408073.4500000002</v>
          </cell>
          <cell r="W468">
            <v>2353676.0699999998</v>
          </cell>
          <cell r="X468">
            <v>2768008.5300000003</v>
          </cell>
          <cell r="Y468">
            <v>2558437.0500000003</v>
          </cell>
          <cell r="Z468">
            <v>2572264.7599999998</v>
          </cell>
          <cell r="AA468">
            <v>2513921.2000000002</v>
          </cell>
          <cell r="AB468">
            <v>2775080.2399999998</v>
          </cell>
          <cell r="AC468">
            <v>2576871.7400000002</v>
          </cell>
          <cell r="AD468">
            <v>2606323.0099999998</v>
          </cell>
          <cell r="AE468">
            <v>2352309.19</v>
          </cell>
          <cell r="AF468">
            <v>2583102.3199999998</v>
          </cell>
          <cell r="AG468">
            <v>2505455.83</v>
          </cell>
          <cell r="AH468">
            <v>2439099.81</v>
          </cell>
          <cell r="AI468">
            <v>2529861.14</v>
          </cell>
          <cell r="AJ468">
            <v>2598560.67</v>
          </cell>
          <cell r="AK468">
            <v>2611656.35</v>
          </cell>
          <cell r="AL468">
            <v>2553092.9999999995</v>
          </cell>
          <cell r="AM468">
            <v>2642605.56</v>
          </cell>
          <cell r="AN468">
            <v>2473703.7600000002</v>
          </cell>
          <cell r="AO468">
            <v>2923032.83</v>
          </cell>
          <cell r="AP468">
            <v>2617011.27</v>
          </cell>
          <cell r="AQ468">
            <v>2525539.42</v>
          </cell>
          <cell r="AR468">
            <v>2451871.8999999994</v>
          </cell>
          <cell r="AS468">
            <v>2407271.91</v>
          </cell>
          <cell r="AT468">
            <v>2630074.2999999998</v>
          </cell>
          <cell r="AU468">
            <v>2405498.3000000003</v>
          </cell>
          <cell r="AV468">
            <v>2623660.34</v>
          </cell>
          <cell r="AW468">
            <v>2239636.5099999998</v>
          </cell>
          <cell r="AX468">
            <v>2829854.0999999996</v>
          </cell>
          <cell r="AY468">
            <v>2632902.87</v>
          </cell>
          <cell r="AZ468">
            <v>3245244.07</v>
          </cell>
          <cell r="BA468">
            <v>2826293.3</v>
          </cell>
          <cell r="BB468">
            <v>2574356.91</v>
          </cell>
        </row>
        <row r="469">
          <cell r="A469" t="str">
            <v>ptd</v>
          </cell>
          <cell r="B469">
            <v>2297993.59</v>
          </cell>
          <cell r="C469">
            <v>4458142.5</v>
          </cell>
          <cell r="D469">
            <v>6750746.3599999994</v>
          </cell>
          <cell r="E469">
            <v>8901552.8399999999</v>
          </cell>
          <cell r="F469">
            <v>2541109.4200000004</v>
          </cell>
          <cell r="G469">
            <v>5056199.1000000006</v>
          </cell>
          <cell r="H469">
            <v>7520905.5200000005</v>
          </cell>
          <cell r="I469">
            <v>9952652.1300000008</v>
          </cell>
          <cell r="J469">
            <v>2623238.8400000003</v>
          </cell>
          <cell r="K469">
            <v>5243614.75</v>
          </cell>
          <cell r="L469">
            <v>7863615.3799999999</v>
          </cell>
          <cell r="M469">
            <v>10375574.25</v>
          </cell>
          <cell r="N469">
            <v>2270831.4</v>
          </cell>
          <cell r="O469">
            <v>4908772.6400000006</v>
          </cell>
          <cell r="P469">
            <v>7145690.6300000008</v>
          </cell>
          <cell r="Q469">
            <v>9501705.2700000014</v>
          </cell>
          <cell r="R469">
            <v>2246181.69</v>
          </cell>
          <cell r="S469">
            <v>4703533.8499999996</v>
          </cell>
          <cell r="T469">
            <v>7066047.8999999994</v>
          </cell>
          <cell r="U469">
            <v>9377189.7999999989</v>
          </cell>
          <cell r="V469">
            <v>2408073.4500000002</v>
          </cell>
          <cell r="W469">
            <v>4761749.5199999996</v>
          </cell>
          <cell r="X469">
            <v>7529758.0499999998</v>
          </cell>
          <cell r="Y469">
            <v>10088195.1</v>
          </cell>
          <cell r="Z469">
            <v>2572264.7599999998</v>
          </cell>
          <cell r="AA469">
            <v>5086185.96</v>
          </cell>
          <cell r="AB469">
            <v>7861266.1999999993</v>
          </cell>
          <cell r="AC469">
            <v>10438137.939999999</v>
          </cell>
          <cell r="AD469">
            <v>2606323.0099999998</v>
          </cell>
          <cell r="AE469">
            <v>4958632.1999999993</v>
          </cell>
          <cell r="AF469">
            <v>7541734.5199999996</v>
          </cell>
          <cell r="AG469">
            <v>10047190.35</v>
          </cell>
          <cell r="AH469">
            <v>2439099.81</v>
          </cell>
          <cell r="AI469">
            <v>4968960.95</v>
          </cell>
          <cell r="AJ469">
            <v>7567521.6200000001</v>
          </cell>
          <cell r="AK469">
            <v>10179177.970000001</v>
          </cell>
          <cell r="AL469">
            <v>2553092.9999999995</v>
          </cell>
          <cell r="AM469">
            <v>5195698.5599999996</v>
          </cell>
          <cell r="AN469">
            <v>7669402.3200000003</v>
          </cell>
          <cell r="AO469">
            <v>10592435.15</v>
          </cell>
          <cell r="AP469">
            <v>2617011.27</v>
          </cell>
          <cell r="AQ469">
            <v>5142550.6899999995</v>
          </cell>
          <cell r="AR469">
            <v>7594422.5899999989</v>
          </cell>
          <cell r="AS469">
            <v>10001694.5</v>
          </cell>
          <cell r="AT469">
            <v>2630074.2999999998</v>
          </cell>
          <cell r="AU469">
            <v>5035572.5999999996</v>
          </cell>
          <cell r="AV469">
            <v>7659232.9399999995</v>
          </cell>
          <cell r="AW469">
            <v>9898869.4499999993</v>
          </cell>
          <cell r="AX469">
            <v>2829854.0999999996</v>
          </cell>
          <cell r="AY469">
            <v>5462756.9699999997</v>
          </cell>
          <cell r="AZ469">
            <v>8708001.0399999991</v>
          </cell>
          <cell r="BA469">
            <v>11534294.34</v>
          </cell>
          <cell r="BB469">
            <v>14108651.25</v>
          </cell>
        </row>
        <row r="470">
          <cell r="A470" t="str">
            <v>qtd</v>
          </cell>
          <cell r="B470">
            <v>2297993.59</v>
          </cell>
          <cell r="C470">
            <v>4458142.5</v>
          </cell>
          <cell r="D470">
            <v>6750746.3599999994</v>
          </cell>
          <cell r="E470">
            <v>8901552.8399999999</v>
          </cell>
          <cell r="F470">
            <v>11442662.26</v>
          </cell>
          <cell r="G470">
            <v>13957751.939999999</v>
          </cell>
          <cell r="H470">
            <v>16422458.359999999</v>
          </cell>
          <cell r="I470">
            <v>18854204.969999999</v>
          </cell>
          <cell r="J470">
            <v>21477443.809999999</v>
          </cell>
          <cell r="K470">
            <v>24097819.719999999</v>
          </cell>
          <cell r="L470">
            <v>26717820.349999998</v>
          </cell>
          <cell r="M470">
            <v>29229779.219999999</v>
          </cell>
          <cell r="N470">
            <v>2270831.4</v>
          </cell>
          <cell r="O470">
            <v>4908772.6400000006</v>
          </cell>
          <cell r="P470">
            <v>7145690.6300000008</v>
          </cell>
          <cell r="Q470">
            <v>9501705.2700000014</v>
          </cell>
          <cell r="R470">
            <v>11747886.960000001</v>
          </cell>
          <cell r="S470">
            <v>14205239.120000001</v>
          </cell>
          <cell r="T470">
            <v>16567753.170000002</v>
          </cell>
          <cell r="U470">
            <v>18878895.07</v>
          </cell>
          <cell r="V470">
            <v>21286968.52</v>
          </cell>
          <cell r="W470">
            <v>23640644.59</v>
          </cell>
          <cell r="X470">
            <v>26408653.120000001</v>
          </cell>
          <cell r="Y470">
            <v>28967090.170000002</v>
          </cell>
          <cell r="Z470">
            <v>2572264.7599999998</v>
          </cell>
          <cell r="AA470">
            <v>5086185.96</v>
          </cell>
          <cell r="AB470">
            <v>7861266.1999999993</v>
          </cell>
          <cell r="AC470">
            <v>10438137.939999999</v>
          </cell>
          <cell r="AD470">
            <v>13044460.949999999</v>
          </cell>
          <cell r="AE470">
            <v>15396770.139999999</v>
          </cell>
          <cell r="AF470">
            <v>17979872.459999997</v>
          </cell>
          <cell r="AG470">
            <v>20485328.289999999</v>
          </cell>
          <cell r="AH470">
            <v>22924428.099999998</v>
          </cell>
          <cell r="AI470">
            <v>25454289.239999998</v>
          </cell>
          <cell r="AJ470">
            <v>28052849.909999996</v>
          </cell>
          <cell r="AK470">
            <v>30664506.259999998</v>
          </cell>
          <cell r="AL470">
            <v>2553092.9999999995</v>
          </cell>
          <cell r="AM470">
            <v>5195698.5599999996</v>
          </cell>
          <cell r="AN470">
            <v>7669402.3200000003</v>
          </cell>
          <cell r="AO470">
            <v>10592435.15</v>
          </cell>
          <cell r="AP470">
            <v>13209446.42</v>
          </cell>
          <cell r="AQ470">
            <v>15734985.84</v>
          </cell>
          <cell r="AR470">
            <v>18186857.739999998</v>
          </cell>
          <cell r="AS470">
            <v>20594129.649999999</v>
          </cell>
          <cell r="AT470">
            <v>23224203.949999999</v>
          </cell>
          <cell r="AU470">
            <v>25629702.25</v>
          </cell>
          <cell r="AV470">
            <v>28253362.59</v>
          </cell>
          <cell r="AW470">
            <v>30492999.100000001</v>
          </cell>
          <cell r="AX470">
            <v>33322853.200000003</v>
          </cell>
          <cell r="AY470">
            <v>35955756.07</v>
          </cell>
          <cell r="AZ470">
            <v>39201000.140000001</v>
          </cell>
          <cell r="BA470">
            <v>42027293.439999998</v>
          </cell>
          <cell r="BB470">
            <v>44601650.349999994</v>
          </cell>
        </row>
        <row r="471">
          <cell r="A471" t="str">
            <v>ytd</v>
          </cell>
          <cell r="B471">
            <v>2297993.59</v>
          </cell>
          <cell r="C471">
            <v>4458142.5</v>
          </cell>
          <cell r="D471">
            <v>6750746.3599999994</v>
          </cell>
          <cell r="E471">
            <v>8901552.8399999999</v>
          </cell>
          <cell r="F471">
            <v>11442662.26</v>
          </cell>
          <cell r="G471">
            <v>13957751.939999999</v>
          </cell>
          <cell r="H471">
            <v>16422458.359999999</v>
          </cell>
          <cell r="I471">
            <v>18854204.969999999</v>
          </cell>
          <cell r="J471">
            <v>21477443.809999999</v>
          </cell>
          <cell r="K471">
            <v>24097819.719999999</v>
          </cell>
          <cell r="L471">
            <v>26717820.349999998</v>
          </cell>
          <cell r="M471">
            <v>29229779.219999999</v>
          </cell>
          <cell r="N471">
            <v>31500610.619999997</v>
          </cell>
          <cell r="O471">
            <v>34138551.859999999</v>
          </cell>
          <cell r="P471">
            <v>36375469.850000001</v>
          </cell>
          <cell r="Q471">
            <v>38731484.490000002</v>
          </cell>
          <cell r="R471">
            <v>40977666.18</v>
          </cell>
          <cell r="S471">
            <v>43435018.340000004</v>
          </cell>
          <cell r="T471">
            <v>45797532.390000001</v>
          </cell>
          <cell r="U471">
            <v>48108674.289999999</v>
          </cell>
          <cell r="V471">
            <v>50516747.740000002</v>
          </cell>
          <cell r="W471">
            <v>52870423.810000002</v>
          </cell>
          <cell r="X471">
            <v>55638432.340000004</v>
          </cell>
          <cell r="Y471">
            <v>58196869.390000001</v>
          </cell>
          <cell r="Z471">
            <v>60769134.149999999</v>
          </cell>
          <cell r="AA471">
            <v>63283055.350000001</v>
          </cell>
          <cell r="AB471">
            <v>66058135.590000004</v>
          </cell>
          <cell r="AC471">
            <v>68635007.329999998</v>
          </cell>
          <cell r="AD471">
            <v>71241330.340000004</v>
          </cell>
          <cell r="AE471">
            <v>73593639.530000001</v>
          </cell>
          <cell r="AF471">
            <v>76176741.849999994</v>
          </cell>
          <cell r="AG471">
            <v>78682197.679999992</v>
          </cell>
          <cell r="AH471">
            <v>81121297.489999995</v>
          </cell>
          <cell r="AI471">
            <v>83651158.629999995</v>
          </cell>
          <cell r="AJ471">
            <v>86249719.299999997</v>
          </cell>
          <cell r="AK471">
            <v>88861375.649999991</v>
          </cell>
          <cell r="AL471">
            <v>91414468.649999991</v>
          </cell>
          <cell r="AM471">
            <v>94057074.209999993</v>
          </cell>
          <cell r="AN471">
            <v>96530777.969999999</v>
          </cell>
          <cell r="AO471">
            <v>99453810.799999997</v>
          </cell>
          <cell r="AP471">
            <v>102070822.06999999</v>
          </cell>
          <cell r="AQ471">
            <v>104596361.48999999</v>
          </cell>
          <cell r="AR471">
            <v>107048233.39</v>
          </cell>
          <cell r="AS471">
            <v>109455505.3</v>
          </cell>
          <cell r="AT471">
            <v>112085579.59999999</v>
          </cell>
          <cell r="AU471">
            <v>114491077.89999999</v>
          </cell>
          <cell r="AV471">
            <v>117114738.23999999</v>
          </cell>
          <cell r="AW471">
            <v>119354374.75</v>
          </cell>
          <cell r="AX471">
            <v>122184228.84999999</v>
          </cell>
          <cell r="AY471">
            <v>124817131.72</v>
          </cell>
          <cell r="AZ471">
            <v>128062375.78999999</v>
          </cell>
          <cell r="BA471">
            <v>130888669.08999999</v>
          </cell>
          <cell r="BB471">
            <v>133463025.99999999</v>
          </cell>
        </row>
        <row r="472">
          <cell r="A472" t="str">
            <v>PREG</v>
          </cell>
          <cell r="B472">
            <v>8358186.5</v>
          </cell>
          <cell r="C472">
            <v>7610136.1599999992</v>
          </cell>
          <cell r="D472">
            <v>7187833.1100000003</v>
          </cell>
          <cell r="E472">
            <v>6792806.3400000008</v>
          </cell>
          <cell r="F472">
            <v>6983018.5300000003</v>
          </cell>
          <cell r="G472">
            <v>7275896.0199999996</v>
          </cell>
          <cell r="H472">
            <v>8390207.9000000004</v>
          </cell>
          <cell r="I472">
            <v>6927934.6099999994</v>
          </cell>
          <cell r="J472">
            <v>7300849.3600000013</v>
          </cell>
          <cell r="K472">
            <v>7460431.3000000007</v>
          </cell>
          <cell r="L472">
            <v>7766886.3900000006</v>
          </cell>
          <cell r="M472">
            <v>9117311.4100000001</v>
          </cell>
          <cell r="N472">
            <v>7319559.7500000009</v>
          </cell>
          <cell r="O472">
            <v>7714109.2000000002</v>
          </cell>
          <cell r="P472">
            <v>7632443.9400000004</v>
          </cell>
          <cell r="Q472">
            <v>7734073.290000001</v>
          </cell>
          <cell r="R472">
            <v>8826507.4699999988</v>
          </cell>
          <cell r="S472">
            <v>8834844.5899999999</v>
          </cell>
          <cell r="T472">
            <v>12781533.74</v>
          </cell>
          <cell r="U472">
            <v>11154434.559999999</v>
          </cell>
          <cell r="V472">
            <v>10518931.450000001</v>
          </cell>
          <cell r="W472">
            <v>10727567.09</v>
          </cell>
          <cell r="X472">
            <v>12859432.41</v>
          </cell>
          <cell r="Y472">
            <v>15526933.379999999</v>
          </cell>
          <cell r="Z472">
            <v>12811626.51</v>
          </cell>
          <cell r="AA472">
            <v>10309076.25</v>
          </cell>
          <cell r="AB472">
            <v>8754003.459999999</v>
          </cell>
          <cell r="AC472">
            <v>8580437.6100000013</v>
          </cell>
          <cell r="AD472">
            <v>8805832.0299999993</v>
          </cell>
          <cell r="AE472">
            <v>8775388.4000000004</v>
          </cell>
          <cell r="AF472">
            <v>9054370.6899999995</v>
          </cell>
          <cell r="AG472">
            <v>9006474.9500000011</v>
          </cell>
          <cell r="AH472">
            <v>9181701.7799999993</v>
          </cell>
          <cell r="AI472">
            <v>9202382.8499999996</v>
          </cell>
          <cell r="AJ472">
            <v>8804646.9800000004</v>
          </cell>
          <cell r="AK472">
            <v>8153896.8200000003</v>
          </cell>
          <cell r="AL472">
            <v>8433155.8599999994</v>
          </cell>
          <cell r="AM472">
            <v>8569257.75</v>
          </cell>
          <cell r="AN472">
            <v>8366041.5699999994</v>
          </cell>
          <cell r="AO472">
            <v>8582369.25</v>
          </cell>
          <cell r="AP472">
            <v>8216570.6900000004</v>
          </cell>
          <cell r="AQ472">
            <v>8358579.8999999994</v>
          </cell>
          <cell r="AR472">
            <v>8175544.3300000001</v>
          </cell>
          <cell r="AS472">
            <v>8235482.6600000001</v>
          </cell>
          <cell r="AT472">
            <v>8802680.1600000001</v>
          </cell>
          <cell r="AU472">
            <v>9559700.3899999987</v>
          </cell>
          <cell r="AV472">
            <v>11106039.65</v>
          </cell>
          <cell r="AW472">
            <v>12328786.550000001</v>
          </cell>
          <cell r="AX472">
            <v>18913843.870000001</v>
          </cell>
          <cell r="AY472">
            <v>36944680.659999996</v>
          </cell>
          <cell r="AZ472">
            <v>83483405.719999999</v>
          </cell>
          <cell r="BA472">
            <v>103972252.56</v>
          </cell>
          <cell r="BB472">
            <v>13141762.1</v>
          </cell>
        </row>
        <row r="473">
          <cell r="A473" t="str">
            <v>ptd</v>
          </cell>
          <cell r="B473">
            <v>8358186.5</v>
          </cell>
          <cell r="C473">
            <v>15968322.66</v>
          </cell>
          <cell r="D473">
            <v>23156155.77</v>
          </cell>
          <cell r="E473">
            <v>29948962.109999999</v>
          </cell>
          <cell r="F473">
            <v>6983018.5300000003</v>
          </cell>
          <cell r="G473">
            <v>14258914.550000001</v>
          </cell>
          <cell r="H473">
            <v>22649122.450000003</v>
          </cell>
          <cell r="I473">
            <v>29577057.060000002</v>
          </cell>
          <cell r="J473">
            <v>7300849.3600000013</v>
          </cell>
          <cell r="K473">
            <v>14761280.660000002</v>
          </cell>
          <cell r="L473">
            <v>22528167.050000004</v>
          </cell>
          <cell r="M473">
            <v>31645478.460000005</v>
          </cell>
          <cell r="N473">
            <v>7319559.7500000009</v>
          </cell>
          <cell r="O473">
            <v>15033668.950000001</v>
          </cell>
          <cell r="P473">
            <v>22666112.890000001</v>
          </cell>
          <cell r="Q473">
            <v>30400186.18</v>
          </cell>
          <cell r="R473">
            <v>8826507.4699999988</v>
          </cell>
          <cell r="S473">
            <v>17661352.059999999</v>
          </cell>
          <cell r="T473">
            <v>30442885.799999997</v>
          </cell>
          <cell r="U473">
            <v>41597320.359999999</v>
          </cell>
          <cell r="V473">
            <v>10518931.450000001</v>
          </cell>
          <cell r="W473">
            <v>21246498.539999999</v>
          </cell>
          <cell r="X473">
            <v>34105930.950000003</v>
          </cell>
          <cell r="Y473">
            <v>49632864.329999998</v>
          </cell>
          <cell r="Z473">
            <v>12811626.51</v>
          </cell>
          <cell r="AA473">
            <v>23120702.759999998</v>
          </cell>
          <cell r="AB473">
            <v>31874706.219999999</v>
          </cell>
          <cell r="AC473">
            <v>40455143.829999998</v>
          </cell>
          <cell r="AD473">
            <v>8805832.0299999993</v>
          </cell>
          <cell r="AE473">
            <v>17581220.43</v>
          </cell>
          <cell r="AF473">
            <v>26635591.119999997</v>
          </cell>
          <cell r="AG473">
            <v>35642066.07</v>
          </cell>
          <cell r="AH473">
            <v>9181701.7799999993</v>
          </cell>
          <cell r="AI473">
            <v>18384084.629999999</v>
          </cell>
          <cell r="AJ473">
            <v>27188731.609999999</v>
          </cell>
          <cell r="AK473">
            <v>35342628.43</v>
          </cell>
          <cell r="AL473">
            <v>8433155.8599999994</v>
          </cell>
          <cell r="AM473">
            <v>17002413.609999999</v>
          </cell>
          <cell r="AN473">
            <v>25368455.18</v>
          </cell>
          <cell r="AO473">
            <v>33950824.43</v>
          </cell>
          <cell r="AP473">
            <v>8216570.6900000004</v>
          </cell>
          <cell r="AQ473">
            <v>16575150.59</v>
          </cell>
          <cell r="AR473">
            <v>24750694.920000002</v>
          </cell>
          <cell r="AS473">
            <v>32986177.580000002</v>
          </cell>
          <cell r="AT473">
            <v>8802680.1600000001</v>
          </cell>
          <cell r="AU473">
            <v>18362380.549999997</v>
          </cell>
          <cell r="AV473">
            <v>29468420.199999996</v>
          </cell>
          <cell r="AW473">
            <v>41797206.75</v>
          </cell>
          <cell r="AX473">
            <v>18913843.870000001</v>
          </cell>
          <cell r="AY473">
            <v>55858524.530000001</v>
          </cell>
          <cell r="AZ473">
            <v>139341930.25</v>
          </cell>
          <cell r="BA473">
            <v>243314182.81</v>
          </cell>
          <cell r="BB473">
            <v>256455944.91</v>
          </cell>
        </row>
        <row r="474">
          <cell r="A474" t="str">
            <v>qtd</v>
          </cell>
          <cell r="B474">
            <v>8358186.5</v>
          </cell>
          <cell r="C474">
            <v>15968322.66</v>
          </cell>
          <cell r="D474">
            <v>23156155.77</v>
          </cell>
          <cell r="E474">
            <v>29948962.109999999</v>
          </cell>
          <cell r="F474">
            <v>36931980.640000001</v>
          </cell>
          <cell r="G474">
            <v>44207876.659999996</v>
          </cell>
          <cell r="H474">
            <v>52598084.559999995</v>
          </cell>
          <cell r="I474">
            <v>59526019.169999994</v>
          </cell>
          <cell r="J474">
            <v>66826868.529999994</v>
          </cell>
          <cell r="K474">
            <v>74287299.829999998</v>
          </cell>
          <cell r="L474">
            <v>82054186.219999999</v>
          </cell>
          <cell r="M474">
            <v>91171497.629999995</v>
          </cell>
          <cell r="N474">
            <v>7319559.7500000009</v>
          </cell>
          <cell r="O474">
            <v>15033668.950000001</v>
          </cell>
          <cell r="P474">
            <v>22666112.890000001</v>
          </cell>
          <cell r="Q474">
            <v>30400186.18</v>
          </cell>
          <cell r="R474">
            <v>39226693.649999999</v>
          </cell>
          <cell r="S474">
            <v>48061538.239999995</v>
          </cell>
          <cell r="T474">
            <v>60843071.979999997</v>
          </cell>
          <cell r="U474">
            <v>71997506.539999992</v>
          </cell>
          <cell r="V474">
            <v>82516437.989999995</v>
          </cell>
          <cell r="W474">
            <v>93244005.079999998</v>
          </cell>
          <cell r="X474">
            <v>106103437.48999999</v>
          </cell>
          <cell r="Y474">
            <v>121630370.86999999</v>
          </cell>
          <cell r="Z474">
            <v>12811626.51</v>
          </cell>
          <cell r="AA474">
            <v>23120702.759999998</v>
          </cell>
          <cell r="AB474">
            <v>31874706.219999999</v>
          </cell>
          <cell r="AC474">
            <v>40455143.829999998</v>
          </cell>
          <cell r="AD474">
            <v>49260975.859999999</v>
          </cell>
          <cell r="AE474">
            <v>58036364.259999998</v>
          </cell>
          <cell r="AF474">
            <v>67090734.949999996</v>
          </cell>
          <cell r="AG474">
            <v>76097209.899999991</v>
          </cell>
          <cell r="AH474">
            <v>85278911.679999992</v>
          </cell>
          <cell r="AI474">
            <v>94481294.529999986</v>
          </cell>
          <cell r="AJ474">
            <v>103285941.50999999</v>
          </cell>
          <cell r="AK474">
            <v>111439838.32999998</v>
          </cell>
          <cell r="AL474">
            <v>8433155.8599999994</v>
          </cell>
          <cell r="AM474">
            <v>17002413.609999999</v>
          </cell>
          <cell r="AN474">
            <v>25368455.18</v>
          </cell>
          <cell r="AO474">
            <v>33950824.43</v>
          </cell>
          <cell r="AP474">
            <v>42167395.119999997</v>
          </cell>
          <cell r="AQ474">
            <v>50525975.019999996</v>
          </cell>
          <cell r="AR474">
            <v>58701519.349999994</v>
          </cell>
          <cell r="AS474">
            <v>66937002.00999999</v>
          </cell>
          <cell r="AT474">
            <v>75739682.169999987</v>
          </cell>
          <cell r="AU474">
            <v>85299382.559999987</v>
          </cell>
          <cell r="AV474">
            <v>96405422.209999993</v>
          </cell>
          <cell r="AW474">
            <v>108734208.75999999</v>
          </cell>
          <cell r="AX474">
            <v>127648052.63</v>
          </cell>
          <cell r="AY474">
            <v>164592733.28999999</v>
          </cell>
          <cell r="AZ474">
            <v>248076139.00999999</v>
          </cell>
          <cell r="BA474">
            <v>352048391.56999999</v>
          </cell>
          <cell r="BB474">
            <v>365190153.67000002</v>
          </cell>
        </row>
        <row r="475">
          <cell r="A475" t="str">
            <v>ytd</v>
          </cell>
          <cell r="B475">
            <v>8358186.5</v>
          </cell>
          <cell r="C475">
            <v>15968322.66</v>
          </cell>
          <cell r="D475">
            <v>23156155.77</v>
          </cell>
          <cell r="E475">
            <v>29948962.109999999</v>
          </cell>
          <cell r="F475">
            <v>36931980.640000001</v>
          </cell>
          <cell r="G475">
            <v>44207876.659999996</v>
          </cell>
          <cell r="H475">
            <v>52598084.559999995</v>
          </cell>
          <cell r="I475">
            <v>59526019.169999994</v>
          </cell>
          <cell r="J475">
            <v>66826868.529999994</v>
          </cell>
          <cell r="K475">
            <v>74287299.829999998</v>
          </cell>
          <cell r="L475">
            <v>82054186.219999999</v>
          </cell>
          <cell r="M475">
            <v>91171497.629999995</v>
          </cell>
          <cell r="N475">
            <v>98491057.379999995</v>
          </cell>
          <cell r="O475">
            <v>106205166.58</v>
          </cell>
          <cell r="P475">
            <v>113837610.52</v>
          </cell>
          <cell r="Q475">
            <v>121571683.81</v>
          </cell>
          <cell r="R475">
            <v>130398191.28</v>
          </cell>
          <cell r="S475">
            <v>139233035.87</v>
          </cell>
          <cell r="T475">
            <v>152014569.61000001</v>
          </cell>
          <cell r="U475">
            <v>163169004.17000002</v>
          </cell>
          <cell r="V475">
            <v>173687935.62</v>
          </cell>
          <cell r="W475">
            <v>184415502.71000001</v>
          </cell>
          <cell r="X475">
            <v>197274935.12</v>
          </cell>
          <cell r="Y475">
            <v>212801868.5</v>
          </cell>
          <cell r="Z475">
            <v>225613495.00999999</v>
          </cell>
          <cell r="AA475">
            <v>235922571.25999999</v>
          </cell>
          <cell r="AB475">
            <v>244676574.72</v>
          </cell>
          <cell r="AC475">
            <v>253257012.33000001</v>
          </cell>
          <cell r="AD475">
            <v>262062844.36000001</v>
          </cell>
          <cell r="AE475">
            <v>270838232.75999999</v>
          </cell>
          <cell r="AF475">
            <v>279892603.44999999</v>
          </cell>
          <cell r="AG475">
            <v>288899078.39999998</v>
          </cell>
          <cell r="AH475">
            <v>298080780.17999995</v>
          </cell>
          <cell r="AI475">
            <v>307283163.02999997</v>
          </cell>
          <cell r="AJ475">
            <v>316087810.00999999</v>
          </cell>
          <cell r="AK475">
            <v>324241706.82999998</v>
          </cell>
          <cell r="AL475">
            <v>332674862.69</v>
          </cell>
          <cell r="AM475">
            <v>341244120.44</v>
          </cell>
          <cell r="AN475">
            <v>349610162.00999999</v>
          </cell>
          <cell r="AO475">
            <v>358192531.25999999</v>
          </cell>
          <cell r="AP475">
            <v>366409101.94999999</v>
          </cell>
          <cell r="AQ475">
            <v>374767681.84999996</v>
          </cell>
          <cell r="AR475">
            <v>382943226.17999995</v>
          </cell>
          <cell r="AS475">
            <v>391178708.83999997</v>
          </cell>
          <cell r="AT475">
            <v>399981389</v>
          </cell>
          <cell r="AU475">
            <v>409541089.38999999</v>
          </cell>
          <cell r="AV475">
            <v>420647129.03999996</v>
          </cell>
          <cell r="AW475">
            <v>432975915.58999997</v>
          </cell>
          <cell r="AX475">
            <v>451889759.45999998</v>
          </cell>
          <cell r="AY475">
            <v>488834440.12</v>
          </cell>
          <cell r="AZ475">
            <v>572317845.84000003</v>
          </cell>
          <cell r="BA475">
            <v>676290098.4000001</v>
          </cell>
          <cell r="BB475">
            <v>689431860.50000012</v>
          </cell>
        </row>
        <row r="476">
          <cell r="A476" t="str">
            <v>SPRT</v>
          </cell>
          <cell r="B476">
            <v>277480.39</v>
          </cell>
          <cell r="C476">
            <v>239201.63999999998</v>
          </cell>
          <cell r="D476">
            <v>245437.27000000002</v>
          </cell>
          <cell r="E476">
            <v>215991.11</v>
          </cell>
          <cell r="F476">
            <v>222623.87</v>
          </cell>
          <cell r="G476">
            <v>255702.25</v>
          </cell>
          <cell r="H476">
            <v>364426.43000000005</v>
          </cell>
          <cell r="I476">
            <v>219753.04</v>
          </cell>
          <cell r="J476">
            <v>278880.09999999998</v>
          </cell>
          <cell r="K476">
            <v>489684.3</v>
          </cell>
          <cell r="L476">
            <v>241725.81</v>
          </cell>
          <cell r="M476">
            <v>481493.54000000004</v>
          </cell>
          <cell r="N476">
            <v>247352.1</v>
          </cell>
          <cell r="O476">
            <v>278811.60000000003</v>
          </cell>
          <cell r="P476">
            <v>308618.40999999997</v>
          </cell>
          <cell r="Q476">
            <v>301904.00999999995</v>
          </cell>
          <cell r="R476">
            <v>331092.15999999997</v>
          </cell>
          <cell r="S476">
            <v>323937.52</v>
          </cell>
          <cell r="T476">
            <v>427585.64999999997</v>
          </cell>
          <cell r="U476">
            <v>397626.61</v>
          </cell>
          <cell r="V476">
            <v>335450.71000000002</v>
          </cell>
          <cell r="W476">
            <v>380511.24</v>
          </cell>
          <cell r="X476">
            <v>526897.18999999994</v>
          </cell>
          <cell r="Y476">
            <v>1129137.3199999998</v>
          </cell>
          <cell r="Z476">
            <v>535251.01</v>
          </cell>
          <cell r="AA476">
            <v>354436.57999999996</v>
          </cell>
          <cell r="AB476">
            <v>251906.66999999998</v>
          </cell>
          <cell r="AC476">
            <v>255995.77</v>
          </cell>
          <cell r="AD476">
            <v>250071.7</v>
          </cell>
          <cell r="AE476">
            <v>275472.57999999996</v>
          </cell>
          <cell r="AF476">
            <v>258572.16</v>
          </cell>
          <cell r="AG476">
            <v>277035.81</v>
          </cell>
          <cell r="AH476">
            <v>295078.32</v>
          </cell>
          <cell r="AI476">
            <v>297766.02</v>
          </cell>
          <cell r="AJ476">
            <v>291434.75</v>
          </cell>
          <cell r="AK476">
            <v>252075.87</v>
          </cell>
          <cell r="AL476">
            <v>285751.44</v>
          </cell>
          <cell r="AM476">
            <v>280082.53999999998</v>
          </cell>
          <cell r="AN476">
            <v>273078.19</v>
          </cell>
          <cell r="AO476">
            <v>238841.13</v>
          </cell>
          <cell r="AP476">
            <v>258357.59</v>
          </cell>
          <cell r="AQ476">
            <v>272606.20999999996</v>
          </cell>
          <cell r="AR476">
            <v>229174.39999999999</v>
          </cell>
          <cell r="AS476">
            <v>3055002.3200000003</v>
          </cell>
          <cell r="AT476">
            <v>715537.22</v>
          </cell>
          <cell r="AU476">
            <v>442851.3</v>
          </cell>
          <cell r="AV476">
            <v>348148.97000000003</v>
          </cell>
          <cell r="AW476">
            <v>446938.92000000004</v>
          </cell>
          <cell r="AX476">
            <v>807332.03999999992</v>
          </cell>
          <cell r="AY476">
            <v>1339589.2699999998</v>
          </cell>
          <cell r="AZ476">
            <v>2483319.63</v>
          </cell>
          <cell r="BA476">
            <v>3299627.31</v>
          </cell>
          <cell r="BB476">
            <v>350245.29</v>
          </cell>
        </row>
        <row r="477">
          <cell r="A477" t="str">
            <v>ptd</v>
          </cell>
          <cell r="B477">
            <v>277480.39</v>
          </cell>
          <cell r="C477">
            <v>516682.03</v>
          </cell>
          <cell r="D477">
            <v>762119.3</v>
          </cell>
          <cell r="E477">
            <v>978110.41</v>
          </cell>
          <cell r="F477">
            <v>222623.87</v>
          </cell>
          <cell r="G477">
            <v>478326.12</v>
          </cell>
          <cell r="H477">
            <v>842752.55</v>
          </cell>
          <cell r="I477">
            <v>1062505.5900000001</v>
          </cell>
          <cell r="J477">
            <v>278880.09999999998</v>
          </cell>
          <cell r="K477">
            <v>768564.39999999991</v>
          </cell>
          <cell r="L477">
            <v>1010290.21</v>
          </cell>
          <cell r="M477">
            <v>1491783.75</v>
          </cell>
          <cell r="N477">
            <v>247352.1</v>
          </cell>
          <cell r="O477">
            <v>526163.70000000007</v>
          </cell>
          <cell r="P477">
            <v>834782.1100000001</v>
          </cell>
          <cell r="Q477">
            <v>1136686.1200000001</v>
          </cell>
          <cell r="R477">
            <v>331092.15999999997</v>
          </cell>
          <cell r="S477">
            <v>655029.67999999993</v>
          </cell>
          <cell r="T477">
            <v>1082615.3299999998</v>
          </cell>
          <cell r="U477">
            <v>1480241.94</v>
          </cell>
          <cell r="V477">
            <v>335450.71000000002</v>
          </cell>
          <cell r="W477">
            <v>715961.95</v>
          </cell>
          <cell r="X477">
            <v>1242859.1399999999</v>
          </cell>
          <cell r="Y477">
            <v>2371996.46</v>
          </cell>
          <cell r="Z477">
            <v>535251.01</v>
          </cell>
          <cell r="AA477">
            <v>889687.59</v>
          </cell>
          <cell r="AB477">
            <v>1141594.26</v>
          </cell>
          <cell r="AC477">
            <v>1397590.03</v>
          </cell>
          <cell r="AD477">
            <v>250071.7</v>
          </cell>
          <cell r="AE477">
            <v>525544.28</v>
          </cell>
          <cell r="AF477">
            <v>784116.44000000006</v>
          </cell>
          <cell r="AG477">
            <v>1061152.25</v>
          </cell>
          <cell r="AH477">
            <v>295078.32</v>
          </cell>
          <cell r="AI477">
            <v>592844.34000000008</v>
          </cell>
          <cell r="AJ477">
            <v>884279.09000000008</v>
          </cell>
          <cell r="AK477">
            <v>1136354.96</v>
          </cell>
          <cell r="AL477">
            <v>285751.44</v>
          </cell>
          <cell r="AM477">
            <v>565833.98</v>
          </cell>
          <cell r="AN477">
            <v>838912.16999999993</v>
          </cell>
          <cell r="AO477">
            <v>1077753.2999999998</v>
          </cell>
          <cell r="AP477">
            <v>258357.59</v>
          </cell>
          <cell r="AQ477">
            <v>530963.79999999993</v>
          </cell>
          <cell r="AR477">
            <v>760138.2</v>
          </cell>
          <cell r="AS477">
            <v>3815140.5200000005</v>
          </cell>
          <cell r="AT477">
            <v>715537.22</v>
          </cell>
          <cell r="AU477">
            <v>1158388.52</v>
          </cell>
          <cell r="AV477">
            <v>1506537.49</v>
          </cell>
          <cell r="AW477">
            <v>1953476.4100000001</v>
          </cell>
          <cell r="AX477">
            <v>807332.03999999992</v>
          </cell>
          <cell r="AY477">
            <v>2146921.3099999996</v>
          </cell>
          <cell r="AZ477">
            <v>4630240.9399999995</v>
          </cell>
          <cell r="BA477">
            <v>7929868.25</v>
          </cell>
          <cell r="BB477">
            <v>8280113.54</v>
          </cell>
        </row>
        <row r="478">
          <cell r="A478" t="str">
            <v>qtd</v>
          </cell>
          <cell r="B478">
            <v>277480.39</v>
          </cell>
          <cell r="C478">
            <v>516682.03</v>
          </cell>
          <cell r="D478">
            <v>762119.3</v>
          </cell>
          <cell r="E478">
            <v>978110.41</v>
          </cell>
          <cell r="F478">
            <v>1200734.28</v>
          </cell>
          <cell r="G478">
            <v>1456436.53</v>
          </cell>
          <cell r="H478">
            <v>1820862.96</v>
          </cell>
          <cell r="I478">
            <v>2040616</v>
          </cell>
          <cell r="J478">
            <v>2319496.1</v>
          </cell>
          <cell r="K478">
            <v>2809180.4</v>
          </cell>
          <cell r="L478">
            <v>3050906.21</v>
          </cell>
          <cell r="M478">
            <v>3532399.75</v>
          </cell>
          <cell r="N478">
            <v>247352.1</v>
          </cell>
          <cell r="O478">
            <v>526163.70000000007</v>
          </cell>
          <cell r="P478">
            <v>834782.1100000001</v>
          </cell>
          <cell r="Q478">
            <v>1136686.1200000001</v>
          </cell>
          <cell r="R478">
            <v>1467778.28</v>
          </cell>
          <cell r="S478">
            <v>1791715.8</v>
          </cell>
          <cell r="T478">
            <v>2219301.4500000002</v>
          </cell>
          <cell r="U478">
            <v>2616928.06</v>
          </cell>
          <cell r="V478">
            <v>2952378.77</v>
          </cell>
          <cell r="W478">
            <v>3332890.01</v>
          </cell>
          <cell r="X478">
            <v>3859787.1999999997</v>
          </cell>
          <cell r="Y478">
            <v>4988924.5199999996</v>
          </cell>
          <cell r="Z478">
            <v>535251.01</v>
          </cell>
          <cell r="AA478">
            <v>889687.59</v>
          </cell>
          <cell r="AB478">
            <v>1141594.26</v>
          </cell>
          <cell r="AC478">
            <v>1397590.03</v>
          </cell>
          <cell r="AD478">
            <v>1647661.73</v>
          </cell>
          <cell r="AE478">
            <v>1923134.31</v>
          </cell>
          <cell r="AF478">
            <v>2181706.4700000002</v>
          </cell>
          <cell r="AG478">
            <v>2458742.2800000003</v>
          </cell>
          <cell r="AH478">
            <v>2753820.6</v>
          </cell>
          <cell r="AI478">
            <v>3051586.62</v>
          </cell>
          <cell r="AJ478">
            <v>3343021.37</v>
          </cell>
          <cell r="AK478">
            <v>3595097.24</v>
          </cell>
          <cell r="AL478">
            <v>285751.44</v>
          </cell>
          <cell r="AM478">
            <v>565833.98</v>
          </cell>
          <cell r="AN478">
            <v>838912.16999999993</v>
          </cell>
          <cell r="AO478">
            <v>1077753.2999999998</v>
          </cell>
          <cell r="AP478">
            <v>1336110.8899999999</v>
          </cell>
          <cell r="AQ478">
            <v>1608717.0999999999</v>
          </cell>
          <cell r="AR478">
            <v>1837891.4999999998</v>
          </cell>
          <cell r="AS478">
            <v>4892893.82</v>
          </cell>
          <cell r="AT478">
            <v>5608431.04</v>
          </cell>
          <cell r="AU478">
            <v>6051282.3399999999</v>
          </cell>
          <cell r="AV478">
            <v>6399431.3099999996</v>
          </cell>
          <cell r="AW478">
            <v>6846370.2299999995</v>
          </cell>
          <cell r="AX478">
            <v>7653702.2699999996</v>
          </cell>
          <cell r="AY478">
            <v>8993291.5399999991</v>
          </cell>
          <cell r="AZ478">
            <v>11476611.169999998</v>
          </cell>
          <cell r="BA478">
            <v>14776238.479999999</v>
          </cell>
          <cell r="BB478">
            <v>15126483.769999998</v>
          </cell>
        </row>
        <row r="479">
          <cell r="A479" t="str">
            <v>ytd</v>
          </cell>
          <cell r="B479">
            <v>277480.39</v>
          </cell>
          <cell r="C479">
            <v>516682.03</v>
          </cell>
          <cell r="D479">
            <v>762119.3</v>
          </cell>
          <cell r="E479">
            <v>978110.41</v>
          </cell>
          <cell r="F479">
            <v>1200734.28</v>
          </cell>
          <cell r="G479">
            <v>1456436.53</v>
          </cell>
          <cell r="H479">
            <v>1820862.96</v>
          </cell>
          <cell r="I479">
            <v>2040616</v>
          </cell>
          <cell r="J479">
            <v>2319496.1</v>
          </cell>
          <cell r="K479">
            <v>2809180.4</v>
          </cell>
          <cell r="L479">
            <v>3050906.21</v>
          </cell>
          <cell r="M479">
            <v>3532399.75</v>
          </cell>
          <cell r="N479">
            <v>3779751.85</v>
          </cell>
          <cell r="O479">
            <v>4058563.45</v>
          </cell>
          <cell r="P479">
            <v>4367181.8600000003</v>
          </cell>
          <cell r="Q479">
            <v>4669085.87</v>
          </cell>
          <cell r="R479">
            <v>5000178.03</v>
          </cell>
          <cell r="S479">
            <v>5324115.5500000007</v>
          </cell>
          <cell r="T479">
            <v>5751701.2000000011</v>
          </cell>
          <cell r="U479">
            <v>6149327.8100000015</v>
          </cell>
          <cell r="V479">
            <v>6484778.5200000014</v>
          </cell>
          <cell r="W479">
            <v>6865289.7600000016</v>
          </cell>
          <cell r="X479">
            <v>7392186.9500000011</v>
          </cell>
          <cell r="Y479">
            <v>8521324.2700000014</v>
          </cell>
          <cell r="Z479">
            <v>9056575.2800000012</v>
          </cell>
          <cell r="AA479">
            <v>9411011.8600000013</v>
          </cell>
          <cell r="AB479">
            <v>9662918.5300000012</v>
          </cell>
          <cell r="AC479">
            <v>9918914.3000000007</v>
          </cell>
          <cell r="AD479">
            <v>10168986</v>
          </cell>
          <cell r="AE479">
            <v>10444458.58</v>
          </cell>
          <cell r="AF479">
            <v>10703030.74</v>
          </cell>
          <cell r="AG479">
            <v>10980066.550000001</v>
          </cell>
          <cell r="AH479">
            <v>11275144.870000001</v>
          </cell>
          <cell r="AI479">
            <v>11572910.890000001</v>
          </cell>
          <cell r="AJ479">
            <v>11864345.640000001</v>
          </cell>
          <cell r="AK479">
            <v>12116421.51</v>
          </cell>
          <cell r="AL479">
            <v>12402172.949999999</v>
          </cell>
          <cell r="AM479">
            <v>12682255.489999998</v>
          </cell>
          <cell r="AN479">
            <v>12955333.679999998</v>
          </cell>
          <cell r="AO479">
            <v>13194174.809999999</v>
          </cell>
          <cell r="AP479">
            <v>13452532.399999999</v>
          </cell>
          <cell r="AQ479">
            <v>13725138.609999999</v>
          </cell>
          <cell r="AR479">
            <v>13954313.01</v>
          </cell>
          <cell r="AS479">
            <v>17009315.329999998</v>
          </cell>
          <cell r="AT479">
            <v>17724852.549999997</v>
          </cell>
          <cell r="AU479">
            <v>18167703.849999998</v>
          </cell>
          <cell r="AV479">
            <v>18515852.819999997</v>
          </cell>
          <cell r="AW479">
            <v>18962791.739999998</v>
          </cell>
          <cell r="AX479">
            <v>19770123.779999997</v>
          </cell>
          <cell r="AY479">
            <v>21109713.049999997</v>
          </cell>
          <cell r="AZ479">
            <v>23593032.679999996</v>
          </cell>
          <cell r="BA479">
            <v>26892659.989999995</v>
          </cell>
          <cell r="BB479">
            <v>27242905.279999994</v>
          </cell>
        </row>
        <row r="480">
          <cell r="A480" t="str">
            <v>TELE</v>
          </cell>
          <cell r="B480">
            <v>4062491.0100000002</v>
          </cell>
          <cell r="C480">
            <v>3749285.8699999996</v>
          </cell>
          <cell r="D480">
            <v>3788682.3699999996</v>
          </cell>
          <cell r="E480">
            <v>3705122.89</v>
          </cell>
          <cell r="F480">
            <v>4205021.04</v>
          </cell>
          <cell r="G480">
            <v>4149755.12</v>
          </cell>
          <cell r="H480">
            <v>4026878.1999999997</v>
          </cell>
          <cell r="I480">
            <v>3796406.78</v>
          </cell>
          <cell r="J480">
            <v>3995035</v>
          </cell>
          <cell r="K480">
            <v>4020978</v>
          </cell>
          <cell r="L480">
            <v>3817397</v>
          </cell>
          <cell r="M480">
            <v>3973778.79</v>
          </cell>
          <cell r="N480">
            <v>3687269.8200000003</v>
          </cell>
          <cell r="O480">
            <v>4124897.84</v>
          </cell>
          <cell r="P480">
            <v>3788707.29</v>
          </cell>
          <cell r="Q480">
            <v>3769918.98</v>
          </cell>
          <cell r="R480">
            <v>3681777.8900000006</v>
          </cell>
          <cell r="S480">
            <v>4112773.4800000004</v>
          </cell>
          <cell r="T480">
            <v>4031755.5</v>
          </cell>
          <cell r="U480">
            <v>3944073.9299999997</v>
          </cell>
          <cell r="V480">
            <v>3991146.2600000002</v>
          </cell>
          <cell r="W480">
            <v>3969556.3600000003</v>
          </cell>
          <cell r="X480">
            <v>4333688.3899999997</v>
          </cell>
          <cell r="Y480">
            <v>4193935.9600000004</v>
          </cell>
          <cell r="Z480">
            <v>4173394.2</v>
          </cell>
          <cell r="AA480">
            <v>4076276.8799999994</v>
          </cell>
          <cell r="AB480">
            <v>4487713.46</v>
          </cell>
          <cell r="AC480">
            <v>4187241.31</v>
          </cell>
          <cell r="AD480">
            <v>4119286.11</v>
          </cell>
          <cell r="AE480">
            <v>4012326.31</v>
          </cell>
          <cell r="AF480">
            <v>4283937.0999999996</v>
          </cell>
          <cell r="AG480">
            <v>4163135.39</v>
          </cell>
          <cell r="AH480">
            <v>3982667.9799999995</v>
          </cell>
          <cell r="AI480">
            <v>3993896.99</v>
          </cell>
          <cell r="AJ480">
            <v>4100353.83</v>
          </cell>
          <cell r="AK480">
            <v>4128212.96</v>
          </cell>
          <cell r="AL480">
            <v>3824709.7199999997</v>
          </cell>
          <cell r="AM480">
            <v>3858224.83</v>
          </cell>
          <cell r="AN480">
            <v>3745913.73</v>
          </cell>
          <cell r="AO480">
            <v>4280497.87</v>
          </cell>
          <cell r="AP480">
            <v>4422436.18</v>
          </cell>
          <cell r="AQ480">
            <v>4518721.66</v>
          </cell>
          <cell r="AR480">
            <v>4608516.0500000007</v>
          </cell>
          <cell r="AS480">
            <v>5009992.5500000007</v>
          </cell>
          <cell r="AT480">
            <v>5455645.1800000006</v>
          </cell>
          <cell r="AU480">
            <v>5133998.1099999994</v>
          </cell>
          <cell r="AV480">
            <v>5300651.24</v>
          </cell>
          <cell r="AW480">
            <v>5476723.1999999993</v>
          </cell>
          <cell r="AX480">
            <v>6103337.8899999997</v>
          </cell>
          <cell r="AY480">
            <v>6131180.3099999996</v>
          </cell>
          <cell r="AZ480">
            <v>6514506.209999999</v>
          </cell>
          <cell r="BA480">
            <v>7004036.5199999996</v>
          </cell>
          <cell r="BB480">
            <v>6180153.2400000002</v>
          </cell>
        </row>
        <row r="481">
          <cell r="A481" t="str">
            <v>ptd</v>
          </cell>
          <cell r="B481">
            <v>4062491.0100000002</v>
          </cell>
          <cell r="C481">
            <v>7811776.8799999999</v>
          </cell>
          <cell r="D481">
            <v>11600459.25</v>
          </cell>
          <cell r="E481">
            <v>15305582.140000001</v>
          </cell>
          <cell r="F481">
            <v>4205021.04</v>
          </cell>
          <cell r="G481">
            <v>8354776.1600000001</v>
          </cell>
          <cell r="H481">
            <v>12381654.359999999</v>
          </cell>
          <cell r="I481">
            <v>16178061.139999999</v>
          </cell>
          <cell r="J481">
            <v>3995035</v>
          </cell>
          <cell r="K481">
            <v>8016013</v>
          </cell>
          <cell r="L481">
            <v>11833410</v>
          </cell>
          <cell r="M481">
            <v>15807188.789999999</v>
          </cell>
          <cell r="N481">
            <v>3687269.8200000003</v>
          </cell>
          <cell r="O481">
            <v>7812167.6600000001</v>
          </cell>
          <cell r="P481">
            <v>11600874.949999999</v>
          </cell>
          <cell r="Q481">
            <v>15370793.93</v>
          </cell>
          <cell r="R481">
            <v>3681777.8900000006</v>
          </cell>
          <cell r="S481">
            <v>7794551.370000001</v>
          </cell>
          <cell r="T481">
            <v>11826306.870000001</v>
          </cell>
          <cell r="U481">
            <v>15770380.800000001</v>
          </cell>
          <cell r="V481">
            <v>3991146.2600000002</v>
          </cell>
          <cell r="W481">
            <v>7960702.620000001</v>
          </cell>
          <cell r="X481">
            <v>12294391.010000002</v>
          </cell>
          <cell r="Y481">
            <v>16488326.970000003</v>
          </cell>
          <cell r="Z481">
            <v>4173394.2</v>
          </cell>
          <cell r="AA481">
            <v>8249671.0800000001</v>
          </cell>
          <cell r="AB481">
            <v>12737384.539999999</v>
          </cell>
          <cell r="AC481">
            <v>16924625.849999998</v>
          </cell>
          <cell r="AD481">
            <v>4119286.11</v>
          </cell>
          <cell r="AE481">
            <v>8131612.4199999999</v>
          </cell>
          <cell r="AF481">
            <v>12415549.52</v>
          </cell>
          <cell r="AG481">
            <v>16578684.91</v>
          </cell>
          <cell r="AH481">
            <v>3982667.9799999995</v>
          </cell>
          <cell r="AI481">
            <v>7976564.9699999997</v>
          </cell>
          <cell r="AJ481">
            <v>12076918.800000001</v>
          </cell>
          <cell r="AK481">
            <v>16205131.760000002</v>
          </cell>
          <cell r="AL481">
            <v>3824709.7199999997</v>
          </cell>
          <cell r="AM481">
            <v>7682934.5499999998</v>
          </cell>
          <cell r="AN481">
            <v>11428848.279999999</v>
          </cell>
          <cell r="AO481">
            <v>15709346.149999999</v>
          </cell>
          <cell r="AP481">
            <v>4422436.18</v>
          </cell>
          <cell r="AQ481">
            <v>8941157.8399999999</v>
          </cell>
          <cell r="AR481">
            <v>13549673.890000001</v>
          </cell>
          <cell r="AS481">
            <v>18559666.440000001</v>
          </cell>
          <cell r="AT481">
            <v>5455645.1800000006</v>
          </cell>
          <cell r="AU481">
            <v>10589643.289999999</v>
          </cell>
          <cell r="AV481">
            <v>15890294.529999999</v>
          </cell>
          <cell r="AW481">
            <v>21367017.729999997</v>
          </cell>
          <cell r="AX481">
            <v>6103337.8899999997</v>
          </cell>
          <cell r="AY481">
            <v>12234518.199999999</v>
          </cell>
          <cell r="AZ481">
            <v>18749024.409999996</v>
          </cell>
          <cell r="BA481">
            <v>25753060.929999996</v>
          </cell>
          <cell r="BB481">
            <v>31933214.169999994</v>
          </cell>
        </row>
        <row r="482">
          <cell r="A482" t="str">
            <v>qtd</v>
          </cell>
          <cell r="B482">
            <v>4062491.0100000002</v>
          </cell>
          <cell r="C482">
            <v>7811776.8799999999</v>
          </cell>
          <cell r="D482">
            <v>11600459.25</v>
          </cell>
          <cell r="E482">
            <v>15305582.140000001</v>
          </cell>
          <cell r="F482">
            <v>19510603.18</v>
          </cell>
          <cell r="G482">
            <v>23660358.300000001</v>
          </cell>
          <cell r="H482">
            <v>27687236.5</v>
          </cell>
          <cell r="I482">
            <v>31483643.280000001</v>
          </cell>
          <cell r="J482">
            <v>35478678.280000001</v>
          </cell>
          <cell r="K482">
            <v>39499656.280000001</v>
          </cell>
          <cell r="L482">
            <v>43317053.280000001</v>
          </cell>
          <cell r="M482">
            <v>47290832.07</v>
          </cell>
          <cell r="N482">
            <v>3687269.8200000003</v>
          </cell>
          <cell r="O482">
            <v>7812167.6600000001</v>
          </cell>
          <cell r="P482">
            <v>11600874.949999999</v>
          </cell>
          <cell r="Q482">
            <v>15370793.93</v>
          </cell>
          <cell r="R482">
            <v>19052571.82</v>
          </cell>
          <cell r="S482">
            <v>23165345.300000001</v>
          </cell>
          <cell r="T482">
            <v>27197100.800000001</v>
          </cell>
          <cell r="U482">
            <v>31141174.73</v>
          </cell>
          <cell r="V482">
            <v>35132320.990000002</v>
          </cell>
          <cell r="W482">
            <v>39101877.350000001</v>
          </cell>
          <cell r="X482">
            <v>43435565.740000002</v>
          </cell>
          <cell r="Y482">
            <v>47629501.700000003</v>
          </cell>
          <cell r="Z482">
            <v>4173394.2</v>
          </cell>
          <cell r="AA482">
            <v>8249671.0800000001</v>
          </cell>
          <cell r="AB482">
            <v>12737384.539999999</v>
          </cell>
          <cell r="AC482">
            <v>16924625.849999998</v>
          </cell>
          <cell r="AD482">
            <v>21043911.959999997</v>
          </cell>
          <cell r="AE482">
            <v>25056238.269999996</v>
          </cell>
          <cell r="AF482">
            <v>29340175.369999997</v>
          </cell>
          <cell r="AG482">
            <v>33503310.759999998</v>
          </cell>
          <cell r="AH482">
            <v>37485978.739999995</v>
          </cell>
          <cell r="AI482">
            <v>41479875.729999997</v>
          </cell>
          <cell r="AJ482">
            <v>45580229.559999995</v>
          </cell>
          <cell r="AK482">
            <v>49708442.519999996</v>
          </cell>
          <cell r="AL482">
            <v>3824709.7199999997</v>
          </cell>
          <cell r="AM482">
            <v>7682934.5499999998</v>
          </cell>
          <cell r="AN482">
            <v>11428848.279999999</v>
          </cell>
          <cell r="AO482">
            <v>15709346.149999999</v>
          </cell>
          <cell r="AP482">
            <v>20131782.329999998</v>
          </cell>
          <cell r="AQ482">
            <v>24650503.989999998</v>
          </cell>
          <cell r="AR482">
            <v>29259020.039999999</v>
          </cell>
          <cell r="AS482">
            <v>34269012.590000004</v>
          </cell>
          <cell r="AT482">
            <v>39724657.770000003</v>
          </cell>
          <cell r="AU482">
            <v>44858655.880000003</v>
          </cell>
          <cell r="AV482">
            <v>50159307.120000005</v>
          </cell>
          <cell r="AW482">
            <v>55636030.320000008</v>
          </cell>
          <cell r="AX482">
            <v>61739368.210000008</v>
          </cell>
          <cell r="AY482">
            <v>67870548.520000011</v>
          </cell>
          <cell r="AZ482">
            <v>74385054.730000004</v>
          </cell>
          <cell r="BA482">
            <v>81389091.25</v>
          </cell>
          <cell r="BB482">
            <v>87569244.489999995</v>
          </cell>
        </row>
        <row r="483">
          <cell r="A483" t="str">
            <v>ytd</v>
          </cell>
          <cell r="B483">
            <v>4062491.0100000002</v>
          </cell>
          <cell r="C483">
            <v>7811776.8799999999</v>
          </cell>
          <cell r="D483">
            <v>11600459.25</v>
          </cell>
          <cell r="E483">
            <v>15305582.140000001</v>
          </cell>
          <cell r="F483">
            <v>19510603.18</v>
          </cell>
          <cell r="G483">
            <v>23660358.300000001</v>
          </cell>
          <cell r="H483">
            <v>27687236.5</v>
          </cell>
          <cell r="I483">
            <v>31483643.280000001</v>
          </cell>
          <cell r="J483">
            <v>35478678.280000001</v>
          </cell>
          <cell r="K483">
            <v>39499656.280000001</v>
          </cell>
          <cell r="L483">
            <v>43317053.280000001</v>
          </cell>
          <cell r="M483">
            <v>47290832.07</v>
          </cell>
          <cell r="N483">
            <v>50978101.890000001</v>
          </cell>
          <cell r="O483">
            <v>55102999.730000004</v>
          </cell>
          <cell r="P483">
            <v>58891707.020000003</v>
          </cell>
          <cell r="Q483">
            <v>62661626</v>
          </cell>
          <cell r="R483">
            <v>66343403.890000001</v>
          </cell>
          <cell r="S483">
            <v>70456177.370000005</v>
          </cell>
          <cell r="T483">
            <v>74487932.870000005</v>
          </cell>
          <cell r="U483">
            <v>78432006.800000012</v>
          </cell>
          <cell r="V483">
            <v>82423153.060000017</v>
          </cell>
          <cell r="W483">
            <v>86392709.420000017</v>
          </cell>
          <cell r="X483">
            <v>90726397.810000017</v>
          </cell>
          <cell r="Y483">
            <v>94920333.770000011</v>
          </cell>
          <cell r="Z483">
            <v>99093727.970000014</v>
          </cell>
          <cell r="AA483">
            <v>103170004.85000001</v>
          </cell>
          <cell r="AB483">
            <v>107657718.31</v>
          </cell>
          <cell r="AC483">
            <v>111844959.62</v>
          </cell>
          <cell r="AD483">
            <v>115964245.73</v>
          </cell>
          <cell r="AE483">
            <v>119976572.04000001</v>
          </cell>
          <cell r="AF483">
            <v>124260509.14</v>
          </cell>
          <cell r="AG483">
            <v>128423644.53</v>
          </cell>
          <cell r="AH483">
            <v>132406312.51000001</v>
          </cell>
          <cell r="AI483">
            <v>136400209.5</v>
          </cell>
          <cell r="AJ483">
            <v>140500563.33000001</v>
          </cell>
          <cell r="AK483">
            <v>144628776.29000002</v>
          </cell>
          <cell r="AL483">
            <v>148453486.01000002</v>
          </cell>
          <cell r="AM483">
            <v>152311710.84000003</v>
          </cell>
          <cell r="AN483">
            <v>156057624.57000002</v>
          </cell>
          <cell r="AO483">
            <v>160338122.44000003</v>
          </cell>
          <cell r="AP483">
            <v>164760558.62000003</v>
          </cell>
          <cell r="AQ483">
            <v>169279280.28000003</v>
          </cell>
          <cell r="AR483">
            <v>173887796.33000004</v>
          </cell>
          <cell r="AS483">
            <v>178897788.88000005</v>
          </cell>
          <cell r="AT483">
            <v>184353434.06000006</v>
          </cell>
          <cell r="AU483">
            <v>189487432.17000008</v>
          </cell>
          <cell r="AV483">
            <v>194788083.41000009</v>
          </cell>
          <cell r="AW483">
            <v>200264806.61000007</v>
          </cell>
          <cell r="AX483">
            <v>206368144.50000006</v>
          </cell>
          <cell r="AY483">
            <v>212499324.81000006</v>
          </cell>
          <cell r="AZ483">
            <v>219013831.02000007</v>
          </cell>
          <cell r="BA483">
            <v>226017867.54000008</v>
          </cell>
          <cell r="BB483">
            <v>232198020.78000009</v>
          </cell>
        </row>
        <row r="484">
          <cell r="A484" t="str">
            <v>TICK</v>
          </cell>
          <cell r="B484">
            <v>363749.57999999996</v>
          </cell>
          <cell r="C484">
            <v>330846.94</v>
          </cell>
          <cell r="D484">
            <v>571296.27</v>
          </cell>
          <cell r="E484">
            <v>479501.89</v>
          </cell>
          <cell r="F484">
            <v>567211.49</v>
          </cell>
          <cell r="G484">
            <v>737077.21</v>
          </cell>
          <cell r="H484">
            <v>1221930.4300000002</v>
          </cell>
          <cell r="I484">
            <v>878243.91999999993</v>
          </cell>
          <cell r="J484">
            <v>865537.12</v>
          </cell>
          <cell r="K484">
            <v>986770.47</v>
          </cell>
          <cell r="L484">
            <v>1033290.6000000001</v>
          </cell>
          <cell r="M484">
            <v>1371760.45</v>
          </cell>
          <cell r="N484">
            <v>1392470.14</v>
          </cell>
          <cell r="O484">
            <v>1202990.1400000001</v>
          </cell>
          <cell r="P484">
            <v>1275856.1299999999</v>
          </cell>
          <cell r="Q484">
            <v>1236574.3500000001</v>
          </cell>
          <cell r="R484">
            <v>1332880.6800000002</v>
          </cell>
          <cell r="S484">
            <v>1071119.75</v>
          </cell>
          <cell r="T484">
            <v>1198136.44</v>
          </cell>
          <cell r="U484">
            <v>1266220.8999999999</v>
          </cell>
          <cell r="V484">
            <v>1740042.2</v>
          </cell>
          <cell r="W484">
            <v>2135318.08</v>
          </cell>
          <cell r="X484">
            <v>1493176.49</v>
          </cell>
          <cell r="Y484">
            <v>1886861.85</v>
          </cell>
          <cell r="Z484">
            <v>1945456.45</v>
          </cell>
          <cell r="AA484">
            <v>2206651.15</v>
          </cell>
          <cell r="AB484">
            <v>2827027.26</v>
          </cell>
          <cell r="AC484">
            <v>2774112.2600000002</v>
          </cell>
          <cell r="AD484">
            <v>3221301.43</v>
          </cell>
          <cell r="AE484">
            <v>3090720.72</v>
          </cell>
          <cell r="AF484">
            <v>3075082.05</v>
          </cell>
          <cell r="AG484">
            <v>3077105.39</v>
          </cell>
          <cell r="AH484">
            <v>2894001.2299999995</v>
          </cell>
          <cell r="AI484">
            <v>3214431.69</v>
          </cell>
          <cell r="AJ484">
            <v>2654511.73</v>
          </cell>
          <cell r="AK484">
            <v>1025494.59</v>
          </cell>
          <cell r="AL484">
            <v>256706.31</v>
          </cell>
          <cell r="AM484">
            <v>350490.76</v>
          </cell>
          <cell r="AN484">
            <v>512762.61</v>
          </cell>
          <cell r="AO484">
            <v>978250.12</v>
          </cell>
          <cell r="AP484">
            <v>1604193.92</v>
          </cell>
          <cell r="AQ484">
            <v>2449331.71</v>
          </cell>
          <cell r="AR484">
            <v>2668028.42</v>
          </cell>
          <cell r="AS484">
            <v>1182460.67</v>
          </cell>
          <cell r="AT484">
            <v>207150.58000000002</v>
          </cell>
          <cell r="AU484">
            <v>187896.35</v>
          </cell>
          <cell r="AV484">
            <v>237674.97</v>
          </cell>
          <cell r="AW484">
            <v>279147.11</v>
          </cell>
          <cell r="AX484">
            <v>307094.03000000003</v>
          </cell>
          <cell r="AY484">
            <v>444603.33</v>
          </cell>
          <cell r="AZ484">
            <v>732960.33</v>
          </cell>
          <cell r="BA484">
            <v>1087789.72</v>
          </cell>
          <cell r="BB484">
            <v>405935.61</v>
          </cell>
        </row>
        <row r="485">
          <cell r="A485" t="str">
            <v>ptd</v>
          </cell>
          <cell r="B485">
            <v>363749.57999999996</v>
          </cell>
          <cell r="C485">
            <v>694596.52</v>
          </cell>
          <cell r="D485">
            <v>1265892.79</v>
          </cell>
          <cell r="E485">
            <v>1745394.6800000002</v>
          </cell>
          <cell r="F485">
            <v>567211.49</v>
          </cell>
          <cell r="G485">
            <v>1304288.7</v>
          </cell>
          <cell r="H485">
            <v>2526219.13</v>
          </cell>
          <cell r="I485">
            <v>3404463.05</v>
          </cell>
          <cell r="J485">
            <v>865537.12</v>
          </cell>
          <cell r="K485">
            <v>1852307.5899999999</v>
          </cell>
          <cell r="L485">
            <v>2885598.19</v>
          </cell>
          <cell r="M485">
            <v>4257358.6399999997</v>
          </cell>
          <cell r="N485">
            <v>1392470.14</v>
          </cell>
          <cell r="O485">
            <v>2595460.2800000003</v>
          </cell>
          <cell r="P485">
            <v>3871316.41</v>
          </cell>
          <cell r="Q485">
            <v>5107890.76</v>
          </cell>
          <cell r="R485">
            <v>1332880.6800000002</v>
          </cell>
          <cell r="S485">
            <v>2404000.4300000002</v>
          </cell>
          <cell r="T485">
            <v>3602136.87</v>
          </cell>
          <cell r="U485">
            <v>4868357.7699999996</v>
          </cell>
          <cell r="V485">
            <v>1740042.2</v>
          </cell>
          <cell r="W485">
            <v>3875360.2800000003</v>
          </cell>
          <cell r="X485">
            <v>5368536.7700000005</v>
          </cell>
          <cell r="Y485">
            <v>7255398.620000001</v>
          </cell>
          <cell r="Z485">
            <v>1945456.45</v>
          </cell>
          <cell r="AA485">
            <v>4152107.5999999996</v>
          </cell>
          <cell r="AB485">
            <v>6979134.8599999994</v>
          </cell>
          <cell r="AC485">
            <v>9753247.1199999992</v>
          </cell>
          <cell r="AD485">
            <v>3221301.43</v>
          </cell>
          <cell r="AE485">
            <v>6312022.1500000004</v>
          </cell>
          <cell r="AF485">
            <v>9387104.1999999993</v>
          </cell>
          <cell r="AG485">
            <v>12464209.59</v>
          </cell>
          <cell r="AH485">
            <v>2894001.2299999995</v>
          </cell>
          <cell r="AI485">
            <v>6108432.9199999999</v>
          </cell>
          <cell r="AJ485">
            <v>8762944.6500000004</v>
          </cell>
          <cell r="AK485">
            <v>9788439.2400000002</v>
          </cell>
          <cell r="AL485">
            <v>256706.31</v>
          </cell>
          <cell r="AM485">
            <v>607197.07000000007</v>
          </cell>
          <cell r="AN485">
            <v>1119959.6800000002</v>
          </cell>
          <cell r="AO485">
            <v>2098209.8000000003</v>
          </cell>
          <cell r="AP485">
            <v>1604193.92</v>
          </cell>
          <cell r="AQ485">
            <v>4053525.63</v>
          </cell>
          <cell r="AR485">
            <v>6721554.0499999998</v>
          </cell>
          <cell r="AS485">
            <v>7904014.7199999997</v>
          </cell>
          <cell r="AT485">
            <v>207150.58000000002</v>
          </cell>
          <cell r="AU485">
            <v>395046.93000000005</v>
          </cell>
          <cell r="AV485">
            <v>632721.9</v>
          </cell>
          <cell r="AW485">
            <v>911869.01</v>
          </cell>
          <cell r="AX485">
            <v>307094.03000000003</v>
          </cell>
          <cell r="AY485">
            <v>751697.3600000001</v>
          </cell>
          <cell r="AZ485">
            <v>1484657.69</v>
          </cell>
          <cell r="BA485">
            <v>2572447.41</v>
          </cell>
          <cell r="BB485">
            <v>2978383.02</v>
          </cell>
        </row>
        <row r="486">
          <cell r="A486" t="str">
            <v>qtd</v>
          </cell>
          <cell r="B486">
            <v>363749.57999999996</v>
          </cell>
          <cell r="C486">
            <v>694596.52</v>
          </cell>
          <cell r="D486">
            <v>1265892.79</v>
          </cell>
          <cell r="E486">
            <v>1745394.6800000002</v>
          </cell>
          <cell r="F486">
            <v>2312606.17</v>
          </cell>
          <cell r="G486">
            <v>3049683.38</v>
          </cell>
          <cell r="H486">
            <v>4271613.8100000005</v>
          </cell>
          <cell r="I486">
            <v>5149857.7300000004</v>
          </cell>
          <cell r="J486">
            <v>6015394.8500000006</v>
          </cell>
          <cell r="K486">
            <v>7002165.3200000003</v>
          </cell>
          <cell r="L486">
            <v>8035455.9199999999</v>
          </cell>
          <cell r="M486">
            <v>9407216.3699999992</v>
          </cell>
          <cell r="N486">
            <v>1392470.14</v>
          </cell>
          <cell r="O486">
            <v>2595460.2800000003</v>
          </cell>
          <cell r="P486">
            <v>3871316.41</v>
          </cell>
          <cell r="Q486">
            <v>5107890.76</v>
          </cell>
          <cell r="R486">
            <v>6440771.4399999995</v>
          </cell>
          <cell r="S486">
            <v>7511891.1899999995</v>
          </cell>
          <cell r="T486">
            <v>8710027.629999999</v>
          </cell>
          <cell r="U486">
            <v>9976248.5299999993</v>
          </cell>
          <cell r="V486">
            <v>11716290.729999999</v>
          </cell>
          <cell r="W486">
            <v>13851608.809999999</v>
          </cell>
          <cell r="X486">
            <v>15344785.299999999</v>
          </cell>
          <cell r="Y486">
            <v>17231647.149999999</v>
          </cell>
          <cell r="Z486">
            <v>1945456.45</v>
          </cell>
          <cell r="AA486">
            <v>4152107.5999999996</v>
          </cell>
          <cell r="AB486">
            <v>6979134.8599999994</v>
          </cell>
          <cell r="AC486">
            <v>9753247.1199999992</v>
          </cell>
          <cell r="AD486">
            <v>12974548.549999999</v>
          </cell>
          <cell r="AE486">
            <v>16065269.27</v>
          </cell>
          <cell r="AF486">
            <v>19140351.32</v>
          </cell>
          <cell r="AG486">
            <v>22217456.710000001</v>
          </cell>
          <cell r="AH486">
            <v>25111457.940000001</v>
          </cell>
          <cell r="AI486">
            <v>28325889.630000003</v>
          </cell>
          <cell r="AJ486">
            <v>30980401.360000003</v>
          </cell>
          <cell r="AK486">
            <v>32005895.950000003</v>
          </cell>
          <cell r="AL486">
            <v>256706.31</v>
          </cell>
          <cell r="AM486">
            <v>607197.07000000007</v>
          </cell>
          <cell r="AN486">
            <v>1119959.6800000002</v>
          </cell>
          <cell r="AO486">
            <v>2098209.8000000003</v>
          </cell>
          <cell r="AP486">
            <v>3702403.72</v>
          </cell>
          <cell r="AQ486">
            <v>6151735.4299999997</v>
          </cell>
          <cell r="AR486">
            <v>8819763.8499999996</v>
          </cell>
          <cell r="AS486">
            <v>10002224.52</v>
          </cell>
          <cell r="AT486">
            <v>10209375.1</v>
          </cell>
          <cell r="AU486">
            <v>10397271.449999999</v>
          </cell>
          <cell r="AV486">
            <v>10634946.42</v>
          </cell>
          <cell r="AW486">
            <v>10914093.529999999</v>
          </cell>
          <cell r="AX486">
            <v>11221187.559999999</v>
          </cell>
          <cell r="AY486">
            <v>11665790.889999999</v>
          </cell>
          <cell r="AZ486">
            <v>12398751.219999999</v>
          </cell>
          <cell r="BA486">
            <v>13486540.939999999</v>
          </cell>
          <cell r="BB486">
            <v>13892476.549999999</v>
          </cell>
        </row>
        <row r="487">
          <cell r="A487" t="str">
            <v>ytd</v>
          </cell>
          <cell r="B487">
            <v>363749.57999999996</v>
          </cell>
          <cell r="C487">
            <v>694596.52</v>
          </cell>
          <cell r="D487">
            <v>1265892.79</v>
          </cell>
          <cell r="E487">
            <v>1745394.6800000002</v>
          </cell>
          <cell r="F487">
            <v>2312606.17</v>
          </cell>
          <cell r="G487">
            <v>3049683.38</v>
          </cell>
          <cell r="H487">
            <v>4271613.8100000005</v>
          </cell>
          <cell r="I487">
            <v>5149857.7300000004</v>
          </cell>
          <cell r="J487">
            <v>6015394.8500000006</v>
          </cell>
          <cell r="K487">
            <v>7002165.3200000003</v>
          </cell>
          <cell r="L487">
            <v>8035455.9199999999</v>
          </cell>
          <cell r="M487">
            <v>9407216.3699999992</v>
          </cell>
          <cell r="N487">
            <v>10799686.51</v>
          </cell>
          <cell r="O487">
            <v>12002676.65</v>
          </cell>
          <cell r="P487">
            <v>13278532.780000001</v>
          </cell>
          <cell r="Q487">
            <v>14515107.130000001</v>
          </cell>
          <cell r="R487">
            <v>15847987.810000001</v>
          </cell>
          <cell r="S487">
            <v>16919107.560000002</v>
          </cell>
          <cell r="T487">
            <v>18117244.000000004</v>
          </cell>
          <cell r="U487">
            <v>19383464.900000002</v>
          </cell>
          <cell r="V487">
            <v>21123507.100000001</v>
          </cell>
          <cell r="W487">
            <v>23258825.18</v>
          </cell>
          <cell r="X487">
            <v>24752001.669999998</v>
          </cell>
          <cell r="Y487">
            <v>26638863.52</v>
          </cell>
          <cell r="Z487">
            <v>28584319.969999999</v>
          </cell>
          <cell r="AA487">
            <v>30790971.119999997</v>
          </cell>
          <cell r="AB487">
            <v>33617998.379999995</v>
          </cell>
          <cell r="AC487">
            <v>36392110.639999993</v>
          </cell>
          <cell r="AD487">
            <v>39613412.069999993</v>
          </cell>
          <cell r="AE487">
            <v>42704132.789999992</v>
          </cell>
          <cell r="AF487">
            <v>45779214.839999989</v>
          </cell>
          <cell r="AG487">
            <v>48856320.229999989</v>
          </cell>
          <cell r="AH487">
            <v>51750321.459999986</v>
          </cell>
          <cell r="AI487">
            <v>54964753.149999984</v>
          </cell>
          <cell r="AJ487">
            <v>57619264.87999998</v>
          </cell>
          <cell r="AK487">
            <v>58644759.469999984</v>
          </cell>
          <cell r="AL487">
            <v>58901465.779999986</v>
          </cell>
          <cell r="AM487">
            <v>59251956.539999984</v>
          </cell>
          <cell r="AN487">
            <v>59764719.149999984</v>
          </cell>
          <cell r="AO487">
            <v>60742969.269999981</v>
          </cell>
          <cell r="AP487">
            <v>62347163.189999983</v>
          </cell>
          <cell r="AQ487">
            <v>64796494.899999984</v>
          </cell>
          <cell r="AR487">
            <v>67464523.319999978</v>
          </cell>
          <cell r="AS487">
            <v>68646983.98999998</v>
          </cell>
          <cell r="AT487">
            <v>68854134.569999978</v>
          </cell>
          <cell r="AU487">
            <v>69042030.919999972</v>
          </cell>
          <cell r="AV487">
            <v>69279705.889999971</v>
          </cell>
          <cell r="AW487">
            <v>69558852.99999997</v>
          </cell>
          <cell r="AX487">
            <v>69865947.029999971</v>
          </cell>
          <cell r="AY487">
            <v>70310550.35999997</v>
          </cell>
          <cell r="AZ487">
            <v>71043510.689999968</v>
          </cell>
          <cell r="BA487">
            <v>72131300.409999967</v>
          </cell>
          <cell r="BB487">
            <v>72537236.019999966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19.95</v>
          </cell>
          <cell r="AW488">
            <v>98.28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19.95</v>
          </cell>
          <cell r="AW489">
            <v>118.23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19.95</v>
          </cell>
          <cell r="AW490">
            <v>118.23</v>
          </cell>
          <cell r="AX490">
            <v>118.23</v>
          </cell>
          <cell r="AY490">
            <v>118.23</v>
          </cell>
          <cell r="AZ490">
            <v>118.23</v>
          </cell>
          <cell r="BA490">
            <v>118.23</v>
          </cell>
          <cell r="BB490">
            <v>118.23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19.95</v>
          </cell>
          <cell r="AW491">
            <v>118.23</v>
          </cell>
          <cell r="AX491">
            <v>118.23</v>
          </cell>
          <cell r="AY491">
            <v>118.23</v>
          </cell>
          <cell r="AZ491">
            <v>118.23</v>
          </cell>
          <cell r="BA491">
            <v>118.23</v>
          </cell>
          <cell r="BB491">
            <v>118.23</v>
          </cell>
        </row>
        <row r="492">
          <cell r="A492" t="str">
            <v>TOTAL</v>
          </cell>
          <cell r="B492">
            <v>39584136.399999999</v>
          </cell>
          <cell r="C492">
            <v>34845904.479999997</v>
          </cell>
          <cell r="D492">
            <v>34902739.93</v>
          </cell>
          <cell r="E492">
            <v>34146742.970000006</v>
          </cell>
          <cell r="F492">
            <v>36032980.960000001</v>
          </cell>
          <cell r="G492">
            <v>38520326.82</v>
          </cell>
          <cell r="H492">
            <v>50345307.280000001</v>
          </cell>
          <cell r="I492">
            <v>35403753.93</v>
          </cell>
          <cell r="J492">
            <v>36591650.579999998</v>
          </cell>
          <cell r="K492">
            <v>37571779.509999998</v>
          </cell>
          <cell r="L492">
            <v>40492158.370000005</v>
          </cell>
          <cell r="M492">
            <v>52877982.280000001</v>
          </cell>
          <cell r="N492">
            <v>37952705.370000005</v>
          </cell>
          <cell r="O492">
            <v>40264070.979999997</v>
          </cell>
          <cell r="P492">
            <v>39728320.399999991</v>
          </cell>
          <cell r="Q492">
            <v>41598641.390000001</v>
          </cell>
          <cell r="R492">
            <v>47064056.299999997</v>
          </cell>
          <cell r="S492">
            <v>47667370.390000001</v>
          </cell>
          <cell r="T492">
            <v>72898094.280000001</v>
          </cell>
          <cell r="U492">
            <v>58876865.190000005</v>
          </cell>
          <cell r="V492">
            <v>54984258.100000001</v>
          </cell>
          <cell r="W492">
            <v>55820672.240000002</v>
          </cell>
          <cell r="X492">
            <v>64286287.659999996</v>
          </cell>
          <cell r="Y492">
            <v>88775219.209999993</v>
          </cell>
          <cell r="Z492">
            <v>68422862.310000002</v>
          </cell>
          <cell r="AA492">
            <v>54154481.719999999</v>
          </cell>
          <cell r="AB492">
            <v>49852477.420000002</v>
          </cell>
          <cell r="AC492">
            <v>48424085.159999996</v>
          </cell>
          <cell r="AD492">
            <v>50148714.980000004</v>
          </cell>
          <cell r="AE492">
            <v>48954113.620000005</v>
          </cell>
          <cell r="AF492">
            <v>50191614.049999997</v>
          </cell>
          <cell r="AG492">
            <v>51848624.780000001</v>
          </cell>
          <cell r="AH492">
            <v>53014594.060000002</v>
          </cell>
          <cell r="AI492">
            <v>54445322.099999994</v>
          </cell>
          <cell r="AJ492">
            <v>53374462.649999999</v>
          </cell>
          <cell r="AK492">
            <v>45220719.869999997</v>
          </cell>
          <cell r="AL492">
            <v>44257980.039999999</v>
          </cell>
          <cell r="AM492">
            <v>44665585.210000008</v>
          </cell>
          <cell r="AN492">
            <v>44183426.699999996</v>
          </cell>
          <cell r="AO492">
            <v>46411190.369999997</v>
          </cell>
          <cell r="AP492">
            <v>45581352.210000001</v>
          </cell>
          <cell r="AQ492">
            <v>49682423.509999998</v>
          </cell>
          <cell r="AR492">
            <v>49023525.960000001</v>
          </cell>
          <cell r="AS492">
            <v>52027524.969999999</v>
          </cell>
          <cell r="AT492">
            <v>51470043.039999999</v>
          </cell>
          <cell r="AU492">
            <v>56259829.06000001</v>
          </cell>
          <cell r="AV492">
            <v>63645483.690000005</v>
          </cell>
          <cell r="AW492">
            <v>76606944.560000002</v>
          </cell>
          <cell r="AX492">
            <v>106020913.56</v>
          </cell>
          <cell r="AY492">
            <v>183257332.21000001</v>
          </cell>
          <cell r="AZ492">
            <v>364013341.06999999</v>
          </cell>
          <cell r="BA492">
            <v>447314303.19999993</v>
          </cell>
          <cell r="BB492">
            <v>61638887.980000004</v>
          </cell>
        </row>
        <row r="493">
          <cell r="A493" t="str">
            <v>ptd</v>
          </cell>
          <cell r="B493">
            <v>39584136.399999999</v>
          </cell>
          <cell r="C493">
            <v>74430040.879999995</v>
          </cell>
          <cell r="D493">
            <v>109332780.81</v>
          </cell>
          <cell r="E493">
            <v>143479523.78000003</v>
          </cell>
          <cell r="F493">
            <v>36032980.960000001</v>
          </cell>
          <cell r="G493">
            <v>74553307.780000001</v>
          </cell>
          <cell r="H493">
            <v>124898615.06</v>
          </cell>
          <cell r="I493">
            <v>160302368.99000001</v>
          </cell>
          <cell r="J493">
            <v>36591650.579999998</v>
          </cell>
          <cell r="K493">
            <v>74163430.090000004</v>
          </cell>
          <cell r="L493">
            <v>114655588.46000001</v>
          </cell>
          <cell r="M493">
            <v>167533570.73999998</v>
          </cell>
          <cell r="N493">
            <v>37952705.370000005</v>
          </cell>
          <cell r="O493">
            <v>78216776.350000009</v>
          </cell>
          <cell r="P493">
            <v>117945096.75</v>
          </cell>
          <cell r="Q493">
            <v>159543738.14000002</v>
          </cell>
          <cell r="R493">
            <v>47064056.299999997</v>
          </cell>
          <cell r="S493">
            <v>94731426.689999998</v>
          </cell>
          <cell r="T493">
            <v>167629520.96999997</v>
          </cell>
          <cell r="U493">
            <v>226506386.16</v>
          </cell>
          <cell r="V493">
            <v>54984258.100000009</v>
          </cell>
          <cell r="W493">
            <v>110804930.34</v>
          </cell>
          <cell r="X493">
            <v>175091218.00000003</v>
          </cell>
          <cell r="Y493">
            <v>263866437.20999998</v>
          </cell>
          <cell r="Z493">
            <v>68422862.310000002</v>
          </cell>
          <cell r="AA493">
            <v>122577344.03</v>
          </cell>
          <cell r="AB493">
            <v>172429821.45000002</v>
          </cell>
          <cell r="AC493">
            <v>220853906.60999998</v>
          </cell>
          <cell r="AD493">
            <v>50148714.979999997</v>
          </cell>
          <cell r="AE493">
            <v>99102828.600000009</v>
          </cell>
          <cell r="AF493">
            <v>149294442.65000001</v>
          </cell>
          <cell r="AG493">
            <v>201143067.42999998</v>
          </cell>
          <cell r="AH493">
            <v>53014594.059999995</v>
          </cell>
          <cell r="AI493">
            <v>107459916.16000001</v>
          </cell>
          <cell r="AJ493">
            <v>160834378.81</v>
          </cell>
          <cell r="AK493">
            <v>206055098.68000001</v>
          </cell>
          <cell r="AL493">
            <v>44257980.039999992</v>
          </cell>
          <cell r="AM493">
            <v>88923565.25</v>
          </cell>
          <cell r="AN493">
            <v>133106991.95</v>
          </cell>
          <cell r="AO493">
            <v>179518182.31999996</v>
          </cell>
          <cell r="AP493">
            <v>45581352.210000001</v>
          </cell>
          <cell r="AQ493">
            <v>95263775.719999999</v>
          </cell>
          <cell r="AR493">
            <v>144287301.67999998</v>
          </cell>
          <cell r="AS493">
            <v>196314826.65000001</v>
          </cell>
          <cell r="AT493">
            <v>51470043.039999999</v>
          </cell>
          <cell r="AU493">
            <v>107729872.09999999</v>
          </cell>
          <cell r="AV493">
            <v>171375355.78999999</v>
          </cell>
          <cell r="AW493">
            <v>247982300.34999999</v>
          </cell>
          <cell r="AX493">
            <v>106020913.56</v>
          </cell>
          <cell r="AY493">
            <v>289278245.77000004</v>
          </cell>
          <cell r="AZ493">
            <v>653291586.83999991</v>
          </cell>
          <cell r="BA493">
            <v>1100605890.04</v>
          </cell>
          <cell r="BB493">
            <v>1162244778.0200002</v>
          </cell>
        </row>
        <row r="494">
          <cell r="A494" t="str">
            <v>qtd</v>
          </cell>
          <cell r="B494">
            <v>39584136.399999999</v>
          </cell>
          <cell r="C494">
            <v>74430040.879999995</v>
          </cell>
          <cell r="D494">
            <v>109332780.81</v>
          </cell>
          <cell r="E494">
            <v>143479523.78000003</v>
          </cell>
          <cell r="F494">
            <v>179512504.74000001</v>
          </cell>
          <cell r="G494">
            <v>218032831.56</v>
          </cell>
          <cell r="H494">
            <v>268378138.84</v>
          </cell>
          <cell r="I494">
            <v>303781892.76999998</v>
          </cell>
          <cell r="J494">
            <v>340373543.34999996</v>
          </cell>
          <cell r="K494">
            <v>377945322.85999995</v>
          </cell>
          <cell r="L494">
            <v>418437481.22999996</v>
          </cell>
          <cell r="M494">
            <v>471315463.50999999</v>
          </cell>
          <cell r="N494">
            <v>37952705.370000005</v>
          </cell>
          <cell r="O494">
            <v>78216776.350000009</v>
          </cell>
          <cell r="P494">
            <v>117945096.75</v>
          </cell>
          <cell r="Q494">
            <v>159543738.14000002</v>
          </cell>
          <cell r="R494">
            <v>206607794.44</v>
          </cell>
          <cell r="S494">
            <v>254275164.82999998</v>
          </cell>
          <cell r="T494">
            <v>327173259.10999995</v>
          </cell>
          <cell r="U494">
            <v>386050124.29999995</v>
          </cell>
          <cell r="V494">
            <v>441034382.39999998</v>
          </cell>
          <cell r="W494">
            <v>496855054.63999999</v>
          </cell>
          <cell r="X494">
            <v>561141342.29999995</v>
          </cell>
          <cell r="Y494">
            <v>649916561.50999999</v>
          </cell>
          <cell r="Z494">
            <v>68422862.310000002</v>
          </cell>
          <cell r="AA494">
            <v>122577344.03</v>
          </cell>
          <cell r="AB494">
            <v>172429821.45000002</v>
          </cell>
          <cell r="AC494">
            <v>220853906.60999998</v>
          </cell>
          <cell r="AD494">
            <v>271002621.58999997</v>
          </cell>
          <cell r="AE494">
            <v>319956735.21000004</v>
          </cell>
          <cell r="AF494">
            <v>370148349.26000005</v>
          </cell>
          <cell r="AG494">
            <v>421996974.03999996</v>
          </cell>
          <cell r="AH494">
            <v>475011568.09999996</v>
          </cell>
          <cell r="AI494">
            <v>529456890.19999999</v>
          </cell>
          <cell r="AJ494">
            <v>582831352.8499999</v>
          </cell>
          <cell r="AK494">
            <v>628052072.71999991</v>
          </cell>
          <cell r="AL494">
            <v>44257980.039999992</v>
          </cell>
          <cell r="AM494">
            <v>88923565.25</v>
          </cell>
          <cell r="AN494">
            <v>133106991.95</v>
          </cell>
          <cell r="AO494">
            <v>179518182.31999996</v>
          </cell>
          <cell r="AP494">
            <v>225099534.52999997</v>
          </cell>
          <cell r="AQ494">
            <v>274781958.04000002</v>
          </cell>
          <cell r="AR494">
            <v>323805483.99999994</v>
          </cell>
          <cell r="AS494">
            <v>375833008.96999997</v>
          </cell>
          <cell r="AT494">
            <v>427303052.00999999</v>
          </cell>
          <cell r="AU494">
            <v>483562881.07000005</v>
          </cell>
          <cell r="AV494">
            <v>547208364.75999999</v>
          </cell>
          <cell r="AW494">
            <v>623815309.31999993</v>
          </cell>
          <cell r="AX494">
            <v>729836222.88</v>
          </cell>
          <cell r="AY494">
            <v>913093555.08999991</v>
          </cell>
          <cell r="AZ494">
            <v>1277106896.1600001</v>
          </cell>
          <cell r="BA494">
            <v>1724421199.3600001</v>
          </cell>
          <cell r="BB494">
            <v>1786060087.3399999</v>
          </cell>
        </row>
        <row r="495">
          <cell r="A495" t="str">
            <v>ytd</v>
          </cell>
          <cell r="B495">
            <v>39584136.399999999</v>
          </cell>
          <cell r="C495">
            <v>74430040.879999995</v>
          </cell>
          <cell r="D495">
            <v>109332780.81</v>
          </cell>
          <cell r="E495">
            <v>143479523.78000003</v>
          </cell>
          <cell r="F495">
            <v>179512504.74000001</v>
          </cell>
          <cell r="G495">
            <v>218032831.56</v>
          </cell>
          <cell r="H495">
            <v>268378138.84</v>
          </cell>
          <cell r="I495">
            <v>303781892.76999998</v>
          </cell>
          <cell r="J495">
            <v>340373543.34999996</v>
          </cell>
          <cell r="K495">
            <v>377945322.85999995</v>
          </cell>
          <cell r="L495">
            <v>418437481.22999996</v>
          </cell>
          <cell r="M495">
            <v>471315463.50999999</v>
          </cell>
          <cell r="N495">
            <v>509268168.88</v>
          </cell>
          <cell r="O495">
            <v>549532239.86000001</v>
          </cell>
          <cell r="P495">
            <v>589260560.26000011</v>
          </cell>
          <cell r="Q495">
            <v>630859201.64999998</v>
          </cell>
          <cell r="R495">
            <v>677923257.95000005</v>
          </cell>
          <cell r="S495">
            <v>725590628.34000003</v>
          </cell>
          <cell r="T495">
            <v>798488722.61999989</v>
          </cell>
          <cell r="U495">
            <v>857365587.81000006</v>
          </cell>
          <cell r="V495">
            <v>912349845.91000009</v>
          </cell>
          <cell r="W495">
            <v>968170518.14999998</v>
          </cell>
          <cell r="X495">
            <v>1032456805.8100001</v>
          </cell>
          <cell r="Y495">
            <v>1121232025.0200002</v>
          </cell>
          <cell r="Z495">
            <v>1189654887.3300002</v>
          </cell>
          <cell r="AA495">
            <v>1243809369.05</v>
          </cell>
          <cell r="AB495">
            <v>1293661846.47</v>
          </cell>
          <cell r="AC495">
            <v>1342085931.6300001</v>
          </cell>
          <cell r="AD495">
            <v>1392234646.6099999</v>
          </cell>
          <cell r="AE495">
            <v>1441188760.2299998</v>
          </cell>
          <cell r="AF495">
            <v>1491380374.28</v>
          </cell>
          <cell r="AG495">
            <v>1543228999.0599999</v>
          </cell>
          <cell r="AH495">
            <v>1596243593.1200001</v>
          </cell>
          <cell r="AI495">
            <v>1650688915.22</v>
          </cell>
          <cell r="AJ495">
            <v>1704063377.8700001</v>
          </cell>
          <cell r="AK495">
            <v>1749284097.74</v>
          </cell>
          <cell r="AL495">
            <v>1793542077.78</v>
          </cell>
          <cell r="AM495">
            <v>1838207662.9900002</v>
          </cell>
          <cell r="AN495">
            <v>1882391089.6900003</v>
          </cell>
          <cell r="AO495">
            <v>1928802280.0599999</v>
          </cell>
          <cell r="AP495">
            <v>1974383632.2700002</v>
          </cell>
          <cell r="AQ495">
            <v>2024066055.7800002</v>
          </cell>
          <cell r="AR495">
            <v>2073089581.74</v>
          </cell>
          <cell r="AS495">
            <v>2125117106.71</v>
          </cell>
          <cell r="AT495">
            <v>2176587149.7500005</v>
          </cell>
          <cell r="AU495">
            <v>2232846978.8099999</v>
          </cell>
          <cell r="AV495">
            <v>2296492462.5000005</v>
          </cell>
          <cell r="AW495">
            <v>2373099407.0600004</v>
          </cell>
          <cell r="AX495">
            <v>2479120320.6199999</v>
          </cell>
          <cell r="AY495">
            <v>2662377652.8299999</v>
          </cell>
          <cell r="AZ495">
            <v>3026390993.9000001</v>
          </cell>
          <cell r="BA495">
            <v>3473705297.0999999</v>
          </cell>
          <cell r="BB495">
            <v>3535344185.0800004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2698693</v>
          </cell>
          <cell r="C498">
            <v>2155153</v>
          </cell>
          <cell r="D498">
            <v>2065403</v>
          </cell>
          <cell r="E498">
            <v>2011018.68</v>
          </cell>
          <cell r="F498">
            <v>2180936</v>
          </cell>
          <cell r="G498">
            <v>2512937</v>
          </cell>
          <cell r="H498">
            <v>4074212</v>
          </cell>
          <cell r="I498">
            <v>2197524</v>
          </cell>
          <cell r="J498">
            <v>2333981</v>
          </cell>
          <cell r="K498">
            <v>2327462.9700000002</v>
          </cell>
          <cell r="L498">
            <v>2611762.67</v>
          </cell>
          <cell r="M498">
            <v>3872692</v>
          </cell>
          <cell r="N498">
            <v>2454595.89</v>
          </cell>
          <cell r="O498">
            <v>2469450.14</v>
          </cell>
          <cell r="P498">
            <v>2403978.6</v>
          </cell>
          <cell r="Q498">
            <v>2658907.9</v>
          </cell>
          <cell r="R498">
            <v>3294621.04</v>
          </cell>
          <cell r="S498">
            <v>3394100.86</v>
          </cell>
          <cell r="T498">
            <v>6908338.2199999997</v>
          </cell>
          <cell r="U498">
            <v>5045933.74</v>
          </cell>
          <cell r="V498">
            <v>4705537.26</v>
          </cell>
          <cell r="W498">
            <v>4845236.7</v>
          </cell>
          <cell r="X498">
            <v>5211749.6500000004</v>
          </cell>
          <cell r="Y498">
            <v>8803477.2200000007</v>
          </cell>
          <cell r="Z498">
            <v>5989465.46</v>
          </cell>
          <cell r="AA498">
            <v>3945987.3899999997</v>
          </cell>
          <cell r="AB498">
            <v>3927835.9299999997</v>
          </cell>
          <cell r="AC498">
            <v>3916925.52</v>
          </cell>
          <cell r="AD498">
            <v>4118371.28</v>
          </cell>
          <cell r="AE498">
            <v>3961155.1</v>
          </cell>
          <cell r="AF498">
            <v>4230134.26</v>
          </cell>
          <cell r="AG498">
            <v>3960161.56</v>
          </cell>
          <cell r="AH498">
            <v>3789291.7199999997</v>
          </cell>
          <cell r="AI498">
            <v>3629187.02</v>
          </cell>
          <cell r="AJ498">
            <v>3294423.02</v>
          </cell>
          <cell r="AK498">
            <v>3092471.43</v>
          </cell>
          <cell r="AL498">
            <v>3021439.9899999998</v>
          </cell>
          <cell r="AM498">
            <v>3001959.99</v>
          </cell>
          <cell r="AN498">
            <v>3027090.45</v>
          </cell>
          <cell r="AO498">
            <v>3374011.52</v>
          </cell>
          <cell r="AP498">
            <v>3851428.7800000003</v>
          </cell>
          <cell r="AQ498">
            <v>4846630.58</v>
          </cell>
          <cell r="AR498">
            <v>4881680.71</v>
          </cell>
          <cell r="AS498">
            <v>4738098.5600000005</v>
          </cell>
          <cell r="AT498">
            <v>4806426.47</v>
          </cell>
          <cell r="AU498">
            <v>5260165.6000000006</v>
          </cell>
          <cell r="AV498">
            <v>6297119.7199999997</v>
          </cell>
          <cell r="AW498">
            <v>7970961.7400000002</v>
          </cell>
          <cell r="AX498">
            <v>12548425.640000001</v>
          </cell>
          <cell r="AY498">
            <v>26038789.390000001</v>
          </cell>
          <cell r="AZ498">
            <v>58986467.949999996</v>
          </cell>
          <cell r="BA498">
            <v>72776564.75999999</v>
          </cell>
          <cell r="BB498">
            <v>8808791.8099999987</v>
          </cell>
        </row>
        <row r="499">
          <cell r="A499" t="str">
            <v>GE</v>
          </cell>
          <cell r="B499">
            <v>5960796.4500000002</v>
          </cell>
          <cell r="C499">
            <v>5876658.9800000004</v>
          </cell>
          <cell r="D499">
            <v>6626593.5499999998</v>
          </cell>
          <cell r="E499">
            <v>6793745.2000000002</v>
          </cell>
          <cell r="F499">
            <v>6982392.1100000003</v>
          </cell>
          <cell r="G499">
            <v>7166260.7000000002</v>
          </cell>
          <cell r="H499">
            <v>7266344.8799999999</v>
          </cell>
          <cell r="I499">
            <v>6732957.0600000005</v>
          </cell>
          <cell r="J499">
            <v>6498383.6600000001</v>
          </cell>
          <cell r="K499">
            <v>6216104.7800000003</v>
          </cell>
          <cell r="L499">
            <v>7951148.54</v>
          </cell>
          <cell r="M499">
            <v>9455224.5099999998</v>
          </cell>
          <cell r="N499">
            <v>7173309.79</v>
          </cell>
          <cell r="O499">
            <v>8653092.1899999995</v>
          </cell>
          <cell r="P499">
            <v>8914279.3699999992</v>
          </cell>
          <cell r="Q499">
            <v>9689311.9100000001</v>
          </cell>
          <cell r="R499">
            <v>11201618.529999999</v>
          </cell>
          <cell r="S499">
            <v>11331169.67</v>
          </cell>
          <cell r="T499">
            <v>14465440.02</v>
          </cell>
          <cell r="U499">
            <v>12626482.800000001</v>
          </cell>
          <cell r="V499">
            <v>13178910.870000001</v>
          </cell>
          <cell r="W499">
            <v>12946532.140000001</v>
          </cell>
          <cell r="X499">
            <v>13940077.93</v>
          </cell>
          <cell r="Y499">
            <v>16349514.140000001</v>
          </cell>
          <cell r="Z499">
            <v>13196476.84</v>
          </cell>
          <cell r="AA499">
            <v>12952057.49</v>
          </cell>
          <cell r="AB499">
            <v>12814567.449999999</v>
          </cell>
          <cell r="AC499">
            <v>12177906.560000001</v>
          </cell>
          <cell r="AD499">
            <v>12349593.1</v>
          </cell>
          <cell r="AE499">
            <v>11882164.140000001</v>
          </cell>
          <cell r="AF499">
            <v>11721081.75</v>
          </cell>
          <cell r="AG499">
            <v>13804719.16</v>
          </cell>
          <cell r="AH499">
            <v>15089069.199999999</v>
          </cell>
          <cell r="AI499">
            <v>15886105.710000001</v>
          </cell>
          <cell r="AJ499">
            <v>16581844.9</v>
          </cell>
          <cell r="AK499">
            <v>10602779.220000001</v>
          </cell>
          <cell r="AL499">
            <v>10453219.65</v>
          </cell>
          <cell r="AM499">
            <v>10247334.49</v>
          </cell>
          <cell r="AN499">
            <v>10455612.77</v>
          </cell>
          <cell r="AO499">
            <v>10618571.59</v>
          </cell>
          <cell r="AP499">
            <v>10118526.35</v>
          </cell>
          <cell r="AQ499">
            <v>11539604.5</v>
          </cell>
          <cell r="AR499">
            <v>11907611.460000001</v>
          </cell>
          <cell r="AS499">
            <v>12193554.689999999</v>
          </cell>
          <cell r="AT499">
            <v>12215318.440000001</v>
          </cell>
          <cell r="AU499">
            <v>14395990.57</v>
          </cell>
          <cell r="AV499">
            <v>16319911.699999999</v>
          </cell>
          <cell r="AW499">
            <v>20163236.25</v>
          </cell>
          <cell r="AX499">
            <v>21721528.23</v>
          </cell>
          <cell r="AY499">
            <v>34066369.159999996</v>
          </cell>
          <cell r="AZ499">
            <v>44110755.129999995</v>
          </cell>
          <cell r="BA499">
            <v>41888665.5</v>
          </cell>
          <cell r="BB499">
            <v>9818242.4100000001</v>
          </cell>
        </row>
        <row r="500">
          <cell r="A500" t="str">
            <v>SWY</v>
          </cell>
          <cell r="B500">
            <v>11560144.280000001</v>
          </cell>
          <cell r="C500">
            <v>10287549.32</v>
          </cell>
          <cell r="D500">
            <v>10296003.57</v>
          </cell>
          <cell r="E500">
            <v>9846806.0099999998</v>
          </cell>
          <cell r="F500">
            <v>10563472.140000001</v>
          </cell>
          <cell r="G500">
            <v>11359830.220000001</v>
          </cell>
          <cell r="H500">
            <v>15122207.140000002</v>
          </cell>
          <cell r="I500">
            <v>10572832.84</v>
          </cell>
          <cell r="J500">
            <v>10942567.26</v>
          </cell>
          <cell r="K500">
            <v>11545911.880000001</v>
          </cell>
          <cell r="L500">
            <v>11831515.690000001</v>
          </cell>
          <cell r="M500">
            <v>14595531.700000001</v>
          </cell>
          <cell r="N500">
            <v>11503243.729999999</v>
          </cell>
          <cell r="O500">
            <v>11608581.250000002</v>
          </cell>
          <cell r="P500">
            <v>11174440.140000001</v>
          </cell>
          <cell r="Q500">
            <v>11465202.65</v>
          </cell>
          <cell r="R500">
            <v>12643238.65</v>
          </cell>
          <cell r="S500">
            <v>12639158.059999999</v>
          </cell>
          <cell r="T500">
            <v>19085033.799999997</v>
          </cell>
          <cell r="U500">
            <v>15672208.760000002</v>
          </cell>
          <cell r="V500">
            <v>14393299.970000001</v>
          </cell>
          <cell r="W500">
            <v>14838196.460000001</v>
          </cell>
          <cell r="X500">
            <v>17646988.390000001</v>
          </cell>
          <cell r="Y500">
            <v>23465303.800000001</v>
          </cell>
          <cell r="Z500">
            <v>17164071.25</v>
          </cell>
          <cell r="AA500">
            <v>13242733.460000001</v>
          </cell>
          <cell r="AB500">
            <v>12364172.640000001</v>
          </cell>
          <cell r="AC500">
            <v>12208476.16</v>
          </cell>
          <cell r="AD500">
            <v>12854076.830000002</v>
          </cell>
          <cell r="AE500">
            <v>12556131.300000001</v>
          </cell>
          <cell r="AF500">
            <v>12910568.109999999</v>
          </cell>
          <cell r="AG500">
            <v>12828338.549999999</v>
          </cell>
          <cell r="AH500">
            <v>12893314.680000002</v>
          </cell>
          <cell r="AI500">
            <v>13588179.430000002</v>
          </cell>
          <cell r="AJ500">
            <v>12664423.130000001</v>
          </cell>
          <cell r="AK500">
            <v>11993189.810000001</v>
          </cell>
          <cell r="AL500">
            <v>11853907.91</v>
          </cell>
          <cell r="AM500">
            <v>12052980.390000001</v>
          </cell>
          <cell r="AN500">
            <v>11502995.870000001</v>
          </cell>
          <cell r="AO500">
            <v>12356204.030000001</v>
          </cell>
          <cell r="AP500">
            <v>11641462.439999999</v>
          </cell>
          <cell r="AQ500">
            <v>11825174.709999999</v>
          </cell>
          <cell r="AR500">
            <v>11587832.57</v>
          </cell>
          <cell r="AS500">
            <v>11736454.490000002</v>
          </cell>
          <cell r="AT500">
            <v>12952664.639999999</v>
          </cell>
          <cell r="AU500">
            <v>13189859.1</v>
          </cell>
          <cell r="AV500">
            <v>14693784.09</v>
          </cell>
          <cell r="AW500">
            <v>16232412.83</v>
          </cell>
          <cell r="AX500">
            <v>24646613.219999999</v>
          </cell>
          <cell r="AY500">
            <v>43133204.399999999</v>
          </cell>
          <cell r="AZ500">
            <v>93278079.329999983</v>
          </cell>
          <cell r="BA500">
            <v>109007861.77999999</v>
          </cell>
          <cell r="BB500">
            <v>14248512</v>
          </cell>
        </row>
        <row r="501">
          <cell r="A501" t="str">
            <v>DIST</v>
          </cell>
          <cell r="B501">
            <v>27755412.789999999</v>
          </cell>
          <cell r="C501">
            <v>24234726.260000002</v>
          </cell>
          <cell r="D501">
            <v>24303389.75</v>
          </cell>
          <cell r="E501">
            <v>24003606.189999998</v>
          </cell>
          <cell r="F501">
            <v>25162952.829999998</v>
          </cell>
          <cell r="G501">
            <v>26797008.780000001</v>
          </cell>
          <cell r="H501">
            <v>34784498.359999999</v>
          </cell>
          <cell r="I501">
            <v>24434968.490000002</v>
          </cell>
          <cell r="J501">
            <v>25143557.169999998</v>
          </cell>
          <cell r="K501">
            <v>25598168.200000003</v>
          </cell>
          <cell r="L501">
            <v>28217072.18</v>
          </cell>
          <cell r="M501">
            <v>37826383.509999998</v>
          </cell>
          <cell r="N501">
            <v>26062148.079999998</v>
          </cell>
          <cell r="O501">
            <v>28199702.539999999</v>
          </cell>
          <cell r="P501">
            <v>28090217.460000001</v>
          </cell>
          <cell r="Q501">
            <v>29676814.080000002</v>
          </cell>
          <cell r="R501">
            <v>33963765.740000002</v>
          </cell>
          <cell r="S501">
            <v>34454758.340000004</v>
          </cell>
          <cell r="T501">
            <v>53012320.75</v>
          </cell>
          <cell r="U501">
            <v>42650357.510000005</v>
          </cell>
          <cell r="V501">
            <v>40054895.760000005</v>
          </cell>
          <cell r="W501">
            <v>40464586.150000006</v>
          </cell>
          <cell r="X501">
            <v>46101535.299999997</v>
          </cell>
          <cell r="Y501">
            <v>64790783.770000003</v>
          </cell>
          <cell r="Z501">
            <v>50719421.060000002</v>
          </cell>
          <cell r="AA501">
            <v>40329571.119999997</v>
          </cell>
          <cell r="AB501">
            <v>36940578.780000001</v>
          </cell>
          <cell r="AC501">
            <v>35711337.939999998</v>
          </cell>
          <cell r="AD501">
            <v>36753891.18</v>
          </cell>
          <cell r="AE501">
            <v>35866957.400000006</v>
          </cell>
          <cell r="AF501">
            <v>36734808.269999996</v>
          </cell>
          <cell r="AG501">
            <v>38470267.560000002</v>
          </cell>
          <cell r="AH501">
            <v>39580663.329999998</v>
          </cell>
          <cell r="AI501">
            <v>40313854.510000005</v>
          </cell>
          <cell r="AJ501">
            <v>40113925.109999999</v>
          </cell>
          <cell r="AK501">
            <v>32355107.909999996</v>
          </cell>
          <cell r="AL501">
            <v>31824052.170000002</v>
          </cell>
          <cell r="AM501">
            <v>32039312.649999999</v>
          </cell>
          <cell r="AN501">
            <v>32083856.039999999</v>
          </cell>
          <cell r="AO501">
            <v>33494307.299999997</v>
          </cell>
          <cell r="AP501">
            <v>33470348.199999996</v>
          </cell>
          <cell r="AQ501">
            <v>37363290.039999999</v>
          </cell>
          <cell r="AR501">
            <v>36960285.460000001</v>
          </cell>
          <cell r="AS501">
            <v>39808071.060000002</v>
          </cell>
          <cell r="AT501">
            <v>37923048.070000008</v>
          </cell>
          <cell r="AU501">
            <v>42293315.719999999</v>
          </cell>
          <cell r="AV501">
            <v>48117109.280000001</v>
          </cell>
          <cell r="AW501">
            <v>59342039.919999994</v>
          </cell>
          <cell r="AX501">
            <v>79652650.179999992</v>
          </cell>
          <cell r="AY501">
            <v>137042956.38999999</v>
          </cell>
          <cell r="AZ501">
            <v>264296013.41</v>
          </cell>
          <cell r="BA501">
            <v>332471143.70999998</v>
          </cell>
          <cell r="BB501">
            <v>46667770.430000007</v>
          </cell>
        </row>
        <row r="502">
          <cell r="A502" t="str">
            <v>INTL</v>
          </cell>
          <cell r="B502">
            <v>268579.33</v>
          </cell>
          <cell r="C502">
            <v>323628.90000000002</v>
          </cell>
          <cell r="D502">
            <v>303346.61</v>
          </cell>
          <cell r="E502">
            <v>296330.76999999996</v>
          </cell>
          <cell r="F502">
            <v>306555.99</v>
          </cell>
          <cell r="G502">
            <v>363487.82</v>
          </cell>
          <cell r="H502">
            <v>438601.78</v>
          </cell>
          <cell r="I502">
            <v>395952.60000000003</v>
          </cell>
          <cell r="J502">
            <v>505526.15</v>
          </cell>
          <cell r="K502">
            <v>427699.43</v>
          </cell>
          <cell r="L502">
            <v>443570.5</v>
          </cell>
          <cell r="M502">
            <v>456067.07</v>
          </cell>
          <cell r="N502">
            <v>387313.56000000006</v>
          </cell>
          <cell r="O502">
            <v>455787.19</v>
          </cell>
          <cell r="P502">
            <v>463662.8</v>
          </cell>
          <cell r="Q502">
            <v>456624.65999999992</v>
          </cell>
          <cell r="R502">
            <v>457051.91000000003</v>
          </cell>
          <cell r="S502">
            <v>573453.99</v>
          </cell>
          <cell r="T502">
            <v>800739.7300000001</v>
          </cell>
          <cell r="U502">
            <v>554298.91999999993</v>
          </cell>
          <cell r="V502">
            <v>536062.37</v>
          </cell>
          <cell r="W502">
            <v>517889.63</v>
          </cell>
          <cell r="X502">
            <v>537763.97</v>
          </cell>
          <cell r="Y502">
            <v>519131.64</v>
          </cell>
          <cell r="Z502">
            <v>539370</v>
          </cell>
          <cell r="AA502">
            <v>582177.14000000013</v>
          </cell>
          <cell r="AB502">
            <v>547726</v>
          </cell>
          <cell r="AC502">
            <v>504271.06</v>
          </cell>
          <cell r="AD502">
            <v>540746.96999999986</v>
          </cell>
          <cell r="AE502">
            <v>531024.92000000004</v>
          </cell>
          <cell r="AF502">
            <v>546237.67000000004</v>
          </cell>
          <cell r="AG502">
            <v>550018.66999999993</v>
          </cell>
          <cell r="AH502">
            <v>540616.05000000005</v>
          </cell>
          <cell r="AI502">
            <v>543288.16</v>
          </cell>
          <cell r="AJ502">
            <v>596114.41</v>
          </cell>
          <cell r="AK502">
            <v>872422.14999999991</v>
          </cell>
          <cell r="AL502">
            <v>580019.96000000008</v>
          </cell>
          <cell r="AM502">
            <v>573292.17000000004</v>
          </cell>
          <cell r="AN502">
            <v>596574.78999999992</v>
          </cell>
          <cell r="AO502">
            <v>560679.03999999992</v>
          </cell>
          <cell r="AP502">
            <v>469541.57</v>
          </cell>
          <cell r="AQ502">
            <v>493958.76</v>
          </cell>
          <cell r="AR502">
            <v>475407.93</v>
          </cell>
          <cell r="AS502">
            <v>482999.42000000004</v>
          </cell>
          <cell r="AT502">
            <v>594330.32999999996</v>
          </cell>
          <cell r="AU502">
            <v>776654.24000000011</v>
          </cell>
          <cell r="AV502">
            <v>834590.32000000007</v>
          </cell>
          <cell r="AW502">
            <v>1032491.8099999999</v>
          </cell>
          <cell r="AX502">
            <v>1721650.16</v>
          </cell>
          <cell r="AY502">
            <v>3081171.42</v>
          </cell>
          <cell r="AZ502">
            <v>6439248.3300000001</v>
          </cell>
          <cell r="BA502">
            <v>5835297.71</v>
          </cell>
          <cell r="BB502">
            <v>722605.55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5">
          <cell r="B5">
            <v>12</v>
          </cell>
        </row>
      </sheetData>
      <sheetData sheetId="21" refreshError="1"/>
      <sheetData sheetId="2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ial Balance"/>
    </sheetNames>
    <sheetDataSet>
      <sheetData sheetId="0" refreshError="1">
        <row r="46">
          <cell r="I46">
            <v>110010.84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COST CENTER LISTING"/>
      <sheetName val="Active GL Accts"/>
      <sheetName val="Detail GL Accts w.Acct Unit"/>
      <sheetName val="FV by Product Detail $"/>
      <sheetName val="2008 Actual"/>
      <sheetName val="data"/>
    </sheetNames>
    <sheetDataSet>
      <sheetData sheetId="0">
        <row r="3">
          <cell r="A3" t="str">
            <v>ACCT-UNIT</v>
          </cell>
        </row>
      </sheetData>
      <sheetData sheetId="1">
        <row r="3">
          <cell r="A3" t="str">
            <v>ACCT-UNIT</v>
          </cell>
        </row>
      </sheetData>
      <sheetData sheetId="2">
        <row r="3">
          <cell r="A3" t="str">
            <v>ACCT-UNIT</v>
          </cell>
        </row>
      </sheetData>
      <sheetData sheetId="3">
        <row r="3">
          <cell r="A3" t="str">
            <v>ACCT-UNIT</v>
          </cell>
          <cell r="B3" t="str">
            <v>ACCOUNT</v>
          </cell>
          <cell r="C3" t="str">
            <v>ACCT-DESC</v>
          </cell>
        </row>
        <row r="4">
          <cell r="A4">
            <v>8001054179</v>
          </cell>
          <cell r="B4">
            <v>110002</v>
          </cell>
          <cell r="C4" t="str">
            <v>EXTRA CHANGE (FLOATING) FUNDS</v>
          </cell>
        </row>
        <row r="5">
          <cell r="A5">
            <v>8001059542</v>
          </cell>
          <cell r="B5">
            <v>110002</v>
          </cell>
          <cell r="C5" t="str">
            <v>EXTRA CHANGE (FLOATING) FUNDS</v>
          </cell>
        </row>
        <row r="6">
          <cell r="A6">
            <v>8010512510</v>
          </cell>
          <cell r="B6">
            <v>110002</v>
          </cell>
          <cell r="C6" t="str">
            <v>EXTRA CHANGE (FLOATING) FUNDS</v>
          </cell>
        </row>
        <row r="7">
          <cell r="A7">
            <v>9969681</v>
          </cell>
          <cell r="B7">
            <v>110002</v>
          </cell>
          <cell r="C7" t="str">
            <v>EXTRA CHANGE (FLOATING) FUNDS</v>
          </cell>
        </row>
        <row r="8">
          <cell r="A8">
            <v>9969901</v>
          </cell>
          <cell r="B8">
            <v>110002</v>
          </cell>
          <cell r="C8" t="str">
            <v>EXTRA CHANGE (FLOATING) FUNDS</v>
          </cell>
        </row>
        <row r="9">
          <cell r="A9" t="str">
            <v>ZONE-0105-POST</v>
          </cell>
          <cell r="B9">
            <v>110002</v>
          </cell>
          <cell r="C9" t="str">
            <v>EXTRA CHANGE (FLOATING) FUNDS</v>
          </cell>
        </row>
        <row r="10">
          <cell r="A10" t="str">
            <v>ZONE-0112-POST</v>
          </cell>
          <cell r="B10">
            <v>110002</v>
          </cell>
          <cell r="C10" t="str">
            <v>EXTRA CHANGE (FLOATING) FUNDS</v>
          </cell>
        </row>
        <row r="11">
          <cell r="A11">
            <v>8001054179</v>
          </cell>
          <cell r="B11">
            <v>110100</v>
          </cell>
          <cell r="C11" t="str">
            <v>PETTY CASH</v>
          </cell>
        </row>
        <row r="12">
          <cell r="A12">
            <v>8001059542</v>
          </cell>
          <cell r="B12">
            <v>110100</v>
          </cell>
          <cell r="C12" t="str">
            <v>PETTY CASH</v>
          </cell>
        </row>
        <row r="13">
          <cell r="A13">
            <v>8010512510</v>
          </cell>
          <cell r="B13">
            <v>110100</v>
          </cell>
          <cell r="C13" t="str">
            <v>PETTY CASH</v>
          </cell>
        </row>
        <row r="14">
          <cell r="A14">
            <v>9090999</v>
          </cell>
          <cell r="B14">
            <v>110100</v>
          </cell>
          <cell r="C14" t="str">
            <v>PETTY CASH</v>
          </cell>
        </row>
        <row r="15">
          <cell r="A15">
            <v>9100999</v>
          </cell>
          <cell r="B15">
            <v>110100</v>
          </cell>
          <cell r="C15" t="str">
            <v>PETTY CASH</v>
          </cell>
        </row>
        <row r="16">
          <cell r="A16">
            <v>9969681</v>
          </cell>
          <cell r="B16">
            <v>110100</v>
          </cell>
          <cell r="C16" t="str">
            <v>PETTY CASH</v>
          </cell>
        </row>
        <row r="17">
          <cell r="A17">
            <v>9969901</v>
          </cell>
          <cell r="B17">
            <v>110100</v>
          </cell>
          <cell r="C17" t="str">
            <v>PETTY CASH</v>
          </cell>
        </row>
        <row r="18">
          <cell r="A18" t="str">
            <v>ZONE-0105-POST</v>
          </cell>
          <cell r="B18">
            <v>110100</v>
          </cell>
          <cell r="C18" t="str">
            <v>PETTY CASH</v>
          </cell>
        </row>
        <row r="19">
          <cell r="A19" t="str">
            <v>ZONE-0112-POST</v>
          </cell>
          <cell r="B19">
            <v>110100</v>
          </cell>
          <cell r="C19" t="str">
            <v>PETTY CASH</v>
          </cell>
        </row>
        <row r="20">
          <cell r="A20">
            <v>9722709</v>
          </cell>
          <cell r="B20">
            <v>110300</v>
          </cell>
          <cell r="C20" t="str">
            <v>CASH IN BANK(S)</v>
          </cell>
        </row>
        <row r="21">
          <cell r="A21">
            <v>9722713</v>
          </cell>
          <cell r="B21">
            <v>110300</v>
          </cell>
          <cell r="C21" t="str">
            <v>CASH IN BANK(S)</v>
          </cell>
        </row>
        <row r="22">
          <cell r="A22">
            <v>9966681</v>
          </cell>
          <cell r="B22">
            <v>110300</v>
          </cell>
          <cell r="C22" t="str">
            <v>CASH IN BANK(S)</v>
          </cell>
        </row>
        <row r="23">
          <cell r="A23">
            <v>9967681</v>
          </cell>
          <cell r="B23">
            <v>110300</v>
          </cell>
          <cell r="C23" t="str">
            <v>CASH IN BANK(S)</v>
          </cell>
        </row>
        <row r="24">
          <cell r="A24">
            <v>8001054179</v>
          </cell>
          <cell r="B24">
            <v>110301</v>
          </cell>
          <cell r="C24" t="str">
            <v>CASH IN BANK (U.S. FUNDS)</v>
          </cell>
        </row>
        <row r="25">
          <cell r="A25">
            <v>8001059542</v>
          </cell>
          <cell r="B25">
            <v>110301</v>
          </cell>
          <cell r="C25" t="str">
            <v>CASH IN BANK (U.S. FUNDS)</v>
          </cell>
        </row>
        <row r="26">
          <cell r="A26">
            <v>8010512510</v>
          </cell>
          <cell r="B26">
            <v>110301</v>
          </cell>
          <cell r="C26" t="str">
            <v>CASH IN BANK (U.S. FUNDS)</v>
          </cell>
        </row>
        <row r="27">
          <cell r="A27">
            <v>9969681</v>
          </cell>
          <cell r="B27">
            <v>110301</v>
          </cell>
          <cell r="C27" t="str">
            <v>CASH IN BANK (U.S. FUNDS)</v>
          </cell>
        </row>
        <row r="28">
          <cell r="A28">
            <v>9969901</v>
          </cell>
          <cell r="B28">
            <v>110301</v>
          </cell>
          <cell r="C28" t="str">
            <v>CASH IN BANK (U.S. FUNDS)</v>
          </cell>
        </row>
        <row r="29">
          <cell r="A29" t="str">
            <v>ZONE-0105-POST</v>
          </cell>
          <cell r="B29">
            <v>110301</v>
          </cell>
          <cell r="C29" t="str">
            <v>CASH IN BANK (U.S. FUNDS)</v>
          </cell>
        </row>
        <row r="30">
          <cell r="A30" t="str">
            <v>ZONE-0112-POST</v>
          </cell>
          <cell r="B30">
            <v>110301</v>
          </cell>
          <cell r="C30" t="str">
            <v>CASH IN BANK (U.S. FUNDS)</v>
          </cell>
        </row>
        <row r="31">
          <cell r="A31">
            <v>8001054179</v>
          </cell>
          <cell r="B31">
            <v>110302</v>
          </cell>
          <cell r="C31" t="str">
            <v>CASH IN BANK - OTHER</v>
          </cell>
        </row>
        <row r="32">
          <cell r="A32">
            <v>8001059542</v>
          </cell>
          <cell r="B32">
            <v>110302</v>
          </cell>
          <cell r="C32" t="str">
            <v>CASH IN BANK - OTHER</v>
          </cell>
        </row>
        <row r="33">
          <cell r="A33">
            <v>8010512510</v>
          </cell>
          <cell r="B33">
            <v>110302</v>
          </cell>
          <cell r="C33" t="str">
            <v>CASH IN BANK - OTHER</v>
          </cell>
        </row>
        <row r="34">
          <cell r="A34">
            <v>9080999</v>
          </cell>
          <cell r="B34">
            <v>110302</v>
          </cell>
          <cell r="C34" t="str">
            <v>CASH IN BANK - OTHER</v>
          </cell>
        </row>
        <row r="35">
          <cell r="A35">
            <v>9110999</v>
          </cell>
          <cell r="B35">
            <v>110302</v>
          </cell>
          <cell r="C35" t="str">
            <v>CASH IN BANK - OTHER</v>
          </cell>
        </row>
        <row r="36">
          <cell r="A36">
            <v>9722709</v>
          </cell>
          <cell r="B36">
            <v>110302</v>
          </cell>
          <cell r="C36" t="str">
            <v>CASH IN BANK - OTHER</v>
          </cell>
        </row>
        <row r="37">
          <cell r="A37">
            <v>9722713</v>
          </cell>
          <cell r="B37">
            <v>110302</v>
          </cell>
          <cell r="C37" t="str">
            <v>CASH IN BANK - OTHER</v>
          </cell>
        </row>
        <row r="38">
          <cell r="A38">
            <v>9966681</v>
          </cell>
          <cell r="B38">
            <v>110302</v>
          </cell>
          <cell r="C38" t="str">
            <v>CASH IN BANK - OTHER</v>
          </cell>
        </row>
        <row r="39">
          <cell r="A39">
            <v>9967681</v>
          </cell>
          <cell r="B39">
            <v>110302</v>
          </cell>
          <cell r="C39" t="str">
            <v>CASH IN BANK - OTHER</v>
          </cell>
        </row>
        <row r="40">
          <cell r="A40">
            <v>9968681</v>
          </cell>
          <cell r="B40">
            <v>110302</v>
          </cell>
          <cell r="C40" t="str">
            <v>CASH IN BANK - OTHER</v>
          </cell>
        </row>
        <row r="41">
          <cell r="A41">
            <v>9969681</v>
          </cell>
          <cell r="B41">
            <v>110302</v>
          </cell>
          <cell r="C41" t="str">
            <v>CASH IN BANK - OTHER</v>
          </cell>
        </row>
        <row r="42">
          <cell r="A42">
            <v>9969901</v>
          </cell>
          <cell r="B42">
            <v>110302</v>
          </cell>
          <cell r="C42" t="str">
            <v>CASH IN BANK - OTHER</v>
          </cell>
        </row>
        <row r="43">
          <cell r="A43" t="str">
            <v>ZONE-0105-POST</v>
          </cell>
          <cell r="B43">
            <v>110302</v>
          </cell>
          <cell r="C43" t="str">
            <v>CASH IN BANK - OTHER</v>
          </cell>
        </row>
        <row r="44">
          <cell r="A44" t="str">
            <v>ZONE-0112-POST</v>
          </cell>
          <cell r="B44">
            <v>110302</v>
          </cell>
          <cell r="C44" t="str">
            <v>CASH IN BANK - OTHER</v>
          </cell>
        </row>
        <row r="45">
          <cell r="A45">
            <v>8001093644</v>
          </cell>
          <cell r="B45">
            <v>110310</v>
          </cell>
          <cell r="C45" t="str">
            <v>CASH IN BANKS</v>
          </cell>
        </row>
        <row r="46">
          <cell r="A46">
            <v>8001096244</v>
          </cell>
          <cell r="B46">
            <v>110310</v>
          </cell>
          <cell r="C46" t="str">
            <v>CASH IN BANKS</v>
          </cell>
        </row>
        <row r="47">
          <cell r="A47">
            <v>8001097026</v>
          </cell>
          <cell r="B47">
            <v>110310</v>
          </cell>
          <cell r="C47" t="str">
            <v>CASH IN BANKS</v>
          </cell>
        </row>
        <row r="48">
          <cell r="A48">
            <v>8001097097</v>
          </cell>
          <cell r="B48">
            <v>110310</v>
          </cell>
          <cell r="C48" t="str">
            <v>CASH IN BANKS</v>
          </cell>
        </row>
        <row r="49">
          <cell r="A49">
            <v>8001097513</v>
          </cell>
          <cell r="B49">
            <v>110310</v>
          </cell>
          <cell r="C49" t="str">
            <v>CASH IN BANKS</v>
          </cell>
        </row>
        <row r="50">
          <cell r="A50">
            <v>8001097629</v>
          </cell>
          <cell r="B50">
            <v>110310</v>
          </cell>
          <cell r="C50" t="str">
            <v>CASH IN BANKS</v>
          </cell>
        </row>
        <row r="51">
          <cell r="A51">
            <v>8001097645</v>
          </cell>
          <cell r="B51">
            <v>110310</v>
          </cell>
          <cell r="C51" t="str">
            <v>CASH IN BANKS</v>
          </cell>
        </row>
        <row r="52">
          <cell r="A52">
            <v>8001102535</v>
          </cell>
          <cell r="B52">
            <v>110310</v>
          </cell>
          <cell r="C52" t="str">
            <v>CASH IN BANKS</v>
          </cell>
        </row>
        <row r="53">
          <cell r="A53">
            <v>8001103131</v>
          </cell>
          <cell r="B53">
            <v>110310</v>
          </cell>
          <cell r="C53" t="str">
            <v>CASH IN BANKS</v>
          </cell>
        </row>
        <row r="54">
          <cell r="A54">
            <v>8001104714</v>
          </cell>
          <cell r="B54">
            <v>110310</v>
          </cell>
          <cell r="C54" t="str">
            <v>CASH IN BANKS</v>
          </cell>
        </row>
        <row r="55">
          <cell r="A55">
            <v>8006812246</v>
          </cell>
          <cell r="B55">
            <v>110310</v>
          </cell>
          <cell r="C55" t="str">
            <v>CASH IN BANKS</v>
          </cell>
        </row>
        <row r="56">
          <cell r="A56">
            <v>8006818659</v>
          </cell>
          <cell r="B56">
            <v>110310</v>
          </cell>
          <cell r="C56" t="str">
            <v>CASH IN BANKS</v>
          </cell>
        </row>
        <row r="57">
          <cell r="A57">
            <v>8006819586</v>
          </cell>
          <cell r="B57">
            <v>110310</v>
          </cell>
          <cell r="C57" t="str">
            <v>CASH IN BANKS</v>
          </cell>
        </row>
        <row r="58">
          <cell r="A58">
            <v>8006819599</v>
          </cell>
          <cell r="B58">
            <v>110310</v>
          </cell>
          <cell r="C58" t="str">
            <v>CASH IN BANKS</v>
          </cell>
        </row>
        <row r="59">
          <cell r="A59">
            <v>8007212178</v>
          </cell>
          <cell r="B59">
            <v>110310</v>
          </cell>
          <cell r="C59" t="str">
            <v>CASH IN BANKS</v>
          </cell>
        </row>
        <row r="60">
          <cell r="A60">
            <v>8007215777</v>
          </cell>
          <cell r="B60">
            <v>110310</v>
          </cell>
          <cell r="C60" t="str">
            <v>CASH IN BANKS</v>
          </cell>
        </row>
        <row r="61">
          <cell r="A61">
            <v>8007218662</v>
          </cell>
          <cell r="B61">
            <v>110310</v>
          </cell>
          <cell r="C61" t="str">
            <v>CASH IN BANKS</v>
          </cell>
        </row>
        <row r="62">
          <cell r="A62">
            <v>8007219609</v>
          </cell>
          <cell r="B62">
            <v>110310</v>
          </cell>
          <cell r="C62" t="str">
            <v>CASH IN BANKS</v>
          </cell>
        </row>
        <row r="63">
          <cell r="A63">
            <v>9090999</v>
          </cell>
          <cell r="B63">
            <v>110310</v>
          </cell>
          <cell r="C63" t="str">
            <v>CASH IN BANKS</v>
          </cell>
        </row>
        <row r="64">
          <cell r="A64">
            <v>9100999</v>
          </cell>
          <cell r="B64">
            <v>110310</v>
          </cell>
          <cell r="C64" t="str">
            <v>CASH IN BANKS</v>
          </cell>
        </row>
        <row r="65">
          <cell r="A65">
            <v>9080999</v>
          </cell>
          <cell r="B65">
            <v>110315</v>
          </cell>
          <cell r="C65" t="str">
            <v>BANK CLEARING - DEPOSITORIES</v>
          </cell>
        </row>
        <row r="66">
          <cell r="A66">
            <v>9090999</v>
          </cell>
          <cell r="B66">
            <v>110315</v>
          </cell>
          <cell r="C66" t="str">
            <v>BANK CLEARING - DEPOSITORIES</v>
          </cell>
        </row>
        <row r="67">
          <cell r="A67">
            <v>9100999</v>
          </cell>
          <cell r="B67">
            <v>110315</v>
          </cell>
          <cell r="C67" t="str">
            <v>BANK CLEARING - DEPOSITORIES</v>
          </cell>
        </row>
        <row r="68">
          <cell r="A68">
            <v>9110999</v>
          </cell>
          <cell r="B68">
            <v>110315</v>
          </cell>
          <cell r="C68" t="str">
            <v>BANK CLEARING - DEPOSITORIES</v>
          </cell>
        </row>
        <row r="69">
          <cell r="A69">
            <v>9689999</v>
          </cell>
          <cell r="B69">
            <v>110315</v>
          </cell>
          <cell r="C69" t="str">
            <v>BANK CLEARING - DEPOSITORIES</v>
          </cell>
        </row>
        <row r="70">
          <cell r="A70">
            <v>9090999</v>
          </cell>
          <cell r="B70">
            <v>110400</v>
          </cell>
          <cell r="C70" t="str">
            <v>BANK CREDIT PLAN - VISA</v>
          </cell>
        </row>
        <row r="71">
          <cell r="A71">
            <v>9100999</v>
          </cell>
          <cell r="B71">
            <v>110400</v>
          </cell>
          <cell r="C71" t="str">
            <v>BANK CREDIT PLAN - VISA</v>
          </cell>
        </row>
        <row r="72">
          <cell r="A72">
            <v>8001093644</v>
          </cell>
          <cell r="B72">
            <v>110900</v>
          </cell>
          <cell r="C72" t="str">
            <v>CASH IN BANK CLEARING DEPOSIT</v>
          </cell>
        </row>
        <row r="73">
          <cell r="A73">
            <v>9080999</v>
          </cell>
          <cell r="B73">
            <v>110900</v>
          </cell>
          <cell r="C73" t="str">
            <v>CASH IN BANK CLEARING DEPOSIT</v>
          </cell>
        </row>
        <row r="74">
          <cell r="A74">
            <v>9090999</v>
          </cell>
          <cell r="B74">
            <v>110900</v>
          </cell>
          <cell r="C74" t="str">
            <v>CASH IN BANK CLEARING DEPOSIT</v>
          </cell>
        </row>
        <row r="75">
          <cell r="A75">
            <v>9110999</v>
          </cell>
          <cell r="B75">
            <v>110900</v>
          </cell>
          <cell r="C75" t="str">
            <v>CASH IN BANK CLEARING DEPOSIT</v>
          </cell>
        </row>
        <row r="76">
          <cell r="A76">
            <v>9689999</v>
          </cell>
          <cell r="B76">
            <v>110900</v>
          </cell>
          <cell r="C76" t="str">
            <v>CASH IN BANK CLEARING DEPOSIT</v>
          </cell>
        </row>
        <row r="77">
          <cell r="A77">
            <v>9722709</v>
          </cell>
          <cell r="B77">
            <v>110900</v>
          </cell>
          <cell r="C77" t="str">
            <v>CASH IN BANK CLEARING DEPOSIT</v>
          </cell>
        </row>
        <row r="78">
          <cell r="A78">
            <v>9722713</v>
          </cell>
          <cell r="B78">
            <v>110900</v>
          </cell>
          <cell r="C78" t="str">
            <v>CASH IN BANK CLEARING DEPOSIT</v>
          </cell>
        </row>
        <row r="79">
          <cell r="A79">
            <v>9729999</v>
          </cell>
          <cell r="B79">
            <v>110900</v>
          </cell>
          <cell r="C79" t="str">
            <v>CASH IN BANK CLEARING DEPOSIT</v>
          </cell>
        </row>
        <row r="80">
          <cell r="A80">
            <v>9969681</v>
          </cell>
          <cell r="B80">
            <v>110900</v>
          </cell>
          <cell r="C80" t="str">
            <v>CASH IN BANK CLEARING DEPOSIT</v>
          </cell>
        </row>
        <row r="81">
          <cell r="A81">
            <v>9689999</v>
          </cell>
          <cell r="B81">
            <v>110991</v>
          </cell>
          <cell r="C81" t="str">
            <v>CASH - CLEARING</v>
          </cell>
        </row>
        <row r="82">
          <cell r="A82">
            <v>9080999</v>
          </cell>
          <cell r="B82">
            <v>115001</v>
          </cell>
          <cell r="C82" t="str">
            <v>INVESTMENT - SHORT TERM - CASH</v>
          </cell>
        </row>
        <row r="83">
          <cell r="A83">
            <v>9110999</v>
          </cell>
          <cell r="B83">
            <v>115001</v>
          </cell>
          <cell r="C83" t="str">
            <v>INVESTMENT - SHORT TERM - CASH</v>
          </cell>
        </row>
        <row r="84">
          <cell r="A84">
            <v>9689999</v>
          </cell>
          <cell r="B84">
            <v>115001</v>
          </cell>
          <cell r="C84" t="str">
            <v>INVESTMENT - SHORT TERM - CASH</v>
          </cell>
        </row>
        <row r="85">
          <cell r="A85">
            <v>9723723</v>
          </cell>
          <cell r="B85">
            <v>125101</v>
          </cell>
          <cell r="C85" t="str">
            <v>M.I.T. - OUTSIDE VENDORS GROC</v>
          </cell>
        </row>
        <row r="86">
          <cell r="A86">
            <v>9723729</v>
          </cell>
          <cell r="B86">
            <v>125101</v>
          </cell>
          <cell r="C86" t="str">
            <v>M.I.T. - OUTSIDE VENDORS GROC</v>
          </cell>
        </row>
        <row r="87">
          <cell r="A87">
            <v>9090999</v>
          </cell>
          <cell r="B87">
            <v>130001</v>
          </cell>
          <cell r="C87" t="str">
            <v>A/R - INTER-INTRA COMPANY</v>
          </cell>
        </row>
        <row r="88">
          <cell r="A88">
            <v>9100999</v>
          </cell>
          <cell r="B88">
            <v>130001</v>
          </cell>
          <cell r="C88" t="str">
            <v>A/R - INTER-INTRA COMPANY</v>
          </cell>
        </row>
        <row r="89">
          <cell r="A89">
            <v>8001054179</v>
          </cell>
          <cell r="B89">
            <v>130051</v>
          </cell>
          <cell r="C89" t="str">
            <v>A/R - RETAIL - CSL</v>
          </cell>
        </row>
        <row r="90">
          <cell r="A90">
            <v>8001059542</v>
          </cell>
          <cell r="B90">
            <v>130051</v>
          </cell>
          <cell r="C90" t="str">
            <v>A/R - RETAIL - CSL</v>
          </cell>
        </row>
        <row r="91">
          <cell r="A91">
            <v>8010512510</v>
          </cell>
          <cell r="B91">
            <v>130051</v>
          </cell>
          <cell r="C91" t="str">
            <v>A/R - RETAIL - CSL</v>
          </cell>
        </row>
        <row r="92">
          <cell r="A92">
            <v>9969681</v>
          </cell>
          <cell r="B92">
            <v>130051</v>
          </cell>
          <cell r="C92" t="str">
            <v>A/R - RETAIL - CSL</v>
          </cell>
        </row>
        <row r="93">
          <cell r="A93">
            <v>9969901</v>
          </cell>
          <cell r="B93">
            <v>130051</v>
          </cell>
          <cell r="C93" t="str">
            <v>A/R - RETAIL - CSL</v>
          </cell>
        </row>
        <row r="94">
          <cell r="A94" t="str">
            <v>ZONE-0105-POST</v>
          </cell>
          <cell r="B94">
            <v>130051</v>
          </cell>
          <cell r="C94" t="str">
            <v>A/R - RETAIL - CSL</v>
          </cell>
        </row>
        <row r="95">
          <cell r="A95" t="str">
            <v>ZONE-0112-POST</v>
          </cell>
          <cell r="B95">
            <v>130051</v>
          </cell>
          <cell r="C95" t="str">
            <v>A/R - RETAIL - CSL</v>
          </cell>
        </row>
        <row r="96">
          <cell r="A96">
            <v>9080999</v>
          </cell>
          <cell r="B96">
            <v>130068</v>
          </cell>
          <cell r="C96" t="str">
            <v>I/C GIFT CARD RECEIVABLE - BHN</v>
          </cell>
        </row>
        <row r="97">
          <cell r="A97">
            <v>9110999</v>
          </cell>
          <cell r="B97">
            <v>130068</v>
          </cell>
          <cell r="C97" t="str">
            <v>I/C GIFT CARD RECEIVABLE - BHN</v>
          </cell>
        </row>
        <row r="98">
          <cell r="A98">
            <v>9689999</v>
          </cell>
          <cell r="B98">
            <v>130068</v>
          </cell>
          <cell r="C98" t="str">
            <v>I/C GIFT CARD RECEIVABLE - BHN</v>
          </cell>
        </row>
        <row r="99">
          <cell r="A99">
            <v>9969681</v>
          </cell>
          <cell r="B99">
            <v>130068</v>
          </cell>
          <cell r="C99" t="str">
            <v>I/C GIFT CARD RECEIVABLE - BHN</v>
          </cell>
        </row>
        <row r="100">
          <cell r="A100">
            <v>8001054179</v>
          </cell>
          <cell r="B100">
            <v>130097</v>
          </cell>
          <cell r="C100" t="str">
            <v>A/R - ADMIN LEDGER</v>
          </cell>
        </row>
        <row r="101">
          <cell r="A101">
            <v>8001059542</v>
          </cell>
          <cell r="B101">
            <v>130097</v>
          </cell>
          <cell r="C101" t="str">
            <v>A/R - ADMIN LEDGER</v>
          </cell>
        </row>
        <row r="102">
          <cell r="A102">
            <v>8010512510</v>
          </cell>
          <cell r="B102">
            <v>130097</v>
          </cell>
          <cell r="C102" t="str">
            <v>A/R - ADMIN LEDGER</v>
          </cell>
        </row>
        <row r="103">
          <cell r="A103">
            <v>9682715</v>
          </cell>
          <cell r="B103">
            <v>130097</v>
          </cell>
          <cell r="C103" t="str">
            <v>A/R - ADMIN LEDGER</v>
          </cell>
        </row>
        <row r="104">
          <cell r="A104">
            <v>9682722</v>
          </cell>
          <cell r="B104">
            <v>130097</v>
          </cell>
          <cell r="C104" t="str">
            <v>A/R - ADMIN LEDGER</v>
          </cell>
        </row>
        <row r="105">
          <cell r="A105">
            <v>9682999</v>
          </cell>
          <cell r="B105">
            <v>130097</v>
          </cell>
          <cell r="C105" t="str">
            <v>A/R - ADMIN LEDGER</v>
          </cell>
        </row>
        <row r="106">
          <cell r="A106">
            <v>9689999</v>
          </cell>
          <cell r="B106">
            <v>130097</v>
          </cell>
          <cell r="C106" t="str">
            <v>A/R - ADMIN LEDGER</v>
          </cell>
        </row>
        <row r="107">
          <cell r="A107">
            <v>9722709</v>
          </cell>
          <cell r="B107">
            <v>130097</v>
          </cell>
          <cell r="C107" t="str">
            <v>A/R - ADMIN LEDGER</v>
          </cell>
        </row>
        <row r="108">
          <cell r="A108">
            <v>9722713</v>
          </cell>
          <cell r="B108">
            <v>130097</v>
          </cell>
          <cell r="C108" t="str">
            <v>A/R - ADMIN LEDGER</v>
          </cell>
        </row>
        <row r="109">
          <cell r="A109">
            <v>9966681</v>
          </cell>
          <cell r="B109">
            <v>130097</v>
          </cell>
          <cell r="C109" t="str">
            <v>A/R - ADMIN LEDGER</v>
          </cell>
        </row>
        <row r="110">
          <cell r="A110">
            <v>9967681</v>
          </cell>
          <cell r="B110">
            <v>130097</v>
          </cell>
          <cell r="C110" t="str">
            <v>A/R - ADMIN LEDGER</v>
          </cell>
        </row>
        <row r="111">
          <cell r="A111">
            <v>9968681</v>
          </cell>
          <cell r="B111">
            <v>130097</v>
          </cell>
          <cell r="C111" t="str">
            <v>A/R - ADMIN LEDGER</v>
          </cell>
        </row>
        <row r="112">
          <cell r="A112">
            <v>9969681</v>
          </cell>
          <cell r="B112">
            <v>130097</v>
          </cell>
          <cell r="C112" t="str">
            <v>A/R - ADMIN LEDGER</v>
          </cell>
        </row>
        <row r="113">
          <cell r="A113">
            <v>9969901</v>
          </cell>
          <cell r="B113">
            <v>130097</v>
          </cell>
          <cell r="C113" t="str">
            <v>A/R - ADMIN LEDGER</v>
          </cell>
        </row>
        <row r="114">
          <cell r="A114" t="str">
            <v>ZONE-0105-POST</v>
          </cell>
          <cell r="B114">
            <v>130097</v>
          </cell>
          <cell r="C114" t="str">
            <v>A/R - ADMIN LEDGER</v>
          </cell>
        </row>
        <row r="115">
          <cell r="A115" t="str">
            <v>ZONE-0112-POST</v>
          </cell>
          <cell r="B115">
            <v>130097</v>
          </cell>
          <cell r="C115" t="str">
            <v>A/R - ADMIN LEDGER</v>
          </cell>
        </row>
        <row r="116">
          <cell r="A116">
            <v>8001054179</v>
          </cell>
          <cell r="B116">
            <v>130097</v>
          </cell>
          <cell r="C116" t="str">
            <v>A/R - ADMIN LEDGER - FULL TIME HOURS</v>
          </cell>
        </row>
        <row r="117">
          <cell r="A117">
            <v>8001059542</v>
          </cell>
          <cell r="B117">
            <v>130097</v>
          </cell>
          <cell r="C117" t="str">
            <v>A/R - ADMIN LEDGER - FULL TIME HOURS</v>
          </cell>
        </row>
        <row r="118">
          <cell r="A118">
            <v>8010512510</v>
          </cell>
          <cell r="B118">
            <v>130097</v>
          </cell>
          <cell r="C118" t="str">
            <v>A/R - ADMIN LEDGER - FULL TIME HOURS</v>
          </cell>
        </row>
        <row r="119">
          <cell r="A119">
            <v>9969681</v>
          </cell>
          <cell r="B119">
            <v>130097</v>
          </cell>
          <cell r="C119" t="str">
            <v>A/R - ADMIN LEDGER - FULL TIME HOURS</v>
          </cell>
        </row>
        <row r="120">
          <cell r="A120">
            <v>9969901</v>
          </cell>
          <cell r="B120">
            <v>130097</v>
          </cell>
          <cell r="C120" t="str">
            <v>A/R - ADMIN LEDGER - FULL TIME HOURS</v>
          </cell>
        </row>
        <row r="121">
          <cell r="A121" t="str">
            <v>ZONE-0105-POST</v>
          </cell>
          <cell r="B121">
            <v>130097</v>
          </cell>
          <cell r="C121" t="str">
            <v>A/R - ADMIN LEDGER - FULL TIME HOURS</v>
          </cell>
        </row>
        <row r="122">
          <cell r="A122" t="str">
            <v>ZONE-0112-POST</v>
          </cell>
          <cell r="B122">
            <v>130097</v>
          </cell>
          <cell r="C122" t="str">
            <v>A/R - ADMIN LEDGER - FULL TIME HOURS</v>
          </cell>
        </row>
        <row r="123">
          <cell r="A123">
            <v>8001054179</v>
          </cell>
          <cell r="B123">
            <v>130097</v>
          </cell>
          <cell r="C123" t="str">
            <v>A/R - ADMIN LEDGER - PART TIME HOURS</v>
          </cell>
        </row>
        <row r="124">
          <cell r="A124">
            <v>8001059542</v>
          </cell>
          <cell r="B124">
            <v>130097</v>
          </cell>
          <cell r="C124" t="str">
            <v>A/R - ADMIN LEDGER - PART TIME HOURS</v>
          </cell>
        </row>
        <row r="125">
          <cell r="A125">
            <v>8010512510</v>
          </cell>
          <cell r="B125">
            <v>130097</v>
          </cell>
          <cell r="C125" t="str">
            <v>A/R - ADMIN LEDGER - PART TIME HOURS</v>
          </cell>
        </row>
        <row r="126">
          <cell r="A126">
            <v>9969681</v>
          </cell>
          <cell r="B126">
            <v>130097</v>
          </cell>
          <cell r="C126" t="str">
            <v>A/R - ADMIN LEDGER - PART TIME HOURS</v>
          </cell>
        </row>
        <row r="127">
          <cell r="A127">
            <v>9969901</v>
          </cell>
          <cell r="B127">
            <v>130097</v>
          </cell>
          <cell r="C127" t="str">
            <v>A/R - ADMIN LEDGER - PART TIME HOURS</v>
          </cell>
        </row>
        <row r="128">
          <cell r="A128" t="str">
            <v>ZONE-0105-POST</v>
          </cell>
          <cell r="B128">
            <v>130097</v>
          </cell>
          <cell r="C128" t="str">
            <v>A/R - ADMIN LEDGER - PART TIME HOURS</v>
          </cell>
        </row>
        <row r="129">
          <cell r="A129" t="str">
            <v>ZONE-0112-POST</v>
          </cell>
          <cell r="B129">
            <v>130097</v>
          </cell>
          <cell r="C129" t="str">
            <v>A/R - ADMIN LEDGER - PART TIME HOURS</v>
          </cell>
        </row>
        <row r="130">
          <cell r="A130">
            <v>8001054179</v>
          </cell>
          <cell r="B130">
            <v>130097</v>
          </cell>
          <cell r="C130" t="str">
            <v>A/R - ADMIN LEDGER - PREM A HOURS</v>
          </cell>
        </row>
        <row r="131">
          <cell r="A131">
            <v>8001059542</v>
          </cell>
          <cell r="B131">
            <v>130097</v>
          </cell>
          <cell r="C131" t="str">
            <v>A/R - ADMIN LEDGER - PREM A HOURS</v>
          </cell>
        </row>
        <row r="132">
          <cell r="A132">
            <v>8010512510</v>
          </cell>
          <cell r="B132">
            <v>130097</v>
          </cell>
          <cell r="C132" t="str">
            <v>A/R - ADMIN LEDGER - PREM A HOURS</v>
          </cell>
        </row>
        <row r="133">
          <cell r="A133">
            <v>9969681</v>
          </cell>
          <cell r="B133">
            <v>130097</v>
          </cell>
          <cell r="C133" t="str">
            <v>A/R - ADMIN LEDGER - PREM A HOURS</v>
          </cell>
        </row>
        <row r="134">
          <cell r="A134">
            <v>9969901</v>
          </cell>
          <cell r="B134">
            <v>130097</v>
          </cell>
          <cell r="C134" t="str">
            <v>A/R - ADMIN LEDGER - PREM A HOURS</v>
          </cell>
        </row>
        <row r="135">
          <cell r="A135" t="str">
            <v>ZONE-0105-POST</v>
          </cell>
          <cell r="B135">
            <v>130097</v>
          </cell>
          <cell r="C135" t="str">
            <v>A/R - ADMIN LEDGER - PREM A HOURS</v>
          </cell>
        </row>
        <row r="136">
          <cell r="A136" t="str">
            <v>ZONE-0112-POST</v>
          </cell>
          <cell r="B136">
            <v>130097</v>
          </cell>
          <cell r="C136" t="str">
            <v>A/R - ADMIN LEDGER - PREM A HOURS</v>
          </cell>
        </row>
        <row r="137">
          <cell r="A137">
            <v>8001054179</v>
          </cell>
          <cell r="B137">
            <v>130097</v>
          </cell>
          <cell r="C137" t="str">
            <v>A/R - ADMIN LEDGER - PREM B HOURS</v>
          </cell>
        </row>
        <row r="138">
          <cell r="A138">
            <v>8001059542</v>
          </cell>
          <cell r="B138">
            <v>130097</v>
          </cell>
          <cell r="C138" t="str">
            <v>A/R - ADMIN LEDGER - PREM B HOURS</v>
          </cell>
        </row>
        <row r="139">
          <cell r="A139">
            <v>8010512510</v>
          </cell>
          <cell r="B139">
            <v>130097</v>
          </cell>
          <cell r="C139" t="str">
            <v>A/R - ADMIN LEDGER - PREM B HOURS</v>
          </cell>
        </row>
        <row r="140">
          <cell r="A140">
            <v>9969681</v>
          </cell>
          <cell r="B140">
            <v>130097</v>
          </cell>
          <cell r="C140" t="str">
            <v>A/R - ADMIN LEDGER - PREM B HOURS</v>
          </cell>
        </row>
        <row r="141">
          <cell r="A141">
            <v>9969901</v>
          </cell>
          <cell r="B141">
            <v>130097</v>
          </cell>
          <cell r="C141" t="str">
            <v>A/R - ADMIN LEDGER - PREM B HOURS</v>
          </cell>
        </row>
        <row r="142">
          <cell r="A142" t="str">
            <v>ZONE-0105-POST</v>
          </cell>
          <cell r="B142">
            <v>130097</v>
          </cell>
          <cell r="C142" t="str">
            <v>A/R - ADMIN LEDGER - PREM B HOURS</v>
          </cell>
        </row>
        <row r="143">
          <cell r="A143" t="str">
            <v>ZONE-0112-POST</v>
          </cell>
          <cell r="B143">
            <v>130097</v>
          </cell>
          <cell r="C143" t="str">
            <v>A/R - ADMIN LEDGER - PREM B HOURS</v>
          </cell>
        </row>
        <row r="144">
          <cell r="A144">
            <v>8001054179</v>
          </cell>
          <cell r="B144">
            <v>130097</v>
          </cell>
          <cell r="C144" t="str">
            <v>A/R - ADMIN LEDGER - PREM C HOURS</v>
          </cell>
        </row>
        <row r="145">
          <cell r="A145">
            <v>8001059542</v>
          </cell>
          <cell r="B145">
            <v>130097</v>
          </cell>
          <cell r="C145" t="str">
            <v>A/R - ADMIN LEDGER - PREM C HOURS</v>
          </cell>
        </row>
        <row r="146">
          <cell r="A146">
            <v>8010512510</v>
          </cell>
          <cell r="B146">
            <v>130097</v>
          </cell>
          <cell r="C146" t="str">
            <v>A/R - ADMIN LEDGER - PREM C HOURS</v>
          </cell>
        </row>
        <row r="147">
          <cell r="A147">
            <v>9969681</v>
          </cell>
          <cell r="B147">
            <v>130097</v>
          </cell>
          <cell r="C147" t="str">
            <v>A/R - ADMIN LEDGER - PREM C HOURS</v>
          </cell>
        </row>
        <row r="148">
          <cell r="A148">
            <v>9969901</v>
          </cell>
          <cell r="B148">
            <v>130097</v>
          </cell>
          <cell r="C148" t="str">
            <v>A/R - ADMIN LEDGER - PREM C HOURS</v>
          </cell>
        </row>
        <row r="149">
          <cell r="A149" t="str">
            <v>ZONE-0105-POST</v>
          </cell>
          <cell r="B149">
            <v>130097</v>
          </cell>
          <cell r="C149" t="str">
            <v>A/R - ADMIN LEDGER - PREM C HOURS</v>
          </cell>
        </row>
        <row r="150">
          <cell r="A150" t="str">
            <v>ZONE-0112-POST</v>
          </cell>
          <cell r="B150">
            <v>130097</v>
          </cell>
          <cell r="C150" t="str">
            <v>A/R - ADMIN LEDGER - PREM C HOURS</v>
          </cell>
        </row>
        <row r="151">
          <cell r="A151">
            <v>9080999</v>
          </cell>
          <cell r="B151">
            <v>130900</v>
          </cell>
          <cell r="C151" t="str">
            <v>A/R- ACCRUED INT.-INTERCOMPANY</v>
          </cell>
        </row>
        <row r="152">
          <cell r="A152">
            <v>9110999</v>
          </cell>
          <cell r="B152">
            <v>130900</v>
          </cell>
          <cell r="C152" t="str">
            <v>A/R- ACCRUED INT.-INTERCOMPANY</v>
          </cell>
        </row>
        <row r="153">
          <cell r="A153">
            <v>9689999</v>
          </cell>
          <cell r="B153">
            <v>130900</v>
          </cell>
          <cell r="C153" t="str">
            <v>A/R- ACCRUED INT.-INTERCOMPANY</v>
          </cell>
        </row>
        <row r="154">
          <cell r="A154">
            <v>9080999</v>
          </cell>
          <cell r="B154">
            <v>148034</v>
          </cell>
          <cell r="C154" t="str">
            <v>A/R -ACCRUED INTEREST - OTHER</v>
          </cell>
        </row>
        <row r="155">
          <cell r="A155">
            <v>9110999</v>
          </cell>
          <cell r="B155">
            <v>148034</v>
          </cell>
          <cell r="C155" t="str">
            <v>A/R -ACCRUED INTEREST - OTHER</v>
          </cell>
        </row>
        <row r="156">
          <cell r="A156">
            <v>9689999</v>
          </cell>
          <cell r="B156">
            <v>148034</v>
          </cell>
          <cell r="C156" t="str">
            <v>A/R -ACCRUED INTEREST - OTHER</v>
          </cell>
        </row>
        <row r="157">
          <cell r="A157">
            <v>9689883</v>
          </cell>
          <cell r="B157">
            <v>148048</v>
          </cell>
          <cell r="C157" t="str">
            <v>A/R -ACCRUED INT S/T INVESTMENTS</v>
          </cell>
        </row>
        <row r="158">
          <cell r="A158">
            <v>9689992</v>
          </cell>
          <cell r="B158">
            <v>148048</v>
          </cell>
          <cell r="C158" t="str">
            <v>A/R -ACCRUED INT S/T INVESTMENTS</v>
          </cell>
        </row>
        <row r="159">
          <cell r="A159">
            <v>9080999</v>
          </cell>
          <cell r="B159">
            <v>148304</v>
          </cell>
          <cell r="C159" t="str">
            <v>A/R - DEPOSITS - SECURITY</v>
          </cell>
        </row>
        <row r="160">
          <cell r="A160">
            <v>9110999</v>
          </cell>
          <cell r="B160">
            <v>148304</v>
          </cell>
          <cell r="C160" t="str">
            <v>A/R - DEPOSITS - SECURITY</v>
          </cell>
        </row>
        <row r="161">
          <cell r="A161">
            <v>9090999</v>
          </cell>
          <cell r="B161">
            <v>148305</v>
          </cell>
          <cell r="C161" t="str">
            <v>A/R - DEPOSITS - BONDS - OTHER</v>
          </cell>
        </row>
        <row r="162">
          <cell r="A162">
            <v>9100999</v>
          </cell>
          <cell r="B162">
            <v>148305</v>
          </cell>
          <cell r="C162" t="str">
            <v>A/R - DEPOSITS - BONDS - OTHER</v>
          </cell>
        </row>
        <row r="163">
          <cell r="A163">
            <v>9080999</v>
          </cell>
          <cell r="B163">
            <v>148310</v>
          </cell>
          <cell r="C163" t="str">
            <v>A/R - DEPOSITS - CORPORATE</v>
          </cell>
        </row>
        <row r="164">
          <cell r="A164">
            <v>9110999</v>
          </cell>
          <cell r="B164">
            <v>148310</v>
          </cell>
          <cell r="C164" t="str">
            <v>A/R - DEPOSITS - CORPORATE</v>
          </cell>
        </row>
        <row r="165">
          <cell r="A165">
            <v>9080999</v>
          </cell>
          <cell r="B165">
            <v>148344</v>
          </cell>
          <cell r="C165" t="str">
            <v>A/R -EMPLOYEE ASSISTANCE</v>
          </cell>
        </row>
        <row r="166">
          <cell r="A166">
            <v>9110999</v>
          </cell>
          <cell r="B166">
            <v>148344</v>
          </cell>
          <cell r="C166" t="str">
            <v>A/R -EMPLOYEE ASSISTANCE</v>
          </cell>
        </row>
        <row r="167">
          <cell r="A167">
            <v>9689999</v>
          </cell>
          <cell r="B167">
            <v>148344</v>
          </cell>
          <cell r="C167" t="str">
            <v>A/R -EMPLOYEE ASSISTANCE</v>
          </cell>
        </row>
        <row r="168">
          <cell r="A168">
            <v>9080999</v>
          </cell>
          <cell r="B168">
            <v>148350</v>
          </cell>
          <cell r="C168" t="str">
            <v>A/R -ADVANCE TO EMPLOYEES</v>
          </cell>
        </row>
        <row r="169">
          <cell r="A169">
            <v>9110999</v>
          </cell>
          <cell r="B169">
            <v>148350</v>
          </cell>
          <cell r="C169" t="str">
            <v>A/R -ADVANCE TO EMPLOYEES</v>
          </cell>
        </row>
        <row r="170">
          <cell r="A170">
            <v>9689999</v>
          </cell>
          <cell r="B170">
            <v>148350</v>
          </cell>
          <cell r="C170" t="str">
            <v>A/R -ADVANCE TO EMPLOYEES</v>
          </cell>
        </row>
        <row r="171">
          <cell r="A171">
            <v>9722709</v>
          </cell>
          <cell r="B171">
            <v>148353</v>
          </cell>
          <cell r="C171" t="str">
            <v>A/R -ADVANCES ON PURCHASES</v>
          </cell>
        </row>
        <row r="172">
          <cell r="A172">
            <v>9722713</v>
          </cell>
          <cell r="B172">
            <v>148353</v>
          </cell>
          <cell r="C172" t="str">
            <v>A/R -ADVANCES ON PURCHASES</v>
          </cell>
        </row>
        <row r="173">
          <cell r="A173">
            <v>9080999</v>
          </cell>
          <cell r="B173">
            <v>148410</v>
          </cell>
          <cell r="C173" t="str">
            <v>A/R-EMPLOYEE STCK OPTIONS EXER</v>
          </cell>
        </row>
        <row r="174">
          <cell r="A174">
            <v>9110999</v>
          </cell>
          <cell r="B174">
            <v>148410</v>
          </cell>
          <cell r="C174" t="str">
            <v>A/R-EMPLOYEE STCK OPTIONS EXER</v>
          </cell>
        </row>
        <row r="175">
          <cell r="A175">
            <v>9689999</v>
          </cell>
          <cell r="B175">
            <v>148410</v>
          </cell>
          <cell r="C175" t="str">
            <v>A/R-EMPLOYEE STCK OPTIONS EXER</v>
          </cell>
        </row>
        <row r="176">
          <cell r="A176">
            <v>8001054179</v>
          </cell>
          <cell r="B176">
            <v>148550</v>
          </cell>
          <cell r="C176" t="str">
            <v>A/R - TAX REFUNDS</v>
          </cell>
        </row>
        <row r="177">
          <cell r="A177">
            <v>8001059542</v>
          </cell>
          <cell r="B177">
            <v>148550</v>
          </cell>
          <cell r="C177" t="str">
            <v>A/R - TAX REFUNDS</v>
          </cell>
        </row>
        <row r="178">
          <cell r="A178">
            <v>8010512510</v>
          </cell>
          <cell r="B178">
            <v>148550</v>
          </cell>
          <cell r="C178" t="str">
            <v>A/R - TAX REFUNDS</v>
          </cell>
        </row>
        <row r="179">
          <cell r="A179">
            <v>9090999</v>
          </cell>
          <cell r="B179">
            <v>148550</v>
          </cell>
          <cell r="C179" t="str">
            <v>A/R - TAX REFUNDS</v>
          </cell>
        </row>
        <row r="180">
          <cell r="A180">
            <v>9100999</v>
          </cell>
          <cell r="B180">
            <v>148550</v>
          </cell>
          <cell r="C180" t="str">
            <v>A/R - TAX REFUNDS</v>
          </cell>
        </row>
        <row r="181">
          <cell r="A181">
            <v>9969681</v>
          </cell>
          <cell r="B181">
            <v>148550</v>
          </cell>
          <cell r="C181" t="str">
            <v>A/R - TAX REFUNDS</v>
          </cell>
        </row>
        <row r="182">
          <cell r="A182">
            <v>9969901</v>
          </cell>
          <cell r="B182">
            <v>148550</v>
          </cell>
          <cell r="C182" t="str">
            <v>A/R - TAX REFUNDS</v>
          </cell>
        </row>
        <row r="183">
          <cell r="A183" t="str">
            <v>ZONE-0105-POST</v>
          </cell>
          <cell r="B183">
            <v>148550</v>
          </cell>
          <cell r="C183" t="str">
            <v>A/R - TAX REFUNDS</v>
          </cell>
        </row>
        <row r="184">
          <cell r="A184" t="str">
            <v>ZONE-0112-POST</v>
          </cell>
          <cell r="B184">
            <v>148550</v>
          </cell>
          <cell r="C184" t="str">
            <v>A/R - TAX REFUNDS</v>
          </cell>
        </row>
        <row r="185">
          <cell r="A185">
            <v>9722709</v>
          </cell>
          <cell r="B185">
            <v>148670</v>
          </cell>
          <cell r="C185" t="str">
            <v>A/R RETURNED CHECK CHEQUE RITE</v>
          </cell>
        </row>
        <row r="186">
          <cell r="A186">
            <v>9722713</v>
          </cell>
          <cell r="B186">
            <v>148670</v>
          </cell>
          <cell r="C186" t="str">
            <v>A/R RETURNED CHECK CHEQUE RITE</v>
          </cell>
        </row>
        <row r="187">
          <cell r="A187">
            <v>9682715</v>
          </cell>
          <cell r="B187">
            <v>148907</v>
          </cell>
          <cell r="C187" t="str">
            <v>GIFT CARD - O/S CUST</v>
          </cell>
        </row>
        <row r="188">
          <cell r="A188">
            <v>9682722</v>
          </cell>
          <cell r="B188">
            <v>148907</v>
          </cell>
          <cell r="C188" t="str">
            <v>GIFT CARD - O/S CUST</v>
          </cell>
        </row>
        <row r="189">
          <cell r="A189">
            <v>9682999</v>
          </cell>
          <cell r="B189">
            <v>148907</v>
          </cell>
          <cell r="C189" t="str">
            <v>GIFT CARD - O/S CUST</v>
          </cell>
        </row>
        <row r="190">
          <cell r="A190">
            <v>9722709</v>
          </cell>
          <cell r="B190">
            <v>148907</v>
          </cell>
          <cell r="C190" t="str">
            <v>GIFT CARD - O/S CUST</v>
          </cell>
        </row>
        <row r="191">
          <cell r="A191">
            <v>9722713</v>
          </cell>
          <cell r="B191">
            <v>148907</v>
          </cell>
          <cell r="C191" t="str">
            <v>GIFT CARD - O/S CUST</v>
          </cell>
        </row>
        <row r="192">
          <cell r="A192">
            <v>9965681</v>
          </cell>
          <cell r="B192">
            <v>148907</v>
          </cell>
          <cell r="C192" t="str">
            <v>GIFT CARD - O/S CUST</v>
          </cell>
        </row>
        <row r="193">
          <cell r="A193">
            <v>8001054179</v>
          </cell>
          <cell r="B193">
            <v>148990</v>
          </cell>
          <cell r="C193" t="str">
            <v>A/R - OTHER</v>
          </cell>
        </row>
        <row r="194">
          <cell r="A194">
            <v>8001059542</v>
          </cell>
          <cell r="B194">
            <v>148990</v>
          </cell>
          <cell r="C194" t="str">
            <v>A/R - OTHER</v>
          </cell>
        </row>
        <row r="195">
          <cell r="A195">
            <v>8010512510</v>
          </cell>
          <cell r="B195">
            <v>148990</v>
          </cell>
          <cell r="C195" t="str">
            <v>A/R - OTHER</v>
          </cell>
        </row>
        <row r="196">
          <cell r="A196">
            <v>9090999</v>
          </cell>
          <cell r="B196">
            <v>148990</v>
          </cell>
          <cell r="C196" t="str">
            <v>A/R - OTHER</v>
          </cell>
        </row>
        <row r="197">
          <cell r="A197">
            <v>9100999</v>
          </cell>
          <cell r="B197">
            <v>148990</v>
          </cell>
          <cell r="C197" t="str">
            <v>A/R - OTHER</v>
          </cell>
        </row>
        <row r="198">
          <cell r="A198">
            <v>9680700</v>
          </cell>
          <cell r="B198">
            <v>148990</v>
          </cell>
          <cell r="C198" t="str">
            <v>A/R - OTHER</v>
          </cell>
        </row>
        <row r="199">
          <cell r="A199">
            <v>9680701</v>
          </cell>
          <cell r="B199">
            <v>148990</v>
          </cell>
          <cell r="C199" t="str">
            <v>A/R - OTHER</v>
          </cell>
        </row>
        <row r="200">
          <cell r="A200">
            <v>9680702</v>
          </cell>
          <cell r="B200">
            <v>148990</v>
          </cell>
          <cell r="C200" t="str">
            <v>A/R - OTHER</v>
          </cell>
        </row>
        <row r="201">
          <cell r="A201">
            <v>9680705</v>
          </cell>
          <cell r="B201">
            <v>148990</v>
          </cell>
          <cell r="C201" t="str">
            <v>A/R - OTHER</v>
          </cell>
        </row>
        <row r="202">
          <cell r="A202">
            <v>9680707</v>
          </cell>
          <cell r="B202">
            <v>148990</v>
          </cell>
          <cell r="C202" t="str">
            <v>A/R - OTHER</v>
          </cell>
        </row>
        <row r="203">
          <cell r="A203">
            <v>9680710</v>
          </cell>
          <cell r="B203">
            <v>148990</v>
          </cell>
          <cell r="C203" t="str">
            <v>A/R - OTHER</v>
          </cell>
        </row>
        <row r="204">
          <cell r="A204">
            <v>9680712</v>
          </cell>
          <cell r="B204">
            <v>148990</v>
          </cell>
          <cell r="C204" t="str">
            <v>A/R - OTHER</v>
          </cell>
        </row>
        <row r="205">
          <cell r="A205">
            <v>9680714</v>
          </cell>
          <cell r="B205">
            <v>148990</v>
          </cell>
          <cell r="C205" t="str">
            <v>A/R - OTHER</v>
          </cell>
        </row>
        <row r="206">
          <cell r="A206">
            <v>9680734</v>
          </cell>
          <cell r="B206">
            <v>148990</v>
          </cell>
          <cell r="C206" t="str">
            <v>A/R - OTHER</v>
          </cell>
        </row>
        <row r="207">
          <cell r="A207">
            <v>9680748</v>
          </cell>
          <cell r="B207">
            <v>148990</v>
          </cell>
          <cell r="C207" t="str">
            <v>A/R - OTHER</v>
          </cell>
        </row>
        <row r="208">
          <cell r="A208">
            <v>9680749</v>
          </cell>
          <cell r="B208">
            <v>148990</v>
          </cell>
          <cell r="C208" t="str">
            <v>A/R - OTHER</v>
          </cell>
        </row>
        <row r="209">
          <cell r="A209">
            <v>9680894</v>
          </cell>
          <cell r="B209">
            <v>148990</v>
          </cell>
          <cell r="C209" t="str">
            <v>A/R - OTHER</v>
          </cell>
        </row>
        <row r="210">
          <cell r="A210">
            <v>9680999</v>
          </cell>
          <cell r="B210">
            <v>148990</v>
          </cell>
          <cell r="C210" t="str">
            <v>A/R - OTHER</v>
          </cell>
        </row>
        <row r="211">
          <cell r="A211">
            <v>9681710</v>
          </cell>
          <cell r="B211">
            <v>148990</v>
          </cell>
          <cell r="C211" t="str">
            <v>A/R - OTHER</v>
          </cell>
        </row>
        <row r="212">
          <cell r="A212">
            <v>9681734</v>
          </cell>
          <cell r="B212">
            <v>148990</v>
          </cell>
          <cell r="C212" t="str">
            <v>A/R - OTHER</v>
          </cell>
        </row>
        <row r="213">
          <cell r="A213">
            <v>9681748</v>
          </cell>
          <cell r="B213">
            <v>148990</v>
          </cell>
          <cell r="C213" t="str">
            <v>A/R - OTHER</v>
          </cell>
        </row>
        <row r="214">
          <cell r="A214">
            <v>9681894</v>
          </cell>
          <cell r="B214">
            <v>148990</v>
          </cell>
          <cell r="C214" t="str">
            <v>A/R - OTHER</v>
          </cell>
        </row>
        <row r="215">
          <cell r="A215">
            <v>9682715</v>
          </cell>
          <cell r="B215">
            <v>148990</v>
          </cell>
          <cell r="C215" t="str">
            <v>A/R - OTHER</v>
          </cell>
        </row>
        <row r="216">
          <cell r="A216">
            <v>9682722</v>
          </cell>
          <cell r="B216">
            <v>148990</v>
          </cell>
          <cell r="C216" t="str">
            <v>A/R - OTHER</v>
          </cell>
        </row>
        <row r="217">
          <cell r="A217">
            <v>9682999</v>
          </cell>
          <cell r="B217">
            <v>148990</v>
          </cell>
          <cell r="C217" t="str">
            <v>A/R - OTHER</v>
          </cell>
        </row>
        <row r="218">
          <cell r="A218">
            <v>9689999</v>
          </cell>
          <cell r="B218">
            <v>148990</v>
          </cell>
          <cell r="C218" t="str">
            <v>A/R - OTHER</v>
          </cell>
        </row>
        <row r="219">
          <cell r="A219">
            <v>9722709</v>
          </cell>
          <cell r="B219">
            <v>148990</v>
          </cell>
          <cell r="C219" t="str">
            <v>A/R - OTHER</v>
          </cell>
        </row>
        <row r="220">
          <cell r="A220">
            <v>9722713</v>
          </cell>
          <cell r="B220">
            <v>148990</v>
          </cell>
          <cell r="C220" t="str">
            <v>A/R - OTHER</v>
          </cell>
        </row>
        <row r="221">
          <cell r="A221">
            <v>9969681</v>
          </cell>
          <cell r="B221">
            <v>148990</v>
          </cell>
          <cell r="C221" t="str">
            <v>A/R - OTHER</v>
          </cell>
        </row>
        <row r="222">
          <cell r="A222">
            <v>9969901</v>
          </cell>
          <cell r="B222">
            <v>148990</v>
          </cell>
          <cell r="C222" t="str">
            <v>A/R - OTHER</v>
          </cell>
        </row>
        <row r="223">
          <cell r="A223" t="str">
            <v>ZONE-0105-POST</v>
          </cell>
          <cell r="B223">
            <v>148990</v>
          </cell>
          <cell r="C223" t="str">
            <v>A/R - OTHER</v>
          </cell>
        </row>
        <row r="224">
          <cell r="A224" t="str">
            <v>ZONE-0112-POST</v>
          </cell>
          <cell r="B224">
            <v>148990</v>
          </cell>
          <cell r="C224" t="str">
            <v>A/R - OTHER</v>
          </cell>
        </row>
        <row r="225">
          <cell r="A225">
            <v>8001054179</v>
          </cell>
          <cell r="B225">
            <v>149000</v>
          </cell>
          <cell r="C225" t="str">
            <v>ACCOUNTS RECEIVABLE</v>
          </cell>
        </row>
        <row r="226">
          <cell r="A226">
            <v>8001059542</v>
          </cell>
          <cell r="B226">
            <v>149000</v>
          </cell>
          <cell r="C226" t="str">
            <v>ACCOUNTS RECEIVABLE</v>
          </cell>
        </row>
        <row r="227">
          <cell r="A227">
            <v>8010512510</v>
          </cell>
          <cell r="B227">
            <v>149000</v>
          </cell>
          <cell r="C227" t="str">
            <v>ACCOUNTS RECEIVABLE</v>
          </cell>
        </row>
        <row r="228">
          <cell r="A228">
            <v>9050999</v>
          </cell>
          <cell r="B228">
            <v>149000</v>
          </cell>
          <cell r="C228" t="str">
            <v>ACCOUNTS RECEIVABLE</v>
          </cell>
        </row>
        <row r="229">
          <cell r="A229">
            <v>9080999</v>
          </cell>
          <cell r="B229">
            <v>149000</v>
          </cell>
          <cell r="C229" t="str">
            <v>ACCOUNTS RECEIVABLE</v>
          </cell>
        </row>
        <row r="230">
          <cell r="A230">
            <v>9090999</v>
          </cell>
          <cell r="B230">
            <v>149000</v>
          </cell>
          <cell r="C230" t="str">
            <v>ACCOUNTS RECEIVABLE</v>
          </cell>
        </row>
        <row r="231">
          <cell r="A231">
            <v>9100999</v>
          </cell>
          <cell r="B231">
            <v>149000</v>
          </cell>
          <cell r="C231" t="str">
            <v>ACCOUNTS RECEIVABLE</v>
          </cell>
        </row>
        <row r="232">
          <cell r="A232">
            <v>9110999</v>
          </cell>
          <cell r="B232">
            <v>149000</v>
          </cell>
          <cell r="C232" t="str">
            <v>ACCOUNTS RECEIVABLE</v>
          </cell>
        </row>
        <row r="233">
          <cell r="A233">
            <v>9682715</v>
          </cell>
          <cell r="B233">
            <v>149000</v>
          </cell>
          <cell r="C233" t="str">
            <v>ACCOUNTS RECEIVABLE</v>
          </cell>
        </row>
        <row r="234">
          <cell r="A234">
            <v>9682722</v>
          </cell>
          <cell r="B234">
            <v>149000</v>
          </cell>
          <cell r="C234" t="str">
            <v>ACCOUNTS RECEIVABLE</v>
          </cell>
        </row>
        <row r="235">
          <cell r="A235">
            <v>9682999</v>
          </cell>
          <cell r="B235">
            <v>149000</v>
          </cell>
          <cell r="C235" t="str">
            <v>ACCOUNTS RECEIVABLE</v>
          </cell>
        </row>
        <row r="236">
          <cell r="A236">
            <v>9689999</v>
          </cell>
          <cell r="B236">
            <v>149000</v>
          </cell>
          <cell r="C236" t="str">
            <v>ACCOUNTS RECEIVABLE</v>
          </cell>
        </row>
        <row r="237">
          <cell r="A237">
            <v>9722709</v>
          </cell>
          <cell r="B237">
            <v>149000</v>
          </cell>
          <cell r="C237" t="str">
            <v>ACCOUNTS RECEIVABLE</v>
          </cell>
        </row>
        <row r="238">
          <cell r="A238">
            <v>9722713</v>
          </cell>
          <cell r="B238">
            <v>149000</v>
          </cell>
          <cell r="C238" t="str">
            <v>ACCOUNTS RECEIVABLE</v>
          </cell>
        </row>
        <row r="239">
          <cell r="A239">
            <v>9729999</v>
          </cell>
          <cell r="B239">
            <v>149000</v>
          </cell>
          <cell r="C239" t="str">
            <v>ACCOUNTS RECEIVABLE</v>
          </cell>
        </row>
        <row r="240">
          <cell r="A240">
            <v>9968681</v>
          </cell>
          <cell r="B240">
            <v>149000</v>
          </cell>
          <cell r="C240" t="str">
            <v>ACCOUNTS RECEIVABLE</v>
          </cell>
        </row>
        <row r="241">
          <cell r="A241">
            <v>9969681</v>
          </cell>
          <cell r="B241">
            <v>149000</v>
          </cell>
          <cell r="C241" t="str">
            <v>ACCOUNTS RECEIVABLE</v>
          </cell>
        </row>
        <row r="242">
          <cell r="A242">
            <v>9969901</v>
          </cell>
          <cell r="B242">
            <v>149000</v>
          </cell>
          <cell r="C242" t="str">
            <v>ACCOUNTS RECEIVABLE</v>
          </cell>
        </row>
        <row r="243">
          <cell r="A243" t="str">
            <v>ZONE-0105-POST</v>
          </cell>
          <cell r="B243">
            <v>149000</v>
          </cell>
          <cell r="C243" t="str">
            <v>ACCOUNTS RECEIVABLE</v>
          </cell>
        </row>
        <row r="244">
          <cell r="A244" t="str">
            <v>ZONE-0112-POST</v>
          </cell>
          <cell r="B244">
            <v>149000</v>
          </cell>
          <cell r="C244" t="str">
            <v>ACCOUNTS RECEIVABLE</v>
          </cell>
        </row>
        <row r="245">
          <cell r="A245">
            <v>9090999</v>
          </cell>
          <cell r="B245">
            <v>149108</v>
          </cell>
          <cell r="C245" t="str">
            <v>A/R - CUSTOMER - BAD DEBTS</v>
          </cell>
        </row>
        <row r="246">
          <cell r="A246">
            <v>9100999</v>
          </cell>
          <cell r="B246">
            <v>149108</v>
          </cell>
          <cell r="C246" t="str">
            <v>A/R - CUSTOMER - BAD DEBTS</v>
          </cell>
        </row>
        <row r="247">
          <cell r="A247">
            <v>8001054179</v>
          </cell>
          <cell r="B247">
            <v>149201</v>
          </cell>
          <cell r="C247" t="str">
            <v>A/R - CUSTOMER RNA - CORE</v>
          </cell>
        </row>
        <row r="248">
          <cell r="A248">
            <v>8001059542</v>
          </cell>
          <cell r="B248">
            <v>149201</v>
          </cell>
          <cell r="C248" t="str">
            <v>A/R - CUSTOMER RNA - CORE</v>
          </cell>
        </row>
        <row r="249">
          <cell r="A249">
            <v>8010512510</v>
          </cell>
          <cell r="B249">
            <v>149201</v>
          </cell>
          <cell r="C249" t="str">
            <v>A/R - CUSTOMER RNA - CORE</v>
          </cell>
        </row>
        <row r="250">
          <cell r="A250">
            <v>9050999</v>
          </cell>
          <cell r="B250">
            <v>149201</v>
          </cell>
          <cell r="C250" t="str">
            <v>A/R - CUSTOMER RNA - CORE</v>
          </cell>
        </row>
        <row r="251">
          <cell r="A251">
            <v>9080999</v>
          </cell>
          <cell r="B251">
            <v>149201</v>
          </cell>
          <cell r="C251" t="str">
            <v>A/R - CUSTOMER RNA - CORE</v>
          </cell>
        </row>
        <row r="252">
          <cell r="A252">
            <v>9090999</v>
          </cell>
          <cell r="B252">
            <v>149201</v>
          </cell>
          <cell r="C252" t="str">
            <v>A/R - CUSTOMER RNA - CORE</v>
          </cell>
        </row>
        <row r="253">
          <cell r="A253">
            <v>9100999</v>
          </cell>
          <cell r="B253">
            <v>149201</v>
          </cell>
          <cell r="C253" t="str">
            <v>A/R - CUSTOMER RNA - CORE</v>
          </cell>
        </row>
        <row r="254">
          <cell r="A254">
            <v>9110999</v>
          </cell>
          <cell r="B254">
            <v>149201</v>
          </cell>
          <cell r="C254" t="str">
            <v>A/R - CUSTOMER RNA - CORE</v>
          </cell>
        </row>
        <row r="255">
          <cell r="A255">
            <v>9682715</v>
          </cell>
          <cell r="B255">
            <v>149201</v>
          </cell>
          <cell r="C255" t="str">
            <v>A/R - CUSTOMER RNA - CORE</v>
          </cell>
        </row>
        <row r="256">
          <cell r="A256">
            <v>9682722</v>
          </cell>
          <cell r="B256">
            <v>149201</v>
          </cell>
          <cell r="C256" t="str">
            <v>A/R - CUSTOMER RNA - CORE</v>
          </cell>
        </row>
        <row r="257">
          <cell r="A257">
            <v>9682999</v>
          </cell>
          <cell r="B257">
            <v>149201</v>
          </cell>
          <cell r="C257" t="str">
            <v>A/R - CUSTOMER RNA - CORE</v>
          </cell>
        </row>
        <row r="258">
          <cell r="A258">
            <v>9689999</v>
          </cell>
          <cell r="B258">
            <v>149201</v>
          </cell>
          <cell r="C258" t="str">
            <v>A/R - CUSTOMER RNA - CORE</v>
          </cell>
        </row>
        <row r="259">
          <cell r="A259">
            <v>9722709</v>
          </cell>
          <cell r="B259">
            <v>149201</v>
          </cell>
          <cell r="C259" t="str">
            <v>A/R - CUSTOMER RNA - CORE</v>
          </cell>
        </row>
        <row r="260">
          <cell r="A260">
            <v>9722713</v>
          </cell>
          <cell r="B260">
            <v>149201</v>
          </cell>
          <cell r="C260" t="str">
            <v>A/R - CUSTOMER RNA - CORE</v>
          </cell>
        </row>
        <row r="261">
          <cell r="A261">
            <v>9729999</v>
          </cell>
          <cell r="B261">
            <v>149201</v>
          </cell>
          <cell r="C261" t="str">
            <v>A/R - CUSTOMER RNA - CORE</v>
          </cell>
        </row>
        <row r="262">
          <cell r="A262">
            <v>9968681</v>
          </cell>
          <cell r="B262">
            <v>149201</v>
          </cell>
          <cell r="C262" t="str">
            <v>A/R - CUSTOMER RNA - CORE</v>
          </cell>
        </row>
        <row r="263">
          <cell r="A263">
            <v>9969681</v>
          </cell>
          <cell r="B263">
            <v>149201</v>
          </cell>
          <cell r="C263" t="str">
            <v>A/R - CUSTOMER RNA - CORE</v>
          </cell>
        </row>
        <row r="264">
          <cell r="A264">
            <v>9969901</v>
          </cell>
          <cell r="B264">
            <v>149201</v>
          </cell>
          <cell r="C264" t="str">
            <v>A/R - CUSTOMER RNA - CORE</v>
          </cell>
        </row>
        <row r="265">
          <cell r="A265" t="str">
            <v>ZONE-0105-POST</v>
          </cell>
          <cell r="B265">
            <v>149201</v>
          </cell>
          <cell r="C265" t="str">
            <v>A/R - CUSTOMER RNA - CORE</v>
          </cell>
        </row>
        <row r="266">
          <cell r="A266" t="str">
            <v>ZONE-0112-POST</v>
          </cell>
          <cell r="B266">
            <v>149201</v>
          </cell>
          <cell r="C266" t="str">
            <v>A/R - CUSTOMER RNA - CORE</v>
          </cell>
        </row>
        <row r="267">
          <cell r="A267">
            <v>9722709</v>
          </cell>
          <cell r="B267">
            <v>149202</v>
          </cell>
          <cell r="C267" t="str">
            <v>A/R - CUSTOMER PAYMENT CLEARING</v>
          </cell>
        </row>
        <row r="268">
          <cell r="A268">
            <v>9722713</v>
          </cell>
          <cell r="B268">
            <v>149202</v>
          </cell>
          <cell r="C268" t="str">
            <v>A/R - CUSTOMER PAYMENT CLEARING</v>
          </cell>
        </row>
        <row r="269">
          <cell r="A269">
            <v>9682715</v>
          </cell>
          <cell r="B269">
            <v>149402</v>
          </cell>
          <cell r="C269" t="str">
            <v>A/R-UNPROCESSED FREIGHT CLAIMS</v>
          </cell>
        </row>
        <row r="270">
          <cell r="A270">
            <v>9682722</v>
          </cell>
          <cell r="B270">
            <v>149402</v>
          </cell>
          <cell r="C270" t="str">
            <v>A/R-UNPROCESSED FREIGHT CLAIMS</v>
          </cell>
        </row>
        <row r="271">
          <cell r="A271">
            <v>9682999</v>
          </cell>
          <cell r="B271">
            <v>149402</v>
          </cell>
          <cell r="C271" t="str">
            <v>A/R-UNPROCESSED FREIGHT CLAIMS</v>
          </cell>
        </row>
        <row r="272">
          <cell r="A272">
            <v>9080999</v>
          </cell>
          <cell r="B272">
            <v>149405</v>
          </cell>
          <cell r="C272" t="str">
            <v>A/R ITEMS TRANS TO A/P DED CLEARING</v>
          </cell>
        </row>
        <row r="273">
          <cell r="A273">
            <v>9110999</v>
          </cell>
          <cell r="B273">
            <v>149405</v>
          </cell>
          <cell r="C273" t="str">
            <v>A/R ITEMS TRANS TO A/P DED CLEARING</v>
          </cell>
        </row>
        <row r="274">
          <cell r="A274">
            <v>9689999</v>
          </cell>
          <cell r="B274">
            <v>149405</v>
          </cell>
          <cell r="C274" t="str">
            <v>A/R ITEMS TRANS TO A/P DED CLEARING</v>
          </cell>
        </row>
        <row r="275">
          <cell r="A275">
            <v>9722709</v>
          </cell>
          <cell r="B275">
            <v>149405</v>
          </cell>
          <cell r="C275" t="str">
            <v>A/R ITEMS TRANS TO A/P DED CLEARING</v>
          </cell>
        </row>
        <row r="276">
          <cell r="A276">
            <v>9722713</v>
          </cell>
          <cell r="B276">
            <v>149405</v>
          </cell>
          <cell r="C276" t="str">
            <v>A/R ITEMS TRANS TO A/P DED CLEARING</v>
          </cell>
        </row>
        <row r="277">
          <cell r="A277">
            <v>9729999</v>
          </cell>
          <cell r="B277">
            <v>149405</v>
          </cell>
          <cell r="C277" t="str">
            <v>A/R ITEMS TRANS TO A/P DED CLEARING</v>
          </cell>
        </row>
        <row r="278">
          <cell r="A278">
            <v>9968681</v>
          </cell>
          <cell r="B278">
            <v>149405</v>
          </cell>
          <cell r="C278" t="str">
            <v>A/R ITEMS TRANS TO A/P DED CLEARING</v>
          </cell>
        </row>
        <row r="279">
          <cell r="A279">
            <v>8001054179</v>
          </cell>
          <cell r="B279">
            <v>149535</v>
          </cell>
          <cell r="C279" t="str">
            <v>A/R -A/R - CONTRA US &amp; CAN</v>
          </cell>
        </row>
        <row r="280">
          <cell r="A280">
            <v>8001059542</v>
          </cell>
          <cell r="B280">
            <v>149535</v>
          </cell>
          <cell r="C280" t="str">
            <v>A/R -A/R - CONTRA US &amp; CAN</v>
          </cell>
        </row>
        <row r="281">
          <cell r="A281">
            <v>8010512510</v>
          </cell>
          <cell r="B281">
            <v>149535</v>
          </cell>
          <cell r="C281" t="str">
            <v>A/R -A/R - CONTRA US &amp; CAN</v>
          </cell>
        </row>
        <row r="282">
          <cell r="A282">
            <v>9080999</v>
          </cell>
          <cell r="B282">
            <v>149535</v>
          </cell>
          <cell r="C282" t="str">
            <v>A/R -A/R - CONTRA US &amp; CAN</v>
          </cell>
        </row>
        <row r="283">
          <cell r="A283">
            <v>9110999</v>
          </cell>
          <cell r="B283">
            <v>149535</v>
          </cell>
          <cell r="C283" t="str">
            <v>A/R -A/R - CONTRA US &amp; CAN</v>
          </cell>
        </row>
        <row r="284">
          <cell r="A284">
            <v>9689999</v>
          </cell>
          <cell r="B284">
            <v>149535</v>
          </cell>
          <cell r="C284" t="str">
            <v>A/R -A/R - CONTRA US &amp; CAN</v>
          </cell>
        </row>
        <row r="285">
          <cell r="A285">
            <v>9969681</v>
          </cell>
          <cell r="B285">
            <v>149535</v>
          </cell>
          <cell r="C285" t="str">
            <v>A/R -A/R - CONTRA US &amp; CAN</v>
          </cell>
        </row>
        <row r="286">
          <cell r="A286">
            <v>9969901</v>
          </cell>
          <cell r="B286">
            <v>149535</v>
          </cell>
          <cell r="C286" t="str">
            <v>A/R -A/R - CONTRA US &amp; CAN</v>
          </cell>
        </row>
        <row r="287">
          <cell r="A287" t="str">
            <v>ZONE-0105-POST</v>
          </cell>
          <cell r="B287">
            <v>149535</v>
          </cell>
          <cell r="C287" t="str">
            <v>A/R -A/R - CONTRA US &amp; CAN</v>
          </cell>
        </row>
        <row r="288">
          <cell r="A288" t="str">
            <v>ZONE-0112-POST</v>
          </cell>
          <cell r="B288">
            <v>149535</v>
          </cell>
          <cell r="C288" t="str">
            <v>A/R -A/R - CONTRA US &amp; CAN</v>
          </cell>
        </row>
        <row r="289">
          <cell r="A289">
            <v>9052999</v>
          </cell>
          <cell r="B289">
            <v>149872</v>
          </cell>
          <cell r="C289" t="str">
            <v>A/R - STARBUCKS GIFT CARDS</v>
          </cell>
        </row>
        <row r="290">
          <cell r="A290">
            <v>9682715</v>
          </cell>
          <cell r="B290">
            <v>149872</v>
          </cell>
          <cell r="C290" t="str">
            <v>A/R - STARBUCKS GIFT CARDS</v>
          </cell>
        </row>
        <row r="291">
          <cell r="A291">
            <v>9682722</v>
          </cell>
          <cell r="B291">
            <v>149872</v>
          </cell>
          <cell r="C291" t="str">
            <v>A/R - STARBUCKS GIFT CARDS</v>
          </cell>
        </row>
        <row r="292">
          <cell r="A292">
            <v>9682999</v>
          </cell>
          <cell r="B292">
            <v>149872</v>
          </cell>
          <cell r="C292" t="str">
            <v>A/R - STARBUCKS GIFT CARDS</v>
          </cell>
        </row>
        <row r="293">
          <cell r="A293">
            <v>9689999</v>
          </cell>
          <cell r="B293">
            <v>149900</v>
          </cell>
          <cell r="C293" t="str">
            <v>OTHER-RESERVE FOR DOUBTFUL ACC</v>
          </cell>
        </row>
        <row r="294">
          <cell r="A294">
            <v>9090999</v>
          </cell>
          <cell r="B294">
            <v>164995</v>
          </cell>
          <cell r="C294" t="str">
            <v>PPD INSURANCE - OTHER - OUTSIDE MANAGEMENT</v>
          </cell>
        </row>
        <row r="295">
          <cell r="A295">
            <v>9100999</v>
          </cell>
          <cell r="B295">
            <v>164995</v>
          </cell>
          <cell r="C295" t="str">
            <v>PPD INSURANCE - OTHER - OUTSIDE MANAGEMENT</v>
          </cell>
        </row>
        <row r="296">
          <cell r="A296">
            <v>9090730</v>
          </cell>
          <cell r="B296">
            <v>168025</v>
          </cell>
          <cell r="C296" t="str">
            <v>PREPAID TELECOM PIN</v>
          </cell>
        </row>
        <row r="297">
          <cell r="A297">
            <v>9090731</v>
          </cell>
          <cell r="B297">
            <v>168025</v>
          </cell>
          <cell r="C297" t="str">
            <v>PREPAID TELECOM PIN</v>
          </cell>
        </row>
        <row r="298">
          <cell r="A298">
            <v>9090999</v>
          </cell>
          <cell r="B298">
            <v>168025</v>
          </cell>
          <cell r="C298" t="str">
            <v>PREPAID TELECOM PIN</v>
          </cell>
        </row>
        <row r="299">
          <cell r="A299">
            <v>9100730</v>
          </cell>
          <cell r="B299">
            <v>168025</v>
          </cell>
          <cell r="C299" t="str">
            <v>PREPAID TELECOM PIN</v>
          </cell>
        </row>
        <row r="300">
          <cell r="A300">
            <v>9100731</v>
          </cell>
          <cell r="B300">
            <v>168025</v>
          </cell>
          <cell r="C300" t="str">
            <v>PREPAID TELECOM PIN</v>
          </cell>
        </row>
        <row r="301">
          <cell r="A301">
            <v>9100999</v>
          </cell>
          <cell r="B301">
            <v>168025</v>
          </cell>
          <cell r="C301" t="str">
            <v>PREPAID TELECOM PIN</v>
          </cell>
        </row>
        <row r="302">
          <cell r="A302">
            <v>9090730</v>
          </cell>
          <cell r="B302">
            <v>168026</v>
          </cell>
          <cell r="C302" t="str">
            <v>PREPAID TELECOM PIN - RETURNS</v>
          </cell>
        </row>
        <row r="303">
          <cell r="A303">
            <v>9090731</v>
          </cell>
          <cell r="B303">
            <v>168026</v>
          </cell>
          <cell r="C303" t="str">
            <v>PREPAID TELECOM PIN - RETURNS</v>
          </cell>
        </row>
        <row r="304">
          <cell r="A304">
            <v>9090999</v>
          </cell>
          <cell r="B304">
            <v>168026</v>
          </cell>
          <cell r="C304" t="str">
            <v>PREPAID TELECOM PIN - RETURNS</v>
          </cell>
        </row>
        <row r="305">
          <cell r="A305">
            <v>9100730</v>
          </cell>
          <cell r="B305">
            <v>168026</v>
          </cell>
          <cell r="C305" t="str">
            <v>PREPAID TELECOM PIN - RETURNS</v>
          </cell>
        </row>
        <row r="306">
          <cell r="A306">
            <v>9100731</v>
          </cell>
          <cell r="B306">
            <v>168026</v>
          </cell>
          <cell r="C306" t="str">
            <v>PREPAID TELECOM PIN - RETURNS</v>
          </cell>
        </row>
        <row r="307">
          <cell r="A307">
            <v>9100999</v>
          </cell>
          <cell r="B307">
            <v>168026</v>
          </cell>
          <cell r="C307" t="str">
            <v>PREPAID TELECOM PIN - RETURNS</v>
          </cell>
        </row>
        <row r="308">
          <cell r="A308">
            <v>9689999</v>
          </cell>
          <cell r="B308">
            <v>168585</v>
          </cell>
          <cell r="C308" t="str">
            <v>PEOPLE SOFT PAYROLL ADVANCE</v>
          </cell>
        </row>
        <row r="309">
          <cell r="A309">
            <v>9682999</v>
          </cell>
          <cell r="B309">
            <v>168625</v>
          </cell>
          <cell r="C309" t="str">
            <v>PREPAID PHONE CARDS</v>
          </cell>
        </row>
        <row r="310">
          <cell r="A310">
            <v>9080999</v>
          </cell>
          <cell r="B310">
            <v>168731</v>
          </cell>
          <cell r="C310" t="str">
            <v>PREPAID RENT- PROPERTY-OUTSIDE</v>
          </cell>
        </row>
        <row r="311">
          <cell r="A311">
            <v>9110999</v>
          </cell>
          <cell r="B311">
            <v>168731</v>
          </cell>
          <cell r="C311" t="str">
            <v>PREPAID RENT- PROPERTY-OUTSIDE</v>
          </cell>
        </row>
        <row r="312">
          <cell r="A312">
            <v>9689999</v>
          </cell>
          <cell r="B312">
            <v>168866</v>
          </cell>
          <cell r="C312" t="str">
            <v>PREPAID MONEY ORDERS</v>
          </cell>
        </row>
        <row r="313">
          <cell r="A313">
            <v>8001054179</v>
          </cell>
          <cell r="B313">
            <v>168990</v>
          </cell>
          <cell r="C313" t="str">
            <v>PREPAID EXPENSE - OTHER</v>
          </cell>
        </row>
        <row r="314">
          <cell r="A314">
            <v>8001059542</v>
          </cell>
          <cell r="B314">
            <v>168990</v>
          </cell>
          <cell r="C314" t="str">
            <v>PREPAID EXPENSE - OTHER</v>
          </cell>
        </row>
        <row r="315">
          <cell r="A315">
            <v>8010512510</v>
          </cell>
          <cell r="B315">
            <v>168990</v>
          </cell>
          <cell r="C315" t="str">
            <v>PREPAID EXPENSE - OTHER</v>
          </cell>
        </row>
        <row r="316">
          <cell r="A316">
            <v>9090999</v>
          </cell>
          <cell r="B316">
            <v>168990</v>
          </cell>
          <cell r="C316" t="str">
            <v>PREPAID EXPENSE - OTHER</v>
          </cell>
        </row>
        <row r="317">
          <cell r="A317">
            <v>9100999</v>
          </cell>
          <cell r="B317">
            <v>168990</v>
          </cell>
          <cell r="C317" t="str">
            <v>PREPAID EXPENSE - OTHER</v>
          </cell>
        </row>
        <row r="318">
          <cell r="A318">
            <v>9682999</v>
          </cell>
          <cell r="B318">
            <v>168990</v>
          </cell>
          <cell r="C318" t="str">
            <v>PREPAID EXPENSE - OTHER</v>
          </cell>
        </row>
        <row r="319">
          <cell r="A319">
            <v>9722709</v>
          </cell>
          <cell r="B319">
            <v>168990</v>
          </cell>
          <cell r="C319" t="str">
            <v>PREPAID EXPENSE - OTHER</v>
          </cell>
        </row>
        <row r="320">
          <cell r="A320">
            <v>9722713</v>
          </cell>
          <cell r="B320">
            <v>168990</v>
          </cell>
          <cell r="C320" t="str">
            <v>PREPAID EXPENSE - OTHER</v>
          </cell>
        </row>
        <row r="321">
          <cell r="A321">
            <v>9967681</v>
          </cell>
          <cell r="B321">
            <v>168990</v>
          </cell>
          <cell r="C321" t="str">
            <v>PREPAID EXPENSE - OTHER</v>
          </cell>
        </row>
        <row r="322">
          <cell r="A322">
            <v>9968681</v>
          </cell>
          <cell r="B322">
            <v>168990</v>
          </cell>
          <cell r="C322" t="str">
            <v>PREPAID EXPENSE - OTHER</v>
          </cell>
        </row>
        <row r="323">
          <cell r="A323">
            <v>9969681</v>
          </cell>
          <cell r="B323">
            <v>168990</v>
          </cell>
          <cell r="C323" t="str">
            <v>PREPAID EXPENSE - OTHER</v>
          </cell>
        </row>
        <row r="324">
          <cell r="A324">
            <v>9969901</v>
          </cell>
          <cell r="B324">
            <v>168990</v>
          </cell>
          <cell r="C324" t="str">
            <v>PREPAID EXPENSE - OTHER</v>
          </cell>
        </row>
        <row r="325">
          <cell r="A325" t="str">
            <v>ZONE-0105-POST</v>
          </cell>
          <cell r="B325">
            <v>168990</v>
          </cell>
          <cell r="C325" t="str">
            <v>PREPAID EXPENSE - OTHER</v>
          </cell>
        </row>
        <row r="326">
          <cell r="A326" t="str">
            <v>ZONE-0112-POST</v>
          </cell>
          <cell r="B326">
            <v>168990</v>
          </cell>
          <cell r="C326" t="str">
            <v>PREPAID EXPENSE - OTHER</v>
          </cell>
        </row>
        <row r="327">
          <cell r="A327">
            <v>9080700</v>
          </cell>
          <cell r="B327">
            <v>168999</v>
          </cell>
          <cell r="C327" t="str">
            <v>PPD EXP -OTHER -BY SECTION</v>
          </cell>
        </row>
        <row r="328">
          <cell r="A328">
            <v>9080701</v>
          </cell>
          <cell r="B328">
            <v>168999</v>
          </cell>
          <cell r="C328" t="str">
            <v>PPD EXP -OTHER -BY SECTION</v>
          </cell>
        </row>
        <row r="329">
          <cell r="A329">
            <v>9080702</v>
          </cell>
          <cell r="B329">
            <v>168999</v>
          </cell>
          <cell r="C329" t="str">
            <v>PPD EXP -OTHER -BY SECTION</v>
          </cell>
        </row>
        <row r="330">
          <cell r="A330">
            <v>9080705</v>
          </cell>
          <cell r="B330">
            <v>168999</v>
          </cell>
          <cell r="C330" t="str">
            <v>PPD EXP -OTHER -BY SECTION</v>
          </cell>
        </row>
        <row r="331">
          <cell r="A331">
            <v>9080707</v>
          </cell>
          <cell r="B331">
            <v>168999</v>
          </cell>
          <cell r="C331" t="str">
            <v>PPD EXP -OTHER -BY SECTION</v>
          </cell>
        </row>
        <row r="332">
          <cell r="A332">
            <v>9080710</v>
          </cell>
          <cell r="B332">
            <v>168999</v>
          </cell>
          <cell r="C332" t="str">
            <v>PPD EXP -OTHER -BY SECTION</v>
          </cell>
        </row>
        <row r="333">
          <cell r="A333">
            <v>9080999</v>
          </cell>
          <cell r="B333">
            <v>168999</v>
          </cell>
          <cell r="C333" t="str">
            <v>PPD EXP -OTHER -BY SECTION</v>
          </cell>
        </row>
        <row r="334">
          <cell r="A334">
            <v>9110700</v>
          </cell>
          <cell r="B334">
            <v>168999</v>
          </cell>
          <cell r="C334" t="str">
            <v>PPD EXP -OTHER -BY SECTION</v>
          </cell>
        </row>
        <row r="335">
          <cell r="A335">
            <v>9110702</v>
          </cell>
          <cell r="B335">
            <v>168999</v>
          </cell>
          <cell r="C335" t="str">
            <v>PPD EXP -OTHER -BY SECTION</v>
          </cell>
        </row>
        <row r="336">
          <cell r="A336">
            <v>9110705</v>
          </cell>
          <cell r="B336">
            <v>168999</v>
          </cell>
          <cell r="C336" t="str">
            <v>PPD EXP -OTHER -BY SECTION</v>
          </cell>
        </row>
        <row r="337">
          <cell r="A337">
            <v>9110707</v>
          </cell>
          <cell r="B337">
            <v>168999</v>
          </cell>
          <cell r="C337" t="str">
            <v>PPD EXP -OTHER -BY SECTION</v>
          </cell>
        </row>
        <row r="338">
          <cell r="A338">
            <v>9110999</v>
          </cell>
          <cell r="B338">
            <v>168999</v>
          </cell>
          <cell r="C338" t="str">
            <v>PPD EXP -OTHER -BY SECTION</v>
          </cell>
        </row>
        <row r="339">
          <cell r="A339">
            <v>9681700</v>
          </cell>
          <cell r="B339">
            <v>168999</v>
          </cell>
          <cell r="C339" t="str">
            <v>PPD EXP -OTHER -BY SECTION</v>
          </cell>
        </row>
        <row r="340">
          <cell r="A340">
            <v>9681701</v>
          </cell>
          <cell r="B340">
            <v>168999</v>
          </cell>
          <cell r="C340" t="str">
            <v>PPD EXP -OTHER -BY SECTION</v>
          </cell>
        </row>
        <row r="341">
          <cell r="A341">
            <v>9681702</v>
          </cell>
          <cell r="B341">
            <v>168999</v>
          </cell>
          <cell r="C341" t="str">
            <v>PPD EXP -OTHER -BY SECTION</v>
          </cell>
        </row>
        <row r="342">
          <cell r="A342">
            <v>9681705</v>
          </cell>
          <cell r="B342">
            <v>168999</v>
          </cell>
          <cell r="C342" t="str">
            <v>PPD EXP -OTHER -BY SECTION</v>
          </cell>
        </row>
        <row r="343">
          <cell r="A343">
            <v>9681706</v>
          </cell>
          <cell r="B343">
            <v>168999</v>
          </cell>
          <cell r="C343" t="str">
            <v>PPD EXP -OTHER -BY SECTION</v>
          </cell>
        </row>
        <row r="344">
          <cell r="A344">
            <v>9681707</v>
          </cell>
          <cell r="B344">
            <v>168999</v>
          </cell>
          <cell r="C344" t="str">
            <v>PPD EXP -OTHER -BY SECTION</v>
          </cell>
        </row>
        <row r="345">
          <cell r="A345">
            <v>9681712</v>
          </cell>
          <cell r="B345">
            <v>168999</v>
          </cell>
          <cell r="C345" t="str">
            <v>PPD EXP -OTHER -BY SECTION</v>
          </cell>
        </row>
        <row r="346">
          <cell r="A346">
            <v>9681727</v>
          </cell>
          <cell r="B346">
            <v>168999</v>
          </cell>
          <cell r="C346" t="str">
            <v>PPD EXP -OTHER -BY SECTION</v>
          </cell>
        </row>
        <row r="347">
          <cell r="A347">
            <v>9681749</v>
          </cell>
          <cell r="B347">
            <v>168999</v>
          </cell>
          <cell r="C347" t="str">
            <v>PPD EXP -OTHER -BY SECTION</v>
          </cell>
        </row>
        <row r="348">
          <cell r="A348">
            <v>9681999</v>
          </cell>
          <cell r="B348">
            <v>168999</v>
          </cell>
          <cell r="C348" t="str">
            <v>PPD EXP -OTHER -BY SECTION</v>
          </cell>
        </row>
        <row r="349">
          <cell r="A349">
            <v>9682715</v>
          </cell>
          <cell r="B349">
            <v>168999</v>
          </cell>
          <cell r="C349" t="str">
            <v>PPD EXP -OTHER -BY SECTION</v>
          </cell>
        </row>
        <row r="350">
          <cell r="A350">
            <v>9682722</v>
          </cell>
          <cell r="B350">
            <v>168999</v>
          </cell>
          <cell r="C350" t="str">
            <v>PPD EXP -OTHER -BY SECTION</v>
          </cell>
        </row>
        <row r="351">
          <cell r="A351">
            <v>9682999</v>
          </cell>
          <cell r="B351">
            <v>168999</v>
          </cell>
          <cell r="C351" t="str">
            <v>PPD EXP -OTHER -BY SECTION</v>
          </cell>
        </row>
        <row r="352">
          <cell r="A352">
            <v>9080999</v>
          </cell>
          <cell r="B352">
            <v>170150</v>
          </cell>
          <cell r="C352" t="str">
            <v>INVESTMENT IN SUBSIDIARIES</v>
          </cell>
        </row>
        <row r="353">
          <cell r="A353">
            <v>9090999</v>
          </cell>
          <cell r="B353">
            <v>170150</v>
          </cell>
          <cell r="C353" t="str">
            <v>INVESTMENT IN SUBSIDIARIES</v>
          </cell>
        </row>
        <row r="354">
          <cell r="A354">
            <v>9110999</v>
          </cell>
          <cell r="B354">
            <v>170150</v>
          </cell>
          <cell r="C354" t="str">
            <v>INVESTMENT IN SUBSIDIARIES</v>
          </cell>
        </row>
        <row r="355">
          <cell r="A355">
            <v>9120999</v>
          </cell>
          <cell r="B355">
            <v>170150</v>
          </cell>
          <cell r="C355" t="str">
            <v>INVESTMENT IN SUBSIDIARIES</v>
          </cell>
        </row>
        <row r="356">
          <cell r="A356">
            <v>9689999</v>
          </cell>
          <cell r="B356">
            <v>170150</v>
          </cell>
          <cell r="C356" t="str">
            <v>INVESTMENT IN SUBSIDIARIES</v>
          </cell>
        </row>
        <row r="357">
          <cell r="A357">
            <v>9966681</v>
          </cell>
          <cell r="B357">
            <v>170150</v>
          </cell>
          <cell r="C357" t="str">
            <v>INVESTMENT IN SUBSIDIARIES</v>
          </cell>
        </row>
        <row r="358">
          <cell r="A358">
            <v>9090999</v>
          </cell>
          <cell r="B358">
            <v>171163</v>
          </cell>
          <cell r="C358" t="str">
            <v>INVESTMENT IN ACQUISITION - GENERAL</v>
          </cell>
        </row>
        <row r="359">
          <cell r="A359">
            <v>9100999</v>
          </cell>
          <cell r="B359">
            <v>171163</v>
          </cell>
          <cell r="C359" t="str">
            <v>INVESTMENT IN ACQUISITION - GENERAL</v>
          </cell>
        </row>
        <row r="360">
          <cell r="A360">
            <v>9689883</v>
          </cell>
          <cell r="B360">
            <v>171163</v>
          </cell>
          <cell r="C360" t="str">
            <v>INVESTMENT IN ACQUISITION - GENERAL</v>
          </cell>
        </row>
        <row r="361">
          <cell r="A361">
            <v>9689999</v>
          </cell>
          <cell r="B361">
            <v>171163</v>
          </cell>
          <cell r="C361" t="str">
            <v>INVESTMENT IN ACQUISITION - GENERAL</v>
          </cell>
        </row>
        <row r="362">
          <cell r="A362">
            <v>9090999</v>
          </cell>
          <cell r="B362">
            <v>171200</v>
          </cell>
          <cell r="C362" t="str">
            <v>INVESTMENT - MISCELLANEOUS</v>
          </cell>
        </row>
        <row r="363">
          <cell r="A363">
            <v>9100999</v>
          </cell>
          <cell r="B363">
            <v>171200</v>
          </cell>
          <cell r="C363" t="str">
            <v>INVESTMENT - MISCELLANEOUS</v>
          </cell>
        </row>
        <row r="364">
          <cell r="A364">
            <v>9080999</v>
          </cell>
          <cell r="B364">
            <v>173100</v>
          </cell>
          <cell r="C364" t="str">
            <v>NOTES RECEIV.-INTER/INTRA CO.</v>
          </cell>
        </row>
        <row r="365">
          <cell r="A365">
            <v>9110999</v>
          </cell>
          <cell r="B365">
            <v>173100</v>
          </cell>
          <cell r="C365" t="str">
            <v>NOTES RECEIV.-INTER/INTRA CO.</v>
          </cell>
        </row>
        <row r="366">
          <cell r="A366">
            <v>9689999</v>
          </cell>
          <cell r="B366">
            <v>173100</v>
          </cell>
          <cell r="C366" t="str">
            <v>NOTES RECEIV.-INTER/INTRA CO.</v>
          </cell>
        </row>
        <row r="367">
          <cell r="A367">
            <v>9090999</v>
          </cell>
          <cell r="B367">
            <v>173300</v>
          </cell>
          <cell r="C367" t="str">
            <v>NOTES REC. - OTHER</v>
          </cell>
        </row>
        <row r="368">
          <cell r="A368">
            <v>9100999</v>
          </cell>
          <cell r="B368">
            <v>173300</v>
          </cell>
          <cell r="C368" t="str">
            <v>NOTES REC. - OTHER</v>
          </cell>
        </row>
        <row r="369">
          <cell r="A369">
            <v>9682999</v>
          </cell>
          <cell r="B369">
            <v>174152</v>
          </cell>
          <cell r="C369" t="str">
            <v>ACQUIRED DOMAIN NAMES</v>
          </cell>
        </row>
        <row r="370">
          <cell r="A370">
            <v>9682999</v>
          </cell>
          <cell r="B370">
            <v>174153</v>
          </cell>
          <cell r="C370" t="str">
            <v>AMORT - ACQUIRED DOMAIN NAMES</v>
          </cell>
        </row>
        <row r="371">
          <cell r="A371">
            <v>9090999</v>
          </cell>
          <cell r="B371">
            <v>180411</v>
          </cell>
          <cell r="C371" t="str">
            <v>BUILDINGS.</v>
          </cell>
        </row>
        <row r="372">
          <cell r="A372">
            <v>9100999</v>
          </cell>
          <cell r="B372">
            <v>180411</v>
          </cell>
          <cell r="C372" t="str">
            <v>BUILDINGS.</v>
          </cell>
        </row>
        <row r="373">
          <cell r="A373">
            <v>9680999</v>
          </cell>
          <cell r="B373">
            <v>180411</v>
          </cell>
          <cell r="C373" t="str">
            <v>BUILDINGS.</v>
          </cell>
        </row>
        <row r="374">
          <cell r="A374">
            <v>9090999</v>
          </cell>
          <cell r="B374">
            <v>180429</v>
          </cell>
          <cell r="C374" t="str">
            <v>LEASEHOLD IMPROVEMENTS</v>
          </cell>
        </row>
        <row r="375">
          <cell r="A375">
            <v>9100999</v>
          </cell>
          <cell r="B375">
            <v>180429</v>
          </cell>
          <cell r="C375" t="str">
            <v>LEASEHOLD IMPROVEMENTS</v>
          </cell>
        </row>
        <row r="376">
          <cell r="A376">
            <v>9689883</v>
          </cell>
          <cell r="B376">
            <v>180429</v>
          </cell>
          <cell r="C376" t="str">
            <v>LEASEHOLD IMPROVEMENTS</v>
          </cell>
        </row>
        <row r="377">
          <cell r="A377">
            <v>9689906</v>
          </cell>
          <cell r="B377">
            <v>180429</v>
          </cell>
          <cell r="C377" t="str">
            <v>LEASEHOLD IMPROVEMENTS</v>
          </cell>
        </row>
        <row r="378">
          <cell r="A378">
            <v>9689990</v>
          </cell>
          <cell r="B378">
            <v>180429</v>
          </cell>
          <cell r="C378" t="str">
            <v>LEASEHOLD IMPROVEMENTS</v>
          </cell>
        </row>
        <row r="379">
          <cell r="A379">
            <v>9689992</v>
          </cell>
          <cell r="B379">
            <v>180429</v>
          </cell>
          <cell r="C379" t="str">
            <v>LEASEHOLD IMPROVEMENTS</v>
          </cell>
        </row>
        <row r="380">
          <cell r="A380">
            <v>9090999</v>
          </cell>
          <cell r="B380">
            <v>180433</v>
          </cell>
          <cell r="C380" t="str">
            <v>CAPITAL LEASE 9-6-86 COST</v>
          </cell>
        </row>
        <row r="381">
          <cell r="A381">
            <v>9682999</v>
          </cell>
          <cell r="B381">
            <v>180466</v>
          </cell>
          <cell r="C381" t="str">
            <v>STORE EQUIPMENT</v>
          </cell>
        </row>
        <row r="382">
          <cell r="A382">
            <v>9689883</v>
          </cell>
          <cell r="B382">
            <v>180466</v>
          </cell>
          <cell r="C382" t="str">
            <v>STORE EQUIPMENT</v>
          </cell>
        </row>
        <row r="383">
          <cell r="A383">
            <v>9689906</v>
          </cell>
          <cell r="B383">
            <v>180466</v>
          </cell>
          <cell r="C383" t="str">
            <v>STORE EQUIPMENT</v>
          </cell>
        </row>
        <row r="384">
          <cell r="A384">
            <v>9689992</v>
          </cell>
          <cell r="B384">
            <v>180466</v>
          </cell>
          <cell r="C384" t="str">
            <v>STORE EQUIPMENT</v>
          </cell>
        </row>
        <row r="385">
          <cell r="A385">
            <v>9720703</v>
          </cell>
          <cell r="B385">
            <v>180466</v>
          </cell>
          <cell r="C385" t="str">
            <v>STORE EQUIPMENT</v>
          </cell>
        </row>
        <row r="386">
          <cell r="A386">
            <v>9724718</v>
          </cell>
          <cell r="B386">
            <v>180466</v>
          </cell>
          <cell r="C386" t="str">
            <v>STORE EQUIPMENT</v>
          </cell>
        </row>
        <row r="387">
          <cell r="A387">
            <v>9724721</v>
          </cell>
          <cell r="B387">
            <v>180466</v>
          </cell>
          <cell r="C387" t="str">
            <v>STORE EQUIPMENT</v>
          </cell>
        </row>
        <row r="388">
          <cell r="A388">
            <v>9724724</v>
          </cell>
          <cell r="B388">
            <v>180466</v>
          </cell>
          <cell r="C388" t="str">
            <v>STORE EQUIPMENT</v>
          </cell>
        </row>
        <row r="389">
          <cell r="A389">
            <v>9725703</v>
          </cell>
          <cell r="B389">
            <v>180466</v>
          </cell>
          <cell r="C389" t="str">
            <v>STORE EQUIPMENT</v>
          </cell>
        </row>
        <row r="390">
          <cell r="A390">
            <v>9725704</v>
          </cell>
          <cell r="B390">
            <v>180466</v>
          </cell>
          <cell r="C390" t="str">
            <v>STORE EQUIPMENT</v>
          </cell>
        </row>
        <row r="391">
          <cell r="A391">
            <v>9725711</v>
          </cell>
          <cell r="B391">
            <v>180466</v>
          </cell>
          <cell r="C391" t="str">
            <v>STORE EQUIPMENT</v>
          </cell>
        </row>
        <row r="392">
          <cell r="A392">
            <v>9725717</v>
          </cell>
          <cell r="B392">
            <v>180466</v>
          </cell>
          <cell r="C392" t="str">
            <v>STORE EQUIPMENT</v>
          </cell>
        </row>
        <row r="393">
          <cell r="A393">
            <v>9725725</v>
          </cell>
          <cell r="B393">
            <v>180466</v>
          </cell>
          <cell r="C393" t="str">
            <v>STORE EQUIPMENT</v>
          </cell>
        </row>
        <row r="394">
          <cell r="A394">
            <v>9080700</v>
          </cell>
          <cell r="B394">
            <v>180467</v>
          </cell>
          <cell r="C394" t="str">
            <v>OFFICE EQUIP</v>
          </cell>
        </row>
        <row r="395">
          <cell r="A395">
            <v>9080701</v>
          </cell>
          <cell r="B395">
            <v>180467</v>
          </cell>
          <cell r="C395" t="str">
            <v>OFFICE EQUIP</v>
          </cell>
        </row>
        <row r="396">
          <cell r="A396">
            <v>9080702</v>
          </cell>
          <cell r="B396">
            <v>180467</v>
          </cell>
          <cell r="C396" t="str">
            <v>OFFICE EQUIP</v>
          </cell>
        </row>
        <row r="397">
          <cell r="A397">
            <v>9080705</v>
          </cell>
          <cell r="B397">
            <v>180467</v>
          </cell>
          <cell r="C397" t="str">
            <v>OFFICE EQUIP</v>
          </cell>
        </row>
        <row r="398">
          <cell r="A398">
            <v>9080707</v>
          </cell>
          <cell r="B398">
            <v>180467</v>
          </cell>
          <cell r="C398" t="str">
            <v>OFFICE EQUIP</v>
          </cell>
        </row>
        <row r="399">
          <cell r="A399">
            <v>9080710</v>
          </cell>
          <cell r="B399">
            <v>180467</v>
          </cell>
          <cell r="C399" t="str">
            <v>OFFICE EQUIP</v>
          </cell>
        </row>
        <row r="400">
          <cell r="A400">
            <v>9080999</v>
          </cell>
          <cell r="B400">
            <v>180467</v>
          </cell>
          <cell r="C400" t="str">
            <v>OFFICE EQUIP</v>
          </cell>
        </row>
        <row r="401">
          <cell r="A401">
            <v>9090999</v>
          </cell>
          <cell r="B401">
            <v>180467</v>
          </cell>
          <cell r="C401" t="str">
            <v>OFFICE EQUIP</v>
          </cell>
        </row>
        <row r="402">
          <cell r="A402">
            <v>9100999</v>
          </cell>
          <cell r="B402">
            <v>180467</v>
          </cell>
          <cell r="C402" t="str">
            <v>OFFICE EQUIP</v>
          </cell>
        </row>
        <row r="403">
          <cell r="A403">
            <v>9110700</v>
          </cell>
          <cell r="B403">
            <v>180467</v>
          </cell>
          <cell r="C403" t="str">
            <v>OFFICE EQUIP</v>
          </cell>
        </row>
        <row r="404">
          <cell r="A404">
            <v>9110702</v>
          </cell>
          <cell r="B404">
            <v>180467</v>
          </cell>
          <cell r="C404" t="str">
            <v>OFFICE EQUIP</v>
          </cell>
        </row>
        <row r="405">
          <cell r="A405">
            <v>9110705</v>
          </cell>
          <cell r="B405">
            <v>180467</v>
          </cell>
          <cell r="C405" t="str">
            <v>OFFICE EQUIP</v>
          </cell>
        </row>
        <row r="406">
          <cell r="A406">
            <v>9110707</v>
          </cell>
          <cell r="B406">
            <v>180467</v>
          </cell>
          <cell r="C406" t="str">
            <v>OFFICE EQUIP</v>
          </cell>
        </row>
        <row r="407">
          <cell r="A407">
            <v>9110999</v>
          </cell>
          <cell r="B407">
            <v>180467</v>
          </cell>
          <cell r="C407" t="str">
            <v>OFFICE EQUIP</v>
          </cell>
        </row>
        <row r="408">
          <cell r="A408">
            <v>9680999</v>
          </cell>
          <cell r="B408">
            <v>180467</v>
          </cell>
          <cell r="C408" t="str">
            <v>OFFICE EQUIP</v>
          </cell>
        </row>
        <row r="409">
          <cell r="A409">
            <v>9681700</v>
          </cell>
          <cell r="B409">
            <v>180467</v>
          </cell>
          <cell r="C409" t="str">
            <v>OFFICE EQUIP</v>
          </cell>
        </row>
        <row r="410">
          <cell r="A410">
            <v>9681701</v>
          </cell>
          <cell r="B410">
            <v>180467</v>
          </cell>
          <cell r="C410" t="str">
            <v>OFFICE EQUIP</v>
          </cell>
        </row>
        <row r="411">
          <cell r="A411">
            <v>9681702</v>
          </cell>
          <cell r="B411">
            <v>180467</v>
          </cell>
          <cell r="C411" t="str">
            <v>OFFICE EQUIP</v>
          </cell>
        </row>
        <row r="412">
          <cell r="A412">
            <v>9681705</v>
          </cell>
          <cell r="B412">
            <v>180467</v>
          </cell>
          <cell r="C412" t="str">
            <v>OFFICE EQUIP</v>
          </cell>
        </row>
        <row r="413">
          <cell r="A413">
            <v>9681706</v>
          </cell>
          <cell r="B413">
            <v>180467</v>
          </cell>
          <cell r="C413" t="str">
            <v>OFFICE EQUIP</v>
          </cell>
        </row>
        <row r="414">
          <cell r="A414">
            <v>9681707</v>
          </cell>
          <cell r="B414">
            <v>180467</v>
          </cell>
          <cell r="C414" t="str">
            <v>OFFICE EQUIP</v>
          </cell>
        </row>
        <row r="415">
          <cell r="A415">
            <v>9681712</v>
          </cell>
          <cell r="B415">
            <v>180467</v>
          </cell>
          <cell r="C415" t="str">
            <v>OFFICE EQUIP</v>
          </cell>
        </row>
        <row r="416">
          <cell r="A416">
            <v>9681714</v>
          </cell>
          <cell r="B416">
            <v>180467</v>
          </cell>
          <cell r="C416" t="str">
            <v>OFFICE EQUIP</v>
          </cell>
        </row>
        <row r="417">
          <cell r="A417">
            <v>9681727</v>
          </cell>
          <cell r="B417">
            <v>180467</v>
          </cell>
          <cell r="C417" t="str">
            <v>OFFICE EQUIP</v>
          </cell>
        </row>
        <row r="418">
          <cell r="A418">
            <v>9681749</v>
          </cell>
          <cell r="B418">
            <v>180467</v>
          </cell>
          <cell r="C418" t="str">
            <v>OFFICE EQUIP</v>
          </cell>
        </row>
        <row r="419">
          <cell r="A419">
            <v>9681999</v>
          </cell>
          <cell r="B419">
            <v>180467</v>
          </cell>
          <cell r="C419" t="str">
            <v>OFFICE EQUIP</v>
          </cell>
        </row>
        <row r="420">
          <cell r="A420">
            <v>9682715</v>
          </cell>
          <cell r="B420">
            <v>180467</v>
          </cell>
          <cell r="C420" t="str">
            <v>OFFICE EQUIP</v>
          </cell>
        </row>
        <row r="421">
          <cell r="A421">
            <v>9682722</v>
          </cell>
          <cell r="B421">
            <v>180467</v>
          </cell>
          <cell r="C421" t="str">
            <v>OFFICE EQUIP</v>
          </cell>
        </row>
        <row r="422">
          <cell r="A422">
            <v>9682999</v>
          </cell>
          <cell r="B422">
            <v>180467</v>
          </cell>
          <cell r="C422" t="str">
            <v>OFFICE EQUIP</v>
          </cell>
        </row>
        <row r="423">
          <cell r="A423">
            <v>9689883</v>
          </cell>
          <cell r="B423">
            <v>180467</v>
          </cell>
          <cell r="C423" t="str">
            <v>OFFICE EQUIP</v>
          </cell>
        </row>
        <row r="424">
          <cell r="A424">
            <v>9689906</v>
          </cell>
          <cell r="B424">
            <v>180467</v>
          </cell>
          <cell r="C424" t="str">
            <v>OFFICE EQUIP</v>
          </cell>
        </row>
        <row r="425">
          <cell r="A425">
            <v>9689991</v>
          </cell>
          <cell r="B425">
            <v>180467</v>
          </cell>
          <cell r="C425" t="str">
            <v>OFFICE EQUIP</v>
          </cell>
        </row>
        <row r="426">
          <cell r="A426">
            <v>9689992</v>
          </cell>
          <cell r="B426">
            <v>180467</v>
          </cell>
          <cell r="C426" t="str">
            <v>OFFICE EQUIP</v>
          </cell>
        </row>
        <row r="427">
          <cell r="A427">
            <v>9689993</v>
          </cell>
          <cell r="B427">
            <v>180467</v>
          </cell>
          <cell r="C427" t="str">
            <v>OFFICE EQUIP</v>
          </cell>
        </row>
        <row r="428">
          <cell r="A428">
            <v>9689994</v>
          </cell>
          <cell r="B428">
            <v>180467</v>
          </cell>
          <cell r="C428" t="str">
            <v>OFFICE EQUIP</v>
          </cell>
        </row>
        <row r="429">
          <cell r="A429">
            <v>9689999</v>
          </cell>
          <cell r="B429">
            <v>180467</v>
          </cell>
          <cell r="C429" t="str">
            <v>OFFICE EQUIP</v>
          </cell>
        </row>
        <row r="430">
          <cell r="A430">
            <v>9090999</v>
          </cell>
          <cell r="B430">
            <v>180480</v>
          </cell>
          <cell r="C430" t="str">
            <v>CAP LEASES</v>
          </cell>
        </row>
        <row r="431">
          <cell r="A431">
            <v>9100999</v>
          </cell>
          <cell r="B431">
            <v>180480</v>
          </cell>
          <cell r="C431" t="str">
            <v>CAP LEASES</v>
          </cell>
        </row>
        <row r="432">
          <cell r="A432">
            <v>9090999</v>
          </cell>
          <cell r="B432">
            <v>180629</v>
          </cell>
          <cell r="C432" t="str">
            <v>LEASE IMPROV - WRITE-UP</v>
          </cell>
        </row>
        <row r="433">
          <cell r="A433">
            <v>9100999</v>
          </cell>
          <cell r="B433">
            <v>180629</v>
          </cell>
          <cell r="C433" t="str">
            <v>LEASE IMPROV - WRITE-UP</v>
          </cell>
        </row>
        <row r="434">
          <cell r="A434">
            <v>9680700</v>
          </cell>
          <cell r="B434">
            <v>180629</v>
          </cell>
          <cell r="C434" t="str">
            <v>LEASE IMPROV - WRITE-UP</v>
          </cell>
        </row>
        <row r="435">
          <cell r="A435">
            <v>9680701</v>
          </cell>
          <cell r="B435">
            <v>180629</v>
          </cell>
          <cell r="C435" t="str">
            <v>LEASE IMPROV - WRITE-UP</v>
          </cell>
        </row>
        <row r="436">
          <cell r="A436">
            <v>9680702</v>
          </cell>
          <cell r="B436">
            <v>180629</v>
          </cell>
          <cell r="C436" t="str">
            <v>LEASE IMPROV - WRITE-UP</v>
          </cell>
        </row>
        <row r="437">
          <cell r="A437">
            <v>9680705</v>
          </cell>
          <cell r="B437">
            <v>180629</v>
          </cell>
          <cell r="C437" t="str">
            <v>LEASE IMPROV - WRITE-UP</v>
          </cell>
        </row>
        <row r="438">
          <cell r="A438">
            <v>9680707</v>
          </cell>
          <cell r="B438">
            <v>180629</v>
          </cell>
          <cell r="C438" t="str">
            <v>LEASE IMPROV - WRITE-UP</v>
          </cell>
        </row>
        <row r="439">
          <cell r="A439">
            <v>9680710</v>
          </cell>
          <cell r="B439">
            <v>180629</v>
          </cell>
          <cell r="C439" t="str">
            <v>LEASE IMPROV - WRITE-UP</v>
          </cell>
        </row>
        <row r="440">
          <cell r="A440">
            <v>9680712</v>
          </cell>
          <cell r="B440">
            <v>180629</v>
          </cell>
          <cell r="C440" t="str">
            <v>LEASE IMPROV - WRITE-UP</v>
          </cell>
        </row>
        <row r="441">
          <cell r="A441">
            <v>9680714</v>
          </cell>
          <cell r="B441">
            <v>180629</v>
          </cell>
          <cell r="C441" t="str">
            <v>LEASE IMPROV - WRITE-UP</v>
          </cell>
        </row>
        <row r="442">
          <cell r="A442">
            <v>9680734</v>
          </cell>
          <cell r="B442">
            <v>180629</v>
          </cell>
          <cell r="C442" t="str">
            <v>LEASE IMPROV - WRITE-UP</v>
          </cell>
        </row>
        <row r="443">
          <cell r="A443">
            <v>9680748</v>
          </cell>
          <cell r="B443">
            <v>180629</v>
          </cell>
          <cell r="C443" t="str">
            <v>LEASE IMPROV - WRITE-UP</v>
          </cell>
        </row>
        <row r="444">
          <cell r="A444">
            <v>9680749</v>
          </cell>
          <cell r="B444">
            <v>180629</v>
          </cell>
          <cell r="C444" t="str">
            <v>LEASE IMPROV - WRITE-UP</v>
          </cell>
        </row>
        <row r="445">
          <cell r="A445">
            <v>9680894</v>
          </cell>
          <cell r="B445">
            <v>180629</v>
          </cell>
          <cell r="C445" t="str">
            <v>LEASE IMPROV - WRITE-UP</v>
          </cell>
        </row>
        <row r="446">
          <cell r="A446">
            <v>9680999</v>
          </cell>
          <cell r="B446">
            <v>180629</v>
          </cell>
          <cell r="C446" t="str">
            <v>LEASE IMPROV - WRITE-UP</v>
          </cell>
        </row>
        <row r="447">
          <cell r="A447">
            <v>9681710</v>
          </cell>
          <cell r="B447">
            <v>180629</v>
          </cell>
          <cell r="C447" t="str">
            <v>LEASE IMPROV - WRITE-UP</v>
          </cell>
        </row>
        <row r="448">
          <cell r="A448">
            <v>9681734</v>
          </cell>
          <cell r="B448">
            <v>180629</v>
          </cell>
          <cell r="C448" t="str">
            <v>LEASE IMPROV - WRITE-UP</v>
          </cell>
        </row>
        <row r="449">
          <cell r="A449">
            <v>9681748</v>
          </cell>
          <cell r="B449">
            <v>180629</v>
          </cell>
          <cell r="C449" t="str">
            <v>LEASE IMPROV - WRITE-UP</v>
          </cell>
        </row>
        <row r="450">
          <cell r="A450">
            <v>9681894</v>
          </cell>
          <cell r="B450">
            <v>180629</v>
          </cell>
          <cell r="C450" t="str">
            <v>LEASE IMPROV - WRITE-UP</v>
          </cell>
        </row>
        <row r="451">
          <cell r="A451">
            <v>9684999</v>
          </cell>
          <cell r="B451">
            <v>180629</v>
          </cell>
          <cell r="C451" t="str">
            <v>LEASE IMPROV - WRITE-UP</v>
          </cell>
        </row>
        <row r="452">
          <cell r="A452">
            <v>9689883</v>
          </cell>
          <cell r="B452">
            <v>180629</v>
          </cell>
          <cell r="C452" t="str">
            <v>LEASE IMPROV - WRITE-UP</v>
          </cell>
        </row>
        <row r="453">
          <cell r="A453">
            <v>9689906</v>
          </cell>
          <cell r="B453">
            <v>180629</v>
          </cell>
          <cell r="C453" t="str">
            <v>LEASE IMPROV - WRITE-UP</v>
          </cell>
        </row>
        <row r="454">
          <cell r="A454">
            <v>9689992</v>
          </cell>
          <cell r="B454">
            <v>180629</v>
          </cell>
          <cell r="C454" t="str">
            <v>LEASE IMPROV - WRITE-UP</v>
          </cell>
        </row>
        <row r="455">
          <cell r="A455">
            <v>9090999</v>
          </cell>
          <cell r="B455">
            <v>181511</v>
          </cell>
          <cell r="C455" t="str">
            <v>RESERVE FOR DEPREC - BUILDINGS</v>
          </cell>
        </row>
        <row r="456">
          <cell r="A456">
            <v>9100999</v>
          </cell>
          <cell r="B456">
            <v>181511</v>
          </cell>
          <cell r="C456" t="str">
            <v>RESERVE FOR DEPREC - BUILDINGS</v>
          </cell>
        </row>
        <row r="457">
          <cell r="A457">
            <v>9680999</v>
          </cell>
          <cell r="B457">
            <v>181511</v>
          </cell>
          <cell r="C457" t="str">
            <v>RESERVE FOR DEPREC - BUILDINGS</v>
          </cell>
        </row>
        <row r="458">
          <cell r="A458">
            <v>9090999</v>
          </cell>
          <cell r="B458">
            <v>181529</v>
          </cell>
          <cell r="C458" t="str">
            <v>RESERVE FOR AMORT-LEASE IMPROV</v>
          </cell>
        </row>
        <row r="459">
          <cell r="A459">
            <v>9100999</v>
          </cell>
          <cell r="B459">
            <v>181529</v>
          </cell>
          <cell r="C459" t="str">
            <v>RESERVE FOR AMORT-LEASE IMPROV</v>
          </cell>
        </row>
        <row r="460">
          <cell r="A460">
            <v>9689883</v>
          </cell>
          <cell r="B460">
            <v>181529</v>
          </cell>
          <cell r="C460" t="str">
            <v>RESERVE FOR AMORT-LEASE IMPROV</v>
          </cell>
        </row>
        <row r="461">
          <cell r="A461">
            <v>9689906</v>
          </cell>
          <cell r="B461">
            <v>181529</v>
          </cell>
          <cell r="C461" t="str">
            <v>RESERVE FOR AMORT-LEASE IMPROV</v>
          </cell>
        </row>
        <row r="462">
          <cell r="A462">
            <v>9689990</v>
          </cell>
          <cell r="B462">
            <v>181529</v>
          </cell>
          <cell r="C462" t="str">
            <v>RESERVE FOR AMORT-LEASE IMPROV</v>
          </cell>
        </row>
        <row r="463">
          <cell r="A463">
            <v>9689992</v>
          </cell>
          <cell r="B463">
            <v>181529</v>
          </cell>
          <cell r="C463" t="str">
            <v>RESERVE FOR AMORT-LEASE IMPROV</v>
          </cell>
        </row>
        <row r="464">
          <cell r="A464">
            <v>9090999</v>
          </cell>
          <cell r="B464">
            <v>181533</v>
          </cell>
          <cell r="C464" t="str">
            <v>CAPITAL LEASE 9-6-86 ACCUM</v>
          </cell>
        </row>
        <row r="465">
          <cell r="A465">
            <v>9682999</v>
          </cell>
          <cell r="B465">
            <v>181566</v>
          </cell>
          <cell r="C465" t="str">
            <v>RESERVE FOR DEPREC-STORE EQUIP</v>
          </cell>
        </row>
        <row r="466">
          <cell r="A466">
            <v>9689883</v>
          </cell>
          <cell r="B466">
            <v>181566</v>
          </cell>
          <cell r="C466" t="str">
            <v>RESERVE FOR DEPREC-STORE EQUIP</v>
          </cell>
        </row>
        <row r="467">
          <cell r="A467">
            <v>9689906</v>
          </cell>
          <cell r="B467">
            <v>181566</v>
          </cell>
          <cell r="C467" t="str">
            <v>RESERVE FOR DEPREC-STORE EQUIP</v>
          </cell>
        </row>
        <row r="468">
          <cell r="A468">
            <v>9689992</v>
          </cell>
          <cell r="B468">
            <v>181566</v>
          </cell>
          <cell r="C468" t="str">
            <v>RESERVE FOR DEPREC-STORE EQUIP</v>
          </cell>
        </row>
        <row r="469">
          <cell r="A469">
            <v>9720703</v>
          </cell>
          <cell r="B469">
            <v>181566</v>
          </cell>
          <cell r="C469" t="str">
            <v>RESERVE FOR DEPREC-STORE EQUIP</v>
          </cell>
        </row>
        <row r="470">
          <cell r="A470">
            <v>9724718</v>
          </cell>
          <cell r="B470">
            <v>181566</v>
          </cell>
          <cell r="C470" t="str">
            <v>RESERVE FOR DEPREC-STORE EQUIP</v>
          </cell>
        </row>
        <row r="471">
          <cell r="A471">
            <v>9724721</v>
          </cell>
          <cell r="B471">
            <v>181566</v>
          </cell>
          <cell r="C471" t="str">
            <v>RESERVE FOR DEPREC-STORE EQUIP</v>
          </cell>
        </row>
        <row r="472">
          <cell r="A472">
            <v>9724724</v>
          </cell>
          <cell r="B472">
            <v>181566</v>
          </cell>
          <cell r="C472" t="str">
            <v>RESERVE FOR DEPREC-STORE EQUIP</v>
          </cell>
        </row>
        <row r="473">
          <cell r="A473">
            <v>9725703</v>
          </cell>
          <cell r="B473">
            <v>181566</v>
          </cell>
          <cell r="C473" t="str">
            <v>RESERVE FOR DEPREC-STORE EQUIP</v>
          </cell>
        </row>
        <row r="474">
          <cell r="A474">
            <v>9725704</v>
          </cell>
          <cell r="B474">
            <v>181566</v>
          </cell>
          <cell r="C474" t="str">
            <v>RESERVE FOR DEPREC-STORE EQUIP</v>
          </cell>
        </row>
        <row r="475">
          <cell r="A475">
            <v>9725711</v>
          </cell>
          <cell r="B475">
            <v>181566</v>
          </cell>
          <cell r="C475" t="str">
            <v>RESERVE FOR DEPREC-STORE EQUIP</v>
          </cell>
        </row>
        <row r="476">
          <cell r="A476">
            <v>9725717</v>
          </cell>
          <cell r="B476">
            <v>181566</v>
          </cell>
          <cell r="C476" t="str">
            <v>RESERVE FOR DEPREC-STORE EQUIP</v>
          </cell>
        </row>
        <row r="477">
          <cell r="A477">
            <v>9725725</v>
          </cell>
          <cell r="B477">
            <v>181566</v>
          </cell>
          <cell r="C477" t="str">
            <v>RESERVE FOR DEPREC-STORE EQUIP</v>
          </cell>
        </row>
        <row r="478">
          <cell r="A478">
            <v>9080700</v>
          </cell>
          <cell r="B478">
            <v>181567</v>
          </cell>
          <cell r="C478" t="str">
            <v>RESERVE FOR DEPREC-OFFICE EQUI</v>
          </cell>
        </row>
        <row r="479">
          <cell r="A479">
            <v>9080701</v>
          </cell>
          <cell r="B479">
            <v>181567</v>
          </cell>
          <cell r="C479" t="str">
            <v>RESERVE FOR DEPREC-OFFICE EQUI</v>
          </cell>
        </row>
        <row r="480">
          <cell r="A480">
            <v>9080702</v>
          </cell>
          <cell r="B480">
            <v>181567</v>
          </cell>
          <cell r="C480" t="str">
            <v>RESERVE FOR DEPREC-OFFICE EQUI</v>
          </cell>
        </row>
        <row r="481">
          <cell r="A481">
            <v>9080705</v>
          </cell>
          <cell r="B481">
            <v>181567</v>
          </cell>
          <cell r="C481" t="str">
            <v>RESERVE FOR DEPREC-OFFICE EQUI</v>
          </cell>
        </row>
        <row r="482">
          <cell r="A482">
            <v>9080707</v>
          </cell>
          <cell r="B482">
            <v>181567</v>
          </cell>
          <cell r="C482" t="str">
            <v>RESERVE FOR DEPREC-OFFICE EQUI</v>
          </cell>
        </row>
        <row r="483">
          <cell r="A483">
            <v>9080710</v>
          </cell>
          <cell r="B483">
            <v>181567</v>
          </cell>
          <cell r="C483" t="str">
            <v>RESERVE FOR DEPREC-OFFICE EQUI</v>
          </cell>
        </row>
        <row r="484">
          <cell r="A484">
            <v>9080999</v>
          </cell>
          <cell r="B484">
            <v>181567</v>
          </cell>
          <cell r="C484" t="str">
            <v>RESERVE FOR DEPREC-OFFICE EQUI</v>
          </cell>
        </row>
        <row r="485">
          <cell r="A485">
            <v>9090999</v>
          </cell>
          <cell r="B485">
            <v>181567</v>
          </cell>
          <cell r="C485" t="str">
            <v>RESERVE FOR DEPREC-OFFICE EQUI</v>
          </cell>
        </row>
        <row r="486">
          <cell r="A486">
            <v>9100999</v>
          </cell>
          <cell r="B486">
            <v>181567</v>
          </cell>
          <cell r="C486" t="str">
            <v>RESERVE FOR DEPREC-OFFICE EQUI</v>
          </cell>
        </row>
        <row r="487">
          <cell r="A487">
            <v>9110700</v>
          </cell>
          <cell r="B487">
            <v>181567</v>
          </cell>
          <cell r="C487" t="str">
            <v>RESERVE FOR DEPREC-OFFICE EQUI</v>
          </cell>
        </row>
        <row r="488">
          <cell r="A488">
            <v>9110702</v>
          </cell>
          <cell r="B488">
            <v>181567</v>
          </cell>
          <cell r="C488" t="str">
            <v>RESERVE FOR DEPREC-OFFICE EQUI</v>
          </cell>
        </row>
        <row r="489">
          <cell r="A489">
            <v>9110705</v>
          </cell>
          <cell r="B489">
            <v>181567</v>
          </cell>
          <cell r="C489" t="str">
            <v>RESERVE FOR DEPREC-OFFICE EQUI</v>
          </cell>
        </row>
        <row r="490">
          <cell r="A490">
            <v>9110707</v>
          </cell>
          <cell r="B490">
            <v>181567</v>
          </cell>
          <cell r="C490" t="str">
            <v>RESERVE FOR DEPREC-OFFICE EQUI</v>
          </cell>
        </row>
        <row r="491">
          <cell r="A491">
            <v>9110999</v>
          </cell>
          <cell r="B491">
            <v>181567</v>
          </cell>
          <cell r="C491" t="str">
            <v>RESERVE FOR DEPREC-OFFICE EQUI</v>
          </cell>
        </row>
        <row r="492">
          <cell r="A492">
            <v>9680999</v>
          </cell>
          <cell r="B492">
            <v>181567</v>
          </cell>
          <cell r="C492" t="str">
            <v>RESERVE FOR DEPREC-OFFICE EQUI</v>
          </cell>
        </row>
        <row r="493">
          <cell r="A493">
            <v>9681700</v>
          </cell>
          <cell r="B493">
            <v>181567</v>
          </cell>
          <cell r="C493" t="str">
            <v>RESERVE FOR DEPREC-OFFICE EQUI</v>
          </cell>
        </row>
        <row r="494">
          <cell r="A494">
            <v>9681701</v>
          </cell>
          <cell r="B494">
            <v>181567</v>
          </cell>
          <cell r="C494" t="str">
            <v>RESERVE FOR DEPREC-OFFICE EQUI</v>
          </cell>
        </row>
        <row r="495">
          <cell r="A495">
            <v>9681702</v>
          </cell>
          <cell r="B495">
            <v>181567</v>
          </cell>
          <cell r="C495" t="str">
            <v>RESERVE FOR DEPREC-OFFICE EQUI</v>
          </cell>
        </row>
        <row r="496">
          <cell r="A496">
            <v>9681705</v>
          </cell>
          <cell r="B496">
            <v>181567</v>
          </cell>
          <cell r="C496" t="str">
            <v>RESERVE FOR DEPREC-OFFICE EQUI</v>
          </cell>
        </row>
        <row r="497">
          <cell r="A497">
            <v>9681706</v>
          </cell>
          <cell r="B497">
            <v>181567</v>
          </cell>
          <cell r="C497" t="str">
            <v>RESERVE FOR DEPREC-OFFICE EQUI</v>
          </cell>
        </row>
        <row r="498">
          <cell r="A498">
            <v>9681707</v>
          </cell>
          <cell r="B498">
            <v>181567</v>
          </cell>
          <cell r="C498" t="str">
            <v>RESERVE FOR DEPREC-OFFICE EQUI</v>
          </cell>
        </row>
        <row r="499">
          <cell r="A499">
            <v>9681712</v>
          </cell>
          <cell r="B499">
            <v>181567</v>
          </cell>
          <cell r="C499" t="str">
            <v>RESERVE FOR DEPREC-OFFICE EQUI</v>
          </cell>
        </row>
        <row r="500">
          <cell r="A500">
            <v>9681714</v>
          </cell>
          <cell r="B500">
            <v>181567</v>
          </cell>
          <cell r="C500" t="str">
            <v>RESERVE FOR DEPREC-OFFICE EQUI</v>
          </cell>
        </row>
        <row r="501">
          <cell r="A501">
            <v>9681727</v>
          </cell>
          <cell r="B501">
            <v>181567</v>
          </cell>
          <cell r="C501" t="str">
            <v>RESERVE FOR DEPREC-OFFICE EQUI</v>
          </cell>
        </row>
        <row r="502">
          <cell r="A502">
            <v>9681749</v>
          </cell>
          <cell r="B502">
            <v>181567</v>
          </cell>
          <cell r="C502" t="str">
            <v>RESERVE FOR DEPREC-OFFICE EQUI</v>
          </cell>
        </row>
        <row r="503">
          <cell r="A503">
            <v>9681999</v>
          </cell>
          <cell r="B503">
            <v>181567</v>
          </cell>
          <cell r="C503" t="str">
            <v>RESERVE FOR DEPREC-OFFICE EQUI</v>
          </cell>
        </row>
        <row r="504">
          <cell r="A504">
            <v>9682715</v>
          </cell>
          <cell r="B504">
            <v>181567</v>
          </cell>
          <cell r="C504" t="str">
            <v>RESERVE FOR DEPREC-OFFICE EQUI</v>
          </cell>
        </row>
        <row r="505">
          <cell r="A505">
            <v>9682722</v>
          </cell>
          <cell r="B505">
            <v>181567</v>
          </cell>
          <cell r="C505" t="str">
            <v>RESERVE FOR DEPREC-OFFICE EQUI</v>
          </cell>
        </row>
        <row r="506">
          <cell r="A506">
            <v>9682999</v>
          </cell>
          <cell r="B506">
            <v>181567</v>
          </cell>
          <cell r="C506" t="str">
            <v>RESERVE FOR DEPREC-OFFICE EQUI</v>
          </cell>
        </row>
        <row r="507">
          <cell r="A507">
            <v>9689883</v>
          </cell>
          <cell r="B507">
            <v>181567</v>
          </cell>
          <cell r="C507" t="str">
            <v>RESERVE FOR DEPREC-OFFICE EQUI</v>
          </cell>
        </row>
        <row r="508">
          <cell r="A508">
            <v>9689906</v>
          </cell>
          <cell r="B508">
            <v>181567</v>
          </cell>
          <cell r="C508" t="str">
            <v>RESERVE FOR DEPREC-OFFICE EQUI</v>
          </cell>
        </row>
        <row r="509">
          <cell r="A509">
            <v>9689991</v>
          </cell>
          <cell r="B509">
            <v>181567</v>
          </cell>
          <cell r="C509" t="str">
            <v>RESERVE FOR DEPREC-OFFICE EQUI</v>
          </cell>
        </row>
        <row r="510">
          <cell r="A510">
            <v>9689992</v>
          </cell>
          <cell r="B510">
            <v>181567</v>
          </cell>
          <cell r="C510" t="str">
            <v>RESERVE FOR DEPREC-OFFICE EQUI</v>
          </cell>
        </row>
        <row r="511">
          <cell r="A511">
            <v>9689993</v>
          </cell>
          <cell r="B511">
            <v>181567</v>
          </cell>
          <cell r="C511" t="str">
            <v>RESERVE FOR DEPREC-OFFICE EQUI</v>
          </cell>
        </row>
        <row r="512">
          <cell r="A512">
            <v>9689994</v>
          </cell>
          <cell r="B512">
            <v>181567</v>
          </cell>
          <cell r="C512" t="str">
            <v>RESERVE FOR DEPREC-OFFICE EQUI</v>
          </cell>
        </row>
        <row r="513">
          <cell r="A513">
            <v>9689999</v>
          </cell>
          <cell r="B513">
            <v>181567</v>
          </cell>
          <cell r="C513" t="str">
            <v>RESERVE FOR DEPREC-OFFICE EQUI</v>
          </cell>
        </row>
        <row r="514">
          <cell r="A514">
            <v>9090999</v>
          </cell>
          <cell r="B514">
            <v>181580</v>
          </cell>
          <cell r="C514" t="str">
            <v>RESERVE FOR AMORT-CAPITAL LEAS</v>
          </cell>
        </row>
        <row r="515">
          <cell r="A515">
            <v>9100999</v>
          </cell>
          <cell r="B515">
            <v>181580</v>
          </cell>
          <cell r="C515" t="str">
            <v>RESERVE FOR AMORT-CAPITAL LEAS</v>
          </cell>
        </row>
        <row r="516">
          <cell r="A516">
            <v>9090999</v>
          </cell>
          <cell r="B516">
            <v>181729</v>
          </cell>
          <cell r="C516" t="str">
            <v>RES FOR AMORT-LEASE IMPR-WRITE</v>
          </cell>
        </row>
        <row r="517">
          <cell r="A517">
            <v>9100999</v>
          </cell>
          <cell r="B517">
            <v>181729</v>
          </cell>
          <cell r="C517" t="str">
            <v>RES FOR AMORT-LEASE IMPR-WRITE</v>
          </cell>
        </row>
        <row r="518">
          <cell r="A518">
            <v>9680700</v>
          </cell>
          <cell r="B518">
            <v>181729</v>
          </cell>
          <cell r="C518" t="str">
            <v>RES FOR AMORT-LEASE IMPR-WRITE</v>
          </cell>
        </row>
        <row r="519">
          <cell r="A519">
            <v>9680701</v>
          </cell>
          <cell r="B519">
            <v>181729</v>
          </cell>
          <cell r="C519" t="str">
            <v>RES FOR AMORT-LEASE IMPR-WRITE</v>
          </cell>
        </row>
        <row r="520">
          <cell r="A520">
            <v>9680702</v>
          </cell>
          <cell r="B520">
            <v>181729</v>
          </cell>
          <cell r="C520" t="str">
            <v>RES FOR AMORT-LEASE IMPR-WRITE</v>
          </cell>
        </row>
        <row r="521">
          <cell r="A521">
            <v>9680705</v>
          </cell>
          <cell r="B521">
            <v>181729</v>
          </cell>
          <cell r="C521" t="str">
            <v>RES FOR AMORT-LEASE IMPR-WRITE</v>
          </cell>
        </row>
        <row r="522">
          <cell r="A522">
            <v>9680707</v>
          </cell>
          <cell r="B522">
            <v>181729</v>
          </cell>
          <cell r="C522" t="str">
            <v>RES FOR AMORT-LEASE IMPR-WRITE</v>
          </cell>
        </row>
        <row r="523">
          <cell r="A523">
            <v>9680710</v>
          </cell>
          <cell r="B523">
            <v>181729</v>
          </cell>
          <cell r="C523" t="str">
            <v>RES FOR AMORT-LEASE IMPR-WRITE</v>
          </cell>
        </row>
        <row r="524">
          <cell r="A524">
            <v>9680712</v>
          </cell>
          <cell r="B524">
            <v>181729</v>
          </cell>
          <cell r="C524" t="str">
            <v>RES FOR AMORT-LEASE IMPR-WRITE</v>
          </cell>
        </row>
        <row r="525">
          <cell r="A525">
            <v>9680714</v>
          </cell>
          <cell r="B525">
            <v>181729</v>
          </cell>
          <cell r="C525" t="str">
            <v>RES FOR AMORT-LEASE IMPR-WRITE</v>
          </cell>
        </row>
        <row r="526">
          <cell r="A526">
            <v>9680734</v>
          </cell>
          <cell r="B526">
            <v>181729</v>
          </cell>
          <cell r="C526" t="str">
            <v>RES FOR AMORT-LEASE IMPR-WRITE</v>
          </cell>
        </row>
        <row r="527">
          <cell r="A527">
            <v>9680748</v>
          </cell>
          <cell r="B527">
            <v>181729</v>
          </cell>
          <cell r="C527" t="str">
            <v>RES FOR AMORT-LEASE IMPR-WRITE</v>
          </cell>
        </row>
        <row r="528">
          <cell r="A528">
            <v>9680749</v>
          </cell>
          <cell r="B528">
            <v>181729</v>
          </cell>
          <cell r="C528" t="str">
            <v>RES FOR AMORT-LEASE IMPR-WRITE</v>
          </cell>
        </row>
        <row r="529">
          <cell r="A529">
            <v>9680894</v>
          </cell>
          <cell r="B529">
            <v>181729</v>
          </cell>
          <cell r="C529" t="str">
            <v>RES FOR AMORT-LEASE IMPR-WRITE</v>
          </cell>
        </row>
        <row r="530">
          <cell r="A530">
            <v>9680999</v>
          </cell>
          <cell r="B530">
            <v>181729</v>
          </cell>
          <cell r="C530" t="str">
            <v>RES FOR AMORT-LEASE IMPR-WRITE</v>
          </cell>
        </row>
        <row r="531">
          <cell r="A531">
            <v>9681710</v>
          </cell>
          <cell r="B531">
            <v>181729</v>
          </cell>
          <cell r="C531" t="str">
            <v>RES FOR AMORT-LEASE IMPR-WRITE</v>
          </cell>
        </row>
        <row r="532">
          <cell r="A532">
            <v>9681734</v>
          </cell>
          <cell r="B532">
            <v>181729</v>
          </cell>
          <cell r="C532" t="str">
            <v>RES FOR AMORT-LEASE IMPR-WRITE</v>
          </cell>
        </row>
        <row r="533">
          <cell r="A533">
            <v>9681748</v>
          </cell>
          <cell r="B533">
            <v>181729</v>
          </cell>
          <cell r="C533" t="str">
            <v>RES FOR AMORT-LEASE IMPR-WRITE</v>
          </cell>
        </row>
        <row r="534">
          <cell r="A534">
            <v>9681894</v>
          </cell>
          <cell r="B534">
            <v>181729</v>
          </cell>
          <cell r="C534" t="str">
            <v>RES FOR AMORT-LEASE IMPR-WRITE</v>
          </cell>
        </row>
        <row r="535">
          <cell r="A535">
            <v>9684999</v>
          </cell>
          <cell r="B535">
            <v>181729</v>
          </cell>
          <cell r="C535" t="str">
            <v>RES FOR AMORT-LEASE IMPR-WRITE</v>
          </cell>
        </row>
        <row r="536">
          <cell r="A536">
            <v>9689883</v>
          </cell>
          <cell r="B536">
            <v>181729</v>
          </cell>
          <cell r="C536" t="str">
            <v>RES FOR AMORT-LEASE IMPR-WRITE</v>
          </cell>
        </row>
        <row r="537">
          <cell r="A537">
            <v>9689906</v>
          </cell>
          <cell r="B537">
            <v>181729</v>
          </cell>
          <cell r="C537" t="str">
            <v>RES FOR AMORT-LEASE IMPR-WRITE</v>
          </cell>
        </row>
        <row r="538">
          <cell r="A538">
            <v>9689990</v>
          </cell>
          <cell r="B538">
            <v>181729</v>
          </cell>
          <cell r="C538" t="str">
            <v>RES FOR AMORT-LEASE IMPR-WRITE</v>
          </cell>
        </row>
        <row r="539">
          <cell r="A539">
            <v>9689992</v>
          </cell>
          <cell r="B539">
            <v>181729</v>
          </cell>
          <cell r="C539" t="str">
            <v>RES FOR AMORT-LEASE IMPR-WRITE</v>
          </cell>
        </row>
        <row r="540">
          <cell r="A540">
            <v>9090999</v>
          </cell>
          <cell r="B540">
            <v>182629</v>
          </cell>
          <cell r="C540" t="str">
            <v>LEASEHOLD IMPROVEMENTS CLEARING - WU/D</v>
          </cell>
        </row>
        <row r="541">
          <cell r="A541">
            <v>9100999</v>
          </cell>
          <cell r="B541">
            <v>182629</v>
          </cell>
          <cell r="C541" t="str">
            <v>LEASEHOLD IMPROVEMENTS CLEARING - WU/D</v>
          </cell>
        </row>
        <row r="542">
          <cell r="A542">
            <v>9680999</v>
          </cell>
          <cell r="B542">
            <v>182629</v>
          </cell>
          <cell r="C542" t="str">
            <v>LEASEHOLD IMPROVEMENTS CLEARING - WU/D</v>
          </cell>
        </row>
        <row r="543">
          <cell r="A543">
            <v>9684999</v>
          </cell>
          <cell r="B543">
            <v>182629</v>
          </cell>
          <cell r="C543" t="str">
            <v>LEASEHOLD IMPROVEMENTS CLEARING - WU/D</v>
          </cell>
        </row>
        <row r="544">
          <cell r="A544">
            <v>9080999</v>
          </cell>
          <cell r="B544">
            <v>182650</v>
          </cell>
          <cell r="C544" t="str">
            <v>EQUIP CLEAR-NEW STORES-&lt;$500</v>
          </cell>
        </row>
        <row r="545">
          <cell r="A545">
            <v>9110999</v>
          </cell>
          <cell r="B545">
            <v>182650</v>
          </cell>
          <cell r="C545" t="str">
            <v>EQUIP CLEAR-NEW STORES-&lt;$500</v>
          </cell>
        </row>
        <row r="546">
          <cell r="A546">
            <v>9689994</v>
          </cell>
          <cell r="B546">
            <v>182650</v>
          </cell>
          <cell r="C546" t="str">
            <v>EQUIP CLEAR-NEW STORES-&lt;$500</v>
          </cell>
        </row>
        <row r="547">
          <cell r="A547">
            <v>8001054179</v>
          </cell>
          <cell r="B547">
            <v>182661</v>
          </cell>
          <cell r="C547" t="str">
            <v>EQUIPMENT CLEARING FREIGHT</v>
          </cell>
        </row>
        <row r="548">
          <cell r="A548">
            <v>8001059542</v>
          </cell>
          <cell r="B548">
            <v>182661</v>
          </cell>
          <cell r="C548" t="str">
            <v>EQUIPMENT CLEARING FREIGHT</v>
          </cell>
        </row>
        <row r="549">
          <cell r="A549">
            <v>8010512510</v>
          </cell>
          <cell r="B549">
            <v>182661</v>
          </cell>
          <cell r="C549" t="str">
            <v>EQUIPMENT CLEARING FREIGHT</v>
          </cell>
        </row>
        <row r="550">
          <cell r="A550">
            <v>9969681</v>
          </cell>
          <cell r="B550">
            <v>182661</v>
          </cell>
          <cell r="C550" t="str">
            <v>EQUIPMENT CLEARING FREIGHT</v>
          </cell>
        </row>
        <row r="551">
          <cell r="A551">
            <v>9969901</v>
          </cell>
          <cell r="B551">
            <v>182661</v>
          </cell>
          <cell r="C551" t="str">
            <v>EQUIPMENT CLEARING FREIGHT</v>
          </cell>
        </row>
        <row r="552">
          <cell r="A552" t="str">
            <v>ZONE-0105-POST</v>
          </cell>
          <cell r="B552">
            <v>182661</v>
          </cell>
          <cell r="C552" t="str">
            <v>EQUIPMENT CLEARING FREIGHT</v>
          </cell>
        </row>
        <row r="553">
          <cell r="A553" t="str">
            <v>ZONE-0112-POST</v>
          </cell>
          <cell r="B553">
            <v>182661</v>
          </cell>
          <cell r="C553" t="str">
            <v>EQUIPMENT CLEARING FREIGHT</v>
          </cell>
        </row>
        <row r="554">
          <cell r="A554">
            <v>9682999</v>
          </cell>
          <cell r="B554">
            <v>182666</v>
          </cell>
          <cell r="C554" t="str">
            <v>EQUIP CLEAR - NEW STORES</v>
          </cell>
        </row>
        <row r="555">
          <cell r="A555">
            <v>9689883</v>
          </cell>
          <cell r="B555">
            <v>182666</v>
          </cell>
          <cell r="C555" t="str">
            <v>EQUIP CLEAR - NEW STORES</v>
          </cell>
        </row>
        <row r="556">
          <cell r="A556">
            <v>9689906</v>
          </cell>
          <cell r="B556">
            <v>182666</v>
          </cell>
          <cell r="C556" t="str">
            <v>EQUIP CLEAR - NEW STORES</v>
          </cell>
        </row>
        <row r="557">
          <cell r="A557">
            <v>9689992</v>
          </cell>
          <cell r="B557">
            <v>182666</v>
          </cell>
          <cell r="C557" t="str">
            <v>EQUIP CLEAR - NEW STORES</v>
          </cell>
        </row>
        <row r="558">
          <cell r="A558">
            <v>9720703</v>
          </cell>
          <cell r="B558">
            <v>182666</v>
          </cell>
          <cell r="C558" t="str">
            <v>EQUIP CLEAR - NEW STORES</v>
          </cell>
        </row>
        <row r="559">
          <cell r="A559">
            <v>9724718</v>
          </cell>
          <cell r="B559">
            <v>182666</v>
          </cell>
          <cell r="C559" t="str">
            <v>EQUIP CLEAR - NEW STORES</v>
          </cell>
        </row>
        <row r="560">
          <cell r="A560">
            <v>9724721</v>
          </cell>
          <cell r="B560">
            <v>182666</v>
          </cell>
          <cell r="C560" t="str">
            <v>EQUIP CLEAR - NEW STORES</v>
          </cell>
        </row>
        <row r="561">
          <cell r="A561">
            <v>9724724</v>
          </cell>
          <cell r="B561">
            <v>182666</v>
          </cell>
          <cell r="C561" t="str">
            <v>EQUIP CLEAR - NEW STORES</v>
          </cell>
        </row>
        <row r="562">
          <cell r="A562">
            <v>9725703</v>
          </cell>
          <cell r="B562">
            <v>182666</v>
          </cell>
          <cell r="C562" t="str">
            <v>EQUIP CLEAR - NEW STORES</v>
          </cell>
        </row>
        <row r="563">
          <cell r="A563">
            <v>9725704</v>
          </cell>
          <cell r="B563">
            <v>182666</v>
          </cell>
          <cell r="C563" t="str">
            <v>EQUIP CLEAR - NEW STORES</v>
          </cell>
        </row>
        <row r="564">
          <cell r="A564">
            <v>9725711</v>
          </cell>
          <cell r="B564">
            <v>182666</v>
          </cell>
          <cell r="C564" t="str">
            <v>EQUIP CLEAR - NEW STORES</v>
          </cell>
        </row>
        <row r="565">
          <cell r="A565">
            <v>9725717</v>
          </cell>
          <cell r="B565">
            <v>182666</v>
          </cell>
          <cell r="C565" t="str">
            <v>EQUIP CLEAR - NEW STORES</v>
          </cell>
        </row>
        <row r="566">
          <cell r="A566">
            <v>9725725</v>
          </cell>
          <cell r="B566">
            <v>182666</v>
          </cell>
          <cell r="C566" t="str">
            <v>EQUIP CLEAR - NEW STORES</v>
          </cell>
        </row>
        <row r="567">
          <cell r="A567">
            <v>9080700</v>
          </cell>
          <cell r="B567">
            <v>182667</v>
          </cell>
          <cell r="C567" t="str">
            <v>EQUIPMENT CLEAR - OFFICES</v>
          </cell>
        </row>
        <row r="568">
          <cell r="A568">
            <v>9080701</v>
          </cell>
          <cell r="B568">
            <v>182667</v>
          </cell>
          <cell r="C568" t="str">
            <v>EQUIPMENT CLEAR - OFFICES</v>
          </cell>
        </row>
        <row r="569">
          <cell r="A569">
            <v>9080702</v>
          </cell>
          <cell r="B569">
            <v>182667</v>
          </cell>
          <cell r="C569" t="str">
            <v>EQUIPMENT CLEAR - OFFICES</v>
          </cell>
        </row>
        <row r="570">
          <cell r="A570">
            <v>9080705</v>
          </cell>
          <cell r="B570">
            <v>182667</v>
          </cell>
          <cell r="C570" t="str">
            <v>EQUIPMENT CLEAR - OFFICES</v>
          </cell>
        </row>
        <row r="571">
          <cell r="A571">
            <v>9080707</v>
          </cell>
          <cell r="B571">
            <v>182667</v>
          </cell>
          <cell r="C571" t="str">
            <v>EQUIPMENT CLEAR - OFFICES</v>
          </cell>
        </row>
        <row r="572">
          <cell r="A572">
            <v>9080710</v>
          </cell>
          <cell r="B572">
            <v>182667</v>
          </cell>
          <cell r="C572" t="str">
            <v>EQUIPMENT CLEAR - OFFICES</v>
          </cell>
        </row>
        <row r="573">
          <cell r="A573">
            <v>9080999</v>
          </cell>
          <cell r="B573">
            <v>182667</v>
          </cell>
          <cell r="C573" t="str">
            <v>EQUIPMENT CLEAR - OFFICES</v>
          </cell>
        </row>
        <row r="574">
          <cell r="A574">
            <v>9090999</v>
          </cell>
          <cell r="B574">
            <v>182667</v>
          </cell>
          <cell r="C574" t="str">
            <v>EQUIPMENT CLEAR - OFFICES</v>
          </cell>
        </row>
        <row r="575">
          <cell r="A575">
            <v>9100999</v>
          </cell>
          <cell r="B575">
            <v>182667</v>
          </cell>
          <cell r="C575" t="str">
            <v>EQUIPMENT CLEAR - OFFICES</v>
          </cell>
        </row>
        <row r="576">
          <cell r="A576">
            <v>9110700</v>
          </cell>
          <cell r="B576">
            <v>182667</v>
          </cell>
          <cell r="C576" t="str">
            <v>EQUIPMENT CLEAR - OFFICES</v>
          </cell>
        </row>
        <row r="577">
          <cell r="A577">
            <v>9110702</v>
          </cell>
          <cell r="B577">
            <v>182667</v>
          </cell>
          <cell r="C577" t="str">
            <v>EQUIPMENT CLEAR - OFFICES</v>
          </cell>
        </row>
        <row r="578">
          <cell r="A578">
            <v>9110705</v>
          </cell>
          <cell r="B578">
            <v>182667</v>
          </cell>
          <cell r="C578" t="str">
            <v>EQUIPMENT CLEAR - OFFICES</v>
          </cell>
        </row>
        <row r="579">
          <cell r="A579">
            <v>9110707</v>
          </cell>
          <cell r="B579">
            <v>182667</v>
          </cell>
          <cell r="C579" t="str">
            <v>EQUIPMENT CLEAR - OFFICES</v>
          </cell>
        </row>
        <row r="580">
          <cell r="A580">
            <v>9110999</v>
          </cell>
          <cell r="B580">
            <v>182667</v>
          </cell>
          <cell r="C580" t="str">
            <v>EQUIPMENT CLEAR - OFFICES</v>
          </cell>
        </row>
        <row r="581">
          <cell r="A581">
            <v>9680700</v>
          </cell>
          <cell r="B581">
            <v>182667</v>
          </cell>
          <cell r="C581" t="str">
            <v>EQUIPMENT CLEAR - OFFICES</v>
          </cell>
        </row>
        <row r="582">
          <cell r="A582">
            <v>9680701</v>
          </cell>
          <cell r="B582">
            <v>182667</v>
          </cell>
          <cell r="C582" t="str">
            <v>EQUIPMENT CLEAR - OFFICES</v>
          </cell>
        </row>
        <row r="583">
          <cell r="A583">
            <v>9680702</v>
          </cell>
          <cell r="B583">
            <v>182667</v>
          </cell>
          <cell r="C583" t="str">
            <v>EQUIPMENT CLEAR - OFFICES</v>
          </cell>
        </row>
        <row r="584">
          <cell r="A584">
            <v>9680705</v>
          </cell>
          <cell r="B584">
            <v>182667</v>
          </cell>
          <cell r="C584" t="str">
            <v>EQUIPMENT CLEAR - OFFICES</v>
          </cell>
        </row>
        <row r="585">
          <cell r="A585">
            <v>9680707</v>
          </cell>
          <cell r="B585">
            <v>182667</v>
          </cell>
          <cell r="C585" t="str">
            <v>EQUIPMENT CLEAR - OFFICES</v>
          </cell>
        </row>
        <row r="586">
          <cell r="A586">
            <v>9680710</v>
          </cell>
          <cell r="B586">
            <v>182667</v>
          </cell>
          <cell r="C586" t="str">
            <v>EQUIPMENT CLEAR - OFFICES</v>
          </cell>
        </row>
        <row r="587">
          <cell r="A587">
            <v>9680712</v>
          </cell>
          <cell r="B587">
            <v>182667</v>
          </cell>
          <cell r="C587" t="str">
            <v>EQUIPMENT CLEAR - OFFICES</v>
          </cell>
        </row>
        <row r="588">
          <cell r="A588">
            <v>9680714</v>
          </cell>
          <cell r="B588">
            <v>182667</v>
          </cell>
          <cell r="C588" t="str">
            <v>EQUIPMENT CLEAR - OFFICES</v>
          </cell>
        </row>
        <row r="589">
          <cell r="A589">
            <v>9680734</v>
          </cell>
          <cell r="B589">
            <v>182667</v>
          </cell>
          <cell r="C589" t="str">
            <v>EQUIPMENT CLEAR - OFFICES</v>
          </cell>
        </row>
        <row r="590">
          <cell r="A590">
            <v>9680748</v>
          </cell>
          <cell r="B590">
            <v>182667</v>
          </cell>
          <cell r="C590" t="str">
            <v>EQUIPMENT CLEAR - OFFICES</v>
          </cell>
        </row>
        <row r="591">
          <cell r="A591">
            <v>9680749</v>
          </cell>
          <cell r="B591">
            <v>182667</v>
          </cell>
          <cell r="C591" t="str">
            <v>EQUIPMENT CLEAR - OFFICES</v>
          </cell>
        </row>
        <row r="592">
          <cell r="A592">
            <v>9680894</v>
          </cell>
          <cell r="B592">
            <v>182667</v>
          </cell>
          <cell r="C592" t="str">
            <v>EQUIPMENT CLEAR - OFFICES</v>
          </cell>
        </row>
        <row r="593">
          <cell r="A593">
            <v>9680999</v>
          </cell>
          <cell r="B593">
            <v>182667</v>
          </cell>
          <cell r="C593" t="str">
            <v>EQUIPMENT CLEAR - OFFICES</v>
          </cell>
        </row>
        <row r="594">
          <cell r="A594">
            <v>9681700</v>
          </cell>
          <cell r="B594">
            <v>182667</v>
          </cell>
          <cell r="C594" t="str">
            <v>EQUIPMENT CLEAR - OFFICES</v>
          </cell>
        </row>
        <row r="595">
          <cell r="A595">
            <v>9681701</v>
          </cell>
          <cell r="B595">
            <v>182667</v>
          </cell>
          <cell r="C595" t="str">
            <v>EQUIPMENT CLEAR - OFFICES</v>
          </cell>
        </row>
        <row r="596">
          <cell r="A596">
            <v>9681702</v>
          </cell>
          <cell r="B596">
            <v>182667</v>
          </cell>
          <cell r="C596" t="str">
            <v>EQUIPMENT CLEAR - OFFICES</v>
          </cell>
        </row>
        <row r="597">
          <cell r="A597">
            <v>9681705</v>
          </cell>
          <cell r="B597">
            <v>182667</v>
          </cell>
          <cell r="C597" t="str">
            <v>EQUIPMENT CLEAR - OFFICES</v>
          </cell>
        </row>
        <row r="598">
          <cell r="A598">
            <v>9681706</v>
          </cell>
          <cell r="B598">
            <v>182667</v>
          </cell>
          <cell r="C598" t="str">
            <v>EQUIPMENT CLEAR - OFFICES</v>
          </cell>
        </row>
        <row r="599">
          <cell r="A599">
            <v>9681707</v>
          </cell>
          <cell r="B599">
            <v>182667</v>
          </cell>
          <cell r="C599" t="str">
            <v>EQUIPMENT CLEAR - OFFICES</v>
          </cell>
        </row>
        <row r="600">
          <cell r="A600">
            <v>9681710</v>
          </cell>
          <cell r="B600">
            <v>182667</v>
          </cell>
          <cell r="C600" t="str">
            <v>EQUIPMENT CLEAR - OFFICES</v>
          </cell>
        </row>
        <row r="601">
          <cell r="A601">
            <v>9681712</v>
          </cell>
          <cell r="B601">
            <v>182667</v>
          </cell>
          <cell r="C601" t="str">
            <v>EQUIPMENT CLEAR - OFFICES</v>
          </cell>
        </row>
        <row r="602">
          <cell r="A602">
            <v>9681714</v>
          </cell>
          <cell r="B602">
            <v>182667</v>
          </cell>
          <cell r="C602" t="str">
            <v>EQUIPMENT CLEAR - OFFICES</v>
          </cell>
        </row>
        <row r="603">
          <cell r="A603">
            <v>9681727</v>
          </cell>
          <cell r="B603">
            <v>182667</v>
          </cell>
          <cell r="C603" t="str">
            <v>EQUIPMENT CLEAR - OFFICES</v>
          </cell>
        </row>
        <row r="604">
          <cell r="A604">
            <v>9681734</v>
          </cell>
          <cell r="B604">
            <v>182667</v>
          </cell>
          <cell r="C604" t="str">
            <v>EQUIPMENT CLEAR - OFFICES</v>
          </cell>
        </row>
        <row r="605">
          <cell r="A605">
            <v>9681748</v>
          </cell>
          <cell r="B605">
            <v>182667</v>
          </cell>
          <cell r="C605" t="str">
            <v>EQUIPMENT CLEAR - OFFICES</v>
          </cell>
        </row>
        <row r="606">
          <cell r="A606">
            <v>9681749</v>
          </cell>
          <cell r="B606">
            <v>182667</v>
          </cell>
          <cell r="C606" t="str">
            <v>EQUIPMENT CLEAR - OFFICES</v>
          </cell>
        </row>
        <row r="607">
          <cell r="A607">
            <v>9681894</v>
          </cell>
          <cell r="B607">
            <v>182667</v>
          </cell>
          <cell r="C607" t="str">
            <v>EQUIPMENT CLEAR - OFFICES</v>
          </cell>
        </row>
        <row r="608">
          <cell r="A608">
            <v>9681999</v>
          </cell>
          <cell r="B608">
            <v>182667</v>
          </cell>
          <cell r="C608" t="str">
            <v>EQUIPMENT CLEAR - OFFICES</v>
          </cell>
        </row>
        <row r="609">
          <cell r="A609">
            <v>9682715</v>
          </cell>
          <cell r="B609">
            <v>182667</v>
          </cell>
          <cell r="C609" t="str">
            <v>EQUIPMENT CLEAR - OFFICES</v>
          </cell>
        </row>
        <row r="610">
          <cell r="A610">
            <v>9682722</v>
          </cell>
          <cell r="B610">
            <v>182667</v>
          </cell>
          <cell r="C610" t="str">
            <v>EQUIPMENT CLEAR - OFFICES</v>
          </cell>
        </row>
        <row r="611">
          <cell r="A611">
            <v>9682999</v>
          </cell>
          <cell r="B611">
            <v>182667</v>
          </cell>
          <cell r="C611" t="str">
            <v>EQUIPMENT CLEAR - OFFICES</v>
          </cell>
        </row>
        <row r="612">
          <cell r="A612">
            <v>9689883</v>
          </cell>
          <cell r="B612">
            <v>182667</v>
          </cell>
          <cell r="C612" t="str">
            <v>EQUIPMENT CLEAR - OFFICES</v>
          </cell>
        </row>
        <row r="613">
          <cell r="A613">
            <v>9689906</v>
          </cell>
          <cell r="B613">
            <v>182667</v>
          </cell>
          <cell r="C613" t="str">
            <v>EQUIPMENT CLEAR - OFFICES</v>
          </cell>
        </row>
        <row r="614">
          <cell r="A614">
            <v>9689991</v>
          </cell>
          <cell r="B614">
            <v>182667</v>
          </cell>
          <cell r="C614" t="str">
            <v>EQUIPMENT CLEAR - OFFICES</v>
          </cell>
        </row>
        <row r="615">
          <cell r="A615">
            <v>9689992</v>
          </cell>
          <cell r="B615">
            <v>182667</v>
          </cell>
          <cell r="C615" t="str">
            <v>EQUIPMENT CLEAR - OFFICES</v>
          </cell>
        </row>
        <row r="616">
          <cell r="A616">
            <v>9689993</v>
          </cell>
          <cell r="B616">
            <v>182667</v>
          </cell>
          <cell r="C616" t="str">
            <v>EQUIPMENT CLEAR - OFFICES</v>
          </cell>
        </row>
        <row r="617">
          <cell r="A617">
            <v>9689994</v>
          </cell>
          <cell r="B617">
            <v>182667</v>
          </cell>
          <cell r="C617" t="str">
            <v>EQUIPMENT CLEAR - OFFICES</v>
          </cell>
        </row>
        <row r="618">
          <cell r="A618">
            <v>9689999</v>
          </cell>
          <cell r="B618">
            <v>182667</v>
          </cell>
          <cell r="C618" t="str">
            <v>EQUIPMENT CLEAR - OFFICES</v>
          </cell>
        </row>
        <row r="619">
          <cell r="A619">
            <v>9090999</v>
          </cell>
          <cell r="B619">
            <v>182771</v>
          </cell>
          <cell r="C619" t="str">
            <v>BUILDING CIP CLEARING</v>
          </cell>
        </row>
        <row r="620">
          <cell r="A620">
            <v>9100999</v>
          </cell>
          <cell r="B620">
            <v>182771</v>
          </cell>
          <cell r="C620" t="str">
            <v>BUILDING CIP CLEARING</v>
          </cell>
        </row>
        <row r="621">
          <cell r="A621">
            <v>9680999</v>
          </cell>
          <cell r="B621">
            <v>182771</v>
          </cell>
          <cell r="C621" t="str">
            <v>BUILDING CIP CLEARING</v>
          </cell>
        </row>
        <row r="622">
          <cell r="A622">
            <v>9689990</v>
          </cell>
          <cell r="B622">
            <v>182771</v>
          </cell>
          <cell r="C622" t="str">
            <v>BUILDING CIP CLEARING</v>
          </cell>
        </row>
        <row r="623">
          <cell r="A623">
            <v>9090999</v>
          </cell>
          <cell r="B623">
            <v>182773</v>
          </cell>
          <cell r="C623" t="str">
            <v>LAND CIP CLEARING</v>
          </cell>
        </row>
        <row r="624">
          <cell r="A624">
            <v>9100999</v>
          </cell>
          <cell r="B624">
            <v>182773</v>
          </cell>
          <cell r="C624" t="str">
            <v>LAND CIP CLEARING</v>
          </cell>
        </row>
        <row r="625">
          <cell r="A625">
            <v>9680999</v>
          </cell>
          <cell r="B625">
            <v>182773</v>
          </cell>
          <cell r="C625" t="str">
            <v>LAND CIP CLEARING</v>
          </cell>
        </row>
        <row r="626">
          <cell r="A626">
            <v>9689990</v>
          </cell>
          <cell r="B626">
            <v>182773</v>
          </cell>
          <cell r="C626" t="str">
            <v>LAND CIP CLEARING</v>
          </cell>
        </row>
        <row r="627">
          <cell r="A627">
            <v>9090999</v>
          </cell>
          <cell r="B627">
            <v>182774</v>
          </cell>
          <cell r="C627" t="str">
            <v>LEASEHOLD CIP CLEARING</v>
          </cell>
        </row>
        <row r="628">
          <cell r="A628">
            <v>9100999</v>
          </cell>
          <cell r="B628">
            <v>182774</v>
          </cell>
          <cell r="C628" t="str">
            <v>LEASEHOLD CIP CLEARING</v>
          </cell>
        </row>
        <row r="629">
          <cell r="A629">
            <v>9680999</v>
          </cell>
          <cell r="B629">
            <v>182774</v>
          </cell>
          <cell r="C629" t="str">
            <v>LEASEHOLD CIP CLEARING</v>
          </cell>
        </row>
        <row r="630">
          <cell r="A630">
            <v>9689883</v>
          </cell>
          <cell r="B630">
            <v>182774</v>
          </cell>
          <cell r="C630" t="str">
            <v>LEASEHOLD CIP CLEARING</v>
          </cell>
        </row>
        <row r="631">
          <cell r="A631">
            <v>9689906</v>
          </cell>
          <cell r="B631">
            <v>182774</v>
          </cell>
          <cell r="C631" t="str">
            <v>LEASEHOLD CIP CLEARING</v>
          </cell>
        </row>
        <row r="632">
          <cell r="A632">
            <v>9689990</v>
          </cell>
          <cell r="B632">
            <v>182774</v>
          </cell>
          <cell r="C632" t="str">
            <v>LEASEHOLD CIP CLEARING</v>
          </cell>
        </row>
        <row r="633">
          <cell r="A633">
            <v>9689992</v>
          </cell>
          <cell r="B633">
            <v>182774</v>
          </cell>
          <cell r="C633" t="str">
            <v>LEASEHOLD CIP CLEARING</v>
          </cell>
        </row>
        <row r="634">
          <cell r="A634">
            <v>8001054179</v>
          </cell>
          <cell r="B634">
            <v>201005</v>
          </cell>
          <cell r="C634" t="str">
            <v>C. IN BNK.-AGAINST SSI DRAFTS</v>
          </cell>
        </row>
        <row r="635">
          <cell r="A635">
            <v>8001059542</v>
          </cell>
          <cell r="B635">
            <v>201005</v>
          </cell>
          <cell r="C635" t="str">
            <v>C. IN BNK.-AGAINST SSI DRAFTS</v>
          </cell>
        </row>
        <row r="636">
          <cell r="A636">
            <v>8010512510</v>
          </cell>
          <cell r="B636">
            <v>201005</v>
          </cell>
          <cell r="C636" t="str">
            <v>C. IN BNK.-AGAINST SSI DRAFTS</v>
          </cell>
        </row>
        <row r="637">
          <cell r="A637">
            <v>9969681</v>
          </cell>
          <cell r="B637">
            <v>201005</v>
          </cell>
          <cell r="C637" t="str">
            <v>C. IN BNK.-AGAINST SSI DRAFTS</v>
          </cell>
        </row>
        <row r="638">
          <cell r="A638">
            <v>9969901</v>
          </cell>
          <cell r="B638">
            <v>201005</v>
          </cell>
          <cell r="C638" t="str">
            <v>C. IN BNK.-AGAINST SSI DRAFTS</v>
          </cell>
        </row>
        <row r="639">
          <cell r="A639" t="str">
            <v>ZONE-0105-POST</v>
          </cell>
          <cell r="B639">
            <v>201005</v>
          </cell>
          <cell r="C639" t="str">
            <v>C. IN BNK.-AGAINST SSI DRAFTS</v>
          </cell>
        </row>
        <row r="640">
          <cell r="A640" t="str">
            <v>ZONE-0112-POST</v>
          </cell>
          <cell r="B640">
            <v>201005</v>
          </cell>
          <cell r="C640" t="str">
            <v>C. IN BNK.-AGAINST SSI DRAFTS</v>
          </cell>
        </row>
        <row r="641">
          <cell r="A641">
            <v>9090999</v>
          </cell>
          <cell r="B641">
            <v>204005</v>
          </cell>
          <cell r="C641" t="str">
            <v>NOTES PAYABLE-INTERCOMPANY</v>
          </cell>
        </row>
        <row r="642">
          <cell r="A642">
            <v>9100999</v>
          </cell>
          <cell r="B642">
            <v>204005</v>
          </cell>
          <cell r="C642" t="str">
            <v>NOTES PAYABLE-INTERCOMPANY</v>
          </cell>
        </row>
        <row r="643">
          <cell r="A643">
            <v>9689999</v>
          </cell>
          <cell r="B643">
            <v>204005</v>
          </cell>
          <cell r="C643" t="str">
            <v>NOTES PAYABLE-INTERCOMPANY</v>
          </cell>
        </row>
        <row r="644">
          <cell r="A644">
            <v>8001054179</v>
          </cell>
          <cell r="B644">
            <v>205005</v>
          </cell>
          <cell r="C644" t="str">
            <v>ACCR EXP-DEFERRED FEDERAL TAX</v>
          </cell>
        </row>
        <row r="645">
          <cell r="A645">
            <v>8001059542</v>
          </cell>
          <cell r="B645">
            <v>205005</v>
          </cell>
          <cell r="C645" t="str">
            <v>ACCR EXP-DEFERRED FEDERAL TAX</v>
          </cell>
        </row>
        <row r="646">
          <cell r="A646">
            <v>8010512510</v>
          </cell>
          <cell r="B646">
            <v>205005</v>
          </cell>
          <cell r="C646" t="str">
            <v>ACCR EXP-DEFERRED FEDERAL TAX</v>
          </cell>
        </row>
        <row r="647">
          <cell r="A647">
            <v>9090999</v>
          </cell>
          <cell r="B647">
            <v>205005</v>
          </cell>
          <cell r="C647" t="str">
            <v>ACCR EXP-DEFERRED FEDERAL TAX</v>
          </cell>
        </row>
        <row r="648">
          <cell r="A648">
            <v>9100999</v>
          </cell>
          <cell r="B648">
            <v>205005</v>
          </cell>
          <cell r="C648" t="str">
            <v>ACCR EXP-DEFERRED FEDERAL TAX</v>
          </cell>
        </row>
        <row r="649">
          <cell r="A649">
            <v>9969681</v>
          </cell>
          <cell r="B649">
            <v>205005</v>
          </cell>
          <cell r="C649" t="str">
            <v>ACCR EXP-DEFERRED FEDERAL TAX</v>
          </cell>
        </row>
        <row r="650">
          <cell r="A650">
            <v>9969901</v>
          </cell>
          <cell r="B650">
            <v>205005</v>
          </cell>
          <cell r="C650" t="str">
            <v>ACCR EXP-DEFERRED FEDERAL TAX</v>
          </cell>
        </row>
        <row r="651">
          <cell r="A651" t="str">
            <v>ZONE-0105-POST</v>
          </cell>
          <cell r="B651">
            <v>205005</v>
          </cell>
          <cell r="C651" t="str">
            <v>ACCR EXP-DEFERRED FEDERAL TAX</v>
          </cell>
        </row>
        <row r="652">
          <cell r="A652" t="str">
            <v>ZONE-0112-POST</v>
          </cell>
          <cell r="B652">
            <v>205005</v>
          </cell>
          <cell r="C652" t="str">
            <v>ACCR EXP-DEFERRED FEDERAL TAX</v>
          </cell>
        </row>
        <row r="653">
          <cell r="A653">
            <v>9090999</v>
          </cell>
          <cell r="B653">
            <v>205010</v>
          </cell>
          <cell r="C653" t="str">
            <v>ACCR EXP-DEFERRED RENT</v>
          </cell>
        </row>
        <row r="654">
          <cell r="A654">
            <v>9100999</v>
          </cell>
          <cell r="B654">
            <v>205010</v>
          </cell>
          <cell r="C654" t="str">
            <v>ACCR EXP-DEFERRED RENT</v>
          </cell>
        </row>
        <row r="655">
          <cell r="A655">
            <v>9090999</v>
          </cell>
          <cell r="B655">
            <v>206015</v>
          </cell>
          <cell r="C655" t="str">
            <v>CAP LEASE OBLIG - EQUIP</v>
          </cell>
        </row>
        <row r="656">
          <cell r="A656">
            <v>9100999</v>
          </cell>
          <cell r="B656">
            <v>206015</v>
          </cell>
          <cell r="C656" t="str">
            <v>CAP LEASE OBLIG - EQUIP</v>
          </cell>
        </row>
        <row r="657">
          <cell r="A657">
            <v>9100999</v>
          </cell>
          <cell r="B657">
            <v>230001</v>
          </cell>
          <cell r="C657" t="str">
            <v>A/P INTERCO ASB</v>
          </cell>
        </row>
        <row r="658">
          <cell r="A658">
            <v>8001054179</v>
          </cell>
          <cell r="B658">
            <v>230051</v>
          </cell>
          <cell r="C658" t="str">
            <v>A/P INTERCO RETAIL CSL</v>
          </cell>
        </row>
        <row r="659">
          <cell r="A659">
            <v>8001059542</v>
          </cell>
          <cell r="B659">
            <v>230051</v>
          </cell>
          <cell r="C659" t="str">
            <v>A/P INTERCO RETAIL CSL</v>
          </cell>
        </row>
        <row r="660">
          <cell r="A660">
            <v>8010512510</v>
          </cell>
          <cell r="B660">
            <v>230051</v>
          </cell>
          <cell r="C660" t="str">
            <v>A/P INTERCO RETAIL CSL</v>
          </cell>
        </row>
        <row r="661">
          <cell r="A661">
            <v>9969681</v>
          </cell>
          <cell r="B661">
            <v>230051</v>
          </cell>
          <cell r="C661" t="str">
            <v>A/P INTERCO RETAIL CSL</v>
          </cell>
        </row>
        <row r="662">
          <cell r="A662">
            <v>9969901</v>
          </cell>
          <cell r="B662">
            <v>230051</v>
          </cell>
          <cell r="C662" t="str">
            <v>A/P INTERCO RETAIL CSL</v>
          </cell>
        </row>
        <row r="663">
          <cell r="A663" t="str">
            <v>ZONE-0105-POST</v>
          </cell>
          <cell r="B663">
            <v>230051</v>
          </cell>
          <cell r="C663" t="str">
            <v>A/P INTERCO RETAIL CSL</v>
          </cell>
        </row>
        <row r="664">
          <cell r="A664" t="str">
            <v>ZONE-0112-POST</v>
          </cell>
          <cell r="B664">
            <v>230051</v>
          </cell>
          <cell r="C664" t="str">
            <v>A/P INTERCO RETAIL CSL</v>
          </cell>
        </row>
        <row r="665">
          <cell r="A665">
            <v>9090999</v>
          </cell>
          <cell r="B665">
            <v>230068</v>
          </cell>
          <cell r="C665" t="str">
            <v>INTERCOMPANY GIFT CARD PAYABLE - BHN</v>
          </cell>
        </row>
        <row r="666">
          <cell r="A666">
            <v>9100999</v>
          </cell>
          <cell r="B666">
            <v>230068</v>
          </cell>
          <cell r="C666" t="str">
            <v>INTERCOMPANY GIFT CARD PAYABLE - BHN</v>
          </cell>
        </row>
        <row r="667">
          <cell r="A667">
            <v>9682999</v>
          </cell>
          <cell r="B667">
            <v>230068</v>
          </cell>
          <cell r="C667" t="str">
            <v>INTERCOMPANY GIFT CARD PAYABLE - BHN</v>
          </cell>
        </row>
        <row r="668">
          <cell r="A668">
            <v>8001054179</v>
          </cell>
          <cell r="B668">
            <v>230097</v>
          </cell>
          <cell r="C668" t="str">
            <v>A/P INTERCO ADMIN LEDGER</v>
          </cell>
        </row>
        <row r="669">
          <cell r="A669">
            <v>8001059542</v>
          </cell>
          <cell r="B669">
            <v>230097</v>
          </cell>
          <cell r="C669" t="str">
            <v>A/P INTERCO ADMIN LEDGER</v>
          </cell>
        </row>
        <row r="670">
          <cell r="A670">
            <v>8010512510</v>
          </cell>
          <cell r="B670">
            <v>230097</v>
          </cell>
          <cell r="C670" t="str">
            <v>A/P INTERCO ADMIN LEDGER</v>
          </cell>
        </row>
        <row r="671">
          <cell r="A671">
            <v>9689999</v>
          </cell>
          <cell r="B671">
            <v>230097</v>
          </cell>
          <cell r="C671" t="str">
            <v>A/P INTERCO ADMIN LEDGER</v>
          </cell>
        </row>
        <row r="672">
          <cell r="A672">
            <v>9722709</v>
          </cell>
          <cell r="B672">
            <v>230097</v>
          </cell>
          <cell r="C672" t="str">
            <v>A/P INTERCO ADMIN LEDGER</v>
          </cell>
        </row>
        <row r="673">
          <cell r="A673">
            <v>9722713</v>
          </cell>
          <cell r="B673">
            <v>230097</v>
          </cell>
          <cell r="C673" t="str">
            <v>A/P INTERCO ADMIN LEDGER</v>
          </cell>
        </row>
        <row r="674">
          <cell r="A674">
            <v>9967681</v>
          </cell>
          <cell r="B674">
            <v>230097</v>
          </cell>
          <cell r="C674" t="str">
            <v>A/P INTERCO ADMIN LEDGER</v>
          </cell>
        </row>
        <row r="675">
          <cell r="A675">
            <v>9968681</v>
          </cell>
          <cell r="B675">
            <v>230097</v>
          </cell>
          <cell r="C675" t="str">
            <v>A/P INTERCO ADMIN LEDGER</v>
          </cell>
        </row>
        <row r="676">
          <cell r="A676">
            <v>9969681</v>
          </cell>
          <cell r="B676">
            <v>230097</v>
          </cell>
          <cell r="C676" t="str">
            <v>A/P INTERCO ADMIN LEDGER</v>
          </cell>
        </row>
        <row r="677">
          <cell r="A677">
            <v>9969901</v>
          </cell>
          <cell r="B677">
            <v>230097</v>
          </cell>
          <cell r="C677" t="str">
            <v>A/P INTERCO ADMIN LEDGER</v>
          </cell>
        </row>
        <row r="678">
          <cell r="A678" t="str">
            <v>ZONE-0105-POST</v>
          </cell>
          <cell r="B678">
            <v>230097</v>
          </cell>
          <cell r="C678" t="str">
            <v>A/P INTERCO ADMIN LEDGER</v>
          </cell>
        </row>
        <row r="679">
          <cell r="A679" t="str">
            <v>ZONE-0112-POST</v>
          </cell>
          <cell r="B679">
            <v>230097</v>
          </cell>
          <cell r="C679" t="str">
            <v>A/P INTERCO ADMIN LEDGER</v>
          </cell>
        </row>
        <row r="680">
          <cell r="A680" t="str">
            <v>I/C-1510-POST</v>
          </cell>
          <cell r="B680">
            <v>239101</v>
          </cell>
          <cell r="C680" t="str">
            <v>INTERZONE BALANCING</v>
          </cell>
        </row>
        <row r="681">
          <cell r="A681" t="str">
            <v>ZONE-0068-POST</v>
          </cell>
          <cell r="B681">
            <v>239101</v>
          </cell>
          <cell r="C681" t="str">
            <v>INTERZONE BALANCING</v>
          </cell>
        </row>
        <row r="682">
          <cell r="A682" t="str">
            <v>ZONE-0072-POST</v>
          </cell>
          <cell r="B682">
            <v>239101</v>
          </cell>
          <cell r="C682" t="str">
            <v>INTERZONE BALANCING</v>
          </cell>
        </row>
        <row r="683">
          <cell r="A683" t="str">
            <v>ZONE-0102-POST</v>
          </cell>
          <cell r="B683">
            <v>239101</v>
          </cell>
          <cell r="C683" t="str">
            <v>INTERZONE BALANCING</v>
          </cell>
        </row>
        <row r="684">
          <cell r="A684" t="str">
            <v>ZONE-0103-POST</v>
          </cell>
          <cell r="B684">
            <v>239101</v>
          </cell>
          <cell r="C684" t="str">
            <v>INTERZONE BALANCING</v>
          </cell>
        </row>
        <row r="685">
          <cell r="A685" t="str">
            <v>ZONE-0104-POST</v>
          </cell>
          <cell r="B685">
            <v>239101</v>
          </cell>
          <cell r="C685" t="str">
            <v>INTERZONE BALANCING</v>
          </cell>
        </row>
        <row r="686">
          <cell r="A686" t="str">
            <v>ZONE-0105-POST</v>
          </cell>
          <cell r="B686">
            <v>239101</v>
          </cell>
          <cell r="C686" t="str">
            <v>INTERZONE BALANCING</v>
          </cell>
        </row>
        <row r="687">
          <cell r="A687" t="str">
            <v>ZONE-0108-POST</v>
          </cell>
          <cell r="B687">
            <v>239101</v>
          </cell>
          <cell r="C687" t="str">
            <v>INTERZONE BALANCING</v>
          </cell>
        </row>
        <row r="688">
          <cell r="A688" t="str">
            <v>ZONE-0109-POST</v>
          </cell>
          <cell r="B688">
            <v>239101</v>
          </cell>
          <cell r="C688" t="str">
            <v>INTERZONE BALANCING</v>
          </cell>
        </row>
        <row r="689">
          <cell r="A689" t="str">
            <v>ZONE-0110-POST</v>
          </cell>
          <cell r="B689">
            <v>239101</v>
          </cell>
          <cell r="C689" t="str">
            <v>INTERZONE BALANCING</v>
          </cell>
        </row>
        <row r="690">
          <cell r="A690" t="str">
            <v>ZONE-0111-POST</v>
          </cell>
          <cell r="B690">
            <v>239101</v>
          </cell>
          <cell r="C690" t="str">
            <v>INTERZONE BALANCING</v>
          </cell>
        </row>
        <row r="691">
          <cell r="A691" t="str">
            <v>ZONE-0112-POST</v>
          </cell>
          <cell r="B691">
            <v>239101</v>
          </cell>
          <cell r="C691" t="str">
            <v>INTERZONE BALANCING</v>
          </cell>
        </row>
        <row r="692">
          <cell r="A692" t="str">
            <v>ZONE-9998-POST</v>
          </cell>
          <cell r="B692">
            <v>239101</v>
          </cell>
          <cell r="C692" t="str">
            <v>INTERZONE BALANCING</v>
          </cell>
        </row>
        <row r="693">
          <cell r="A693" t="str">
            <v>ZONE-9999-POST</v>
          </cell>
          <cell r="B693">
            <v>239101</v>
          </cell>
          <cell r="C693" t="str">
            <v>INTERZONE BALANCING</v>
          </cell>
        </row>
        <row r="694">
          <cell r="A694" t="str">
            <v>I/C-1510-POST</v>
          </cell>
          <cell r="B694">
            <v>239102</v>
          </cell>
          <cell r="C694" t="str">
            <v>INTERCOMPANY BALANCING</v>
          </cell>
        </row>
        <row r="695">
          <cell r="A695" t="str">
            <v>ZONE-0068-POST</v>
          </cell>
          <cell r="B695">
            <v>239102</v>
          </cell>
          <cell r="C695" t="str">
            <v>INTERCOMPANY BALANCING</v>
          </cell>
        </row>
        <row r="696">
          <cell r="A696" t="str">
            <v>ZONE-0072-POST</v>
          </cell>
          <cell r="B696">
            <v>239102</v>
          </cell>
          <cell r="C696" t="str">
            <v>INTERCOMPANY BALANCING</v>
          </cell>
        </row>
        <row r="697">
          <cell r="A697" t="str">
            <v>ZONE-0102-POST</v>
          </cell>
          <cell r="B697">
            <v>239102</v>
          </cell>
          <cell r="C697" t="str">
            <v>INTERCOMPANY BALANCING</v>
          </cell>
        </row>
        <row r="698">
          <cell r="A698" t="str">
            <v>ZONE-0103-POST</v>
          </cell>
          <cell r="B698">
            <v>239102</v>
          </cell>
          <cell r="C698" t="str">
            <v>INTERCOMPANY BALANCING</v>
          </cell>
        </row>
        <row r="699">
          <cell r="A699" t="str">
            <v>ZONE-0104-POST</v>
          </cell>
          <cell r="B699">
            <v>239102</v>
          </cell>
          <cell r="C699" t="str">
            <v>INTERCOMPANY BALANCING</v>
          </cell>
        </row>
        <row r="700">
          <cell r="A700" t="str">
            <v>ZONE-0110-POST</v>
          </cell>
          <cell r="B700">
            <v>239102</v>
          </cell>
          <cell r="C700" t="str">
            <v>INTERCOMPANY BALANCING</v>
          </cell>
        </row>
        <row r="701">
          <cell r="A701" t="str">
            <v>ZONE-0111-POST</v>
          </cell>
          <cell r="B701">
            <v>239102</v>
          </cell>
          <cell r="C701" t="str">
            <v>INTERCOMPANY BALANCING</v>
          </cell>
        </row>
        <row r="702">
          <cell r="A702" t="str">
            <v>ZONE-9998-POST</v>
          </cell>
          <cell r="B702">
            <v>239102</v>
          </cell>
          <cell r="C702" t="str">
            <v>INTERCOMPANY BALANCING</v>
          </cell>
        </row>
        <row r="703">
          <cell r="A703" t="str">
            <v>ZONE-9999-POST</v>
          </cell>
          <cell r="B703">
            <v>239102</v>
          </cell>
          <cell r="C703" t="str">
            <v>INTERCOMPANY BALANCING</v>
          </cell>
        </row>
        <row r="704">
          <cell r="A704">
            <v>9080999</v>
          </cell>
          <cell r="B704">
            <v>243004</v>
          </cell>
          <cell r="C704" t="str">
            <v>A/P - TAX - SALES - CA</v>
          </cell>
        </row>
        <row r="705">
          <cell r="A705">
            <v>9110999</v>
          </cell>
          <cell r="B705">
            <v>243004</v>
          </cell>
          <cell r="C705" t="str">
            <v>A/P - TAX - SALES - CA</v>
          </cell>
        </row>
        <row r="706">
          <cell r="A706">
            <v>9689999</v>
          </cell>
          <cell r="B706">
            <v>243004</v>
          </cell>
          <cell r="C706" t="str">
            <v>A/P - TAX - SALES - CA</v>
          </cell>
        </row>
        <row r="707">
          <cell r="A707">
            <v>8001054179</v>
          </cell>
          <cell r="B707">
            <v>243072</v>
          </cell>
          <cell r="C707" t="str">
            <v>A/P SALES TAX PROV OF B.C.</v>
          </cell>
        </row>
        <row r="708">
          <cell r="A708">
            <v>8001059542</v>
          </cell>
          <cell r="B708">
            <v>243072</v>
          </cell>
          <cell r="C708" t="str">
            <v>A/P SALES TAX PROV OF B.C.</v>
          </cell>
        </row>
        <row r="709">
          <cell r="A709">
            <v>8010512510</v>
          </cell>
          <cell r="B709">
            <v>243072</v>
          </cell>
          <cell r="C709" t="str">
            <v>A/P SALES TAX PROV OF B.C.</v>
          </cell>
        </row>
        <row r="710">
          <cell r="A710">
            <v>9969681</v>
          </cell>
          <cell r="B710">
            <v>243072</v>
          </cell>
          <cell r="C710" t="str">
            <v>A/P SALES TAX PROV OF B.C.</v>
          </cell>
        </row>
        <row r="711">
          <cell r="A711">
            <v>9969901</v>
          </cell>
          <cell r="B711">
            <v>243072</v>
          </cell>
          <cell r="C711" t="str">
            <v>A/P SALES TAX PROV OF B.C.</v>
          </cell>
        </row>
        <row r="712">
          <cell r="A712" t="str">
            <v>ZONE-0105-POST</v>
          </cell>
          <cell r="B712">
            <v>243072</v>
          </cell>
          <cell r="C712" t="str">
            <v>A/P SALES TAX PROV OF B.C.</v>
          </cell>
        </row>
        <row r="713">
          <cell r="A713" t="str">
            <v>ZONE-0112-POST</v>
          </cell>
          <cell r="B713">
            <v>243072</v>
          </cell>
          <cell r="C713" t="str">
            <v>A/P SALES TAX PROV OF B.C.</v>
          </cell>
        </row>
        <row r="714">
          <cell r="A714">
            <v>8001054179</v>
          </cell>
          <cell r="B714">
            <v>243073</v>
          </cell>
          <cell r="C714" t="str">
            <v>A/P SALES TAX PROV OF MANITOBA</v>
          </cell>
        </row>
        <row r="715">
          <cell r="A715">
            <v>8001059542</v>
          </cell>
          <cell r="B715">
            <v>243073</v>
          </cell>
          <cell r="C715" t="str">
            <v>A/P SALES TAX PROV OF MANITOBA</v>
          </cell>
        </row>
        <row r="716">
          <cell r="A716">
            <v>8010512510</v>
          </cell>
          <cell r="B716">
            <v>243073</v>
          </cell>
          <cell r="C716" t="str">
            <v>A/P SALES TAX PROV OF MANITOBA</v>
          </cell>
        </row>
        <row r="717">
          <cell r="A717">
            <v>9969681</v>
          </cell>
          <cell r="B717">
            <v>243073</v>
          </cell>
          <cell r="C717" t="str">
            <v>A/P SALES TAX PROV OF MANITOBA</v>
          </cell>
        </row>
        <row r="718">
          <cell r="A718">
            <v>9969901</v>
          </cell>
          <cell r="B718">
            <v>243073</v>
          </cell>
          <cell r="C718" t="str">
            <v>A/P SALES TAX PROV OF MANITOBA</v>
          </cell>
        </row>
        <row r="719">
          <cell r="A719" t="str">
            <v>ZONE-0105-POST</v>
          </cell>
          <cell r="B719">
            <v>243073</v>
          </cell>
          <cell r="C719" t="str">
            <v>A/P SALES TAX PROV OF MANITOBA</v>
          </cell>
        </row>
        <row r="720">
          <cell r="A720" t="str">
            <v>ZONE-0112-POST</v>
          </cell>
          <cell r="B720">
            <v>243073</v>
          </cell>
          <cell r="C720" t="str">
            <v>A/P SALES TAX PROV OF MANITOBA</v>
          </cell>
        </row>
        <row r="721">
          <cell r="A721">
            <v>8001054179</v>
          </cell>
          <cell r="B721">
            <v>243081</v>
          </cell>
          <cell r="C721" t="str">
            <v>A/P SALES TAX PROV OF ONTARIO</v>
          </cell>
        </row>
        <row r="722">
          <cell r="A722">
            <v>8001059542</v>
          </cell>
          <cell r="B722">
            <v>243081</v>
          </cell>
          <cell r="C722" t="str">
            <v>A/P SALES TAX PROV OF ONTARIO</v>
          </cell>
        </row>
        <row r="723">
          <cell r="A723">
            <v>8010512510</v>
          </cell>
          <cell r="B723">
            <v>243081</v>
          </cell>
          <cell r="C723" t="str">
            <v>A/P SALES TAX PROV OF ONTARIO</v>
          </cell>
        </row>
        <row r="724">
          <cell r="A724">
            <v>9969681</v>
          </cell>
          <cell r="B724">
            <v>243081</v>
          </cell>
          <cell r="C724" t="str">
            <v>A/P SALES TAX PROV OF ONTARIO</v>
          </cell>
        </row>
        <row r="725">
          <cell r="A725">
            <v>9969901</v>
          </cell>
          <cell r="B725">
            <v>243081</v>
          </cell>
          <cell r="C725" t="str">
            <v>A/P SALES TAX PROV OF ONTARIO</v>
          </cell>
        </row>
        <row r="726">
          <cell r="A726" t="str">
            <v>ZONE-0105-POST</v>
          </cell>
          <cell r="B726">
            <v>243081</v>
          </cell>
          <cell r="C726" t="str">
            <v>A/P SALES TAX PROV OF ONTARIO</v>
          </cell>
        </row>
        <row r="727">
          <cell r="A727" t="str">
            <v>ZONE-0112-POST</v>
          </cell>
          <cell r="B727">
            <v>243081</v>
          </cell>
          <cell r="C727" t="str">
            <v>A/P SALES TAX PROV OF ONTARIO</v>
          </cell>
        </row>
        <row r="728">
          <cell r="A728">
            <v>8001054179</v>
          </cell>
          <cell r="B728">
            <v>243084</v>
          </cell>
          <cell r="C728" t="str">
            <v>A/P SALES TAX PROV OF SASK.</v>
          </cell>
        </row>
        <row r="729">
          <cell r="A729">
            <v>8001059542</v>
          </cell>
          <cell r="B729">
            <v>243084</v>
          </cell>
          <cell r="C729" t="str">
            <v>A/P SALES TAX PROV OF SASK.</v>
          </cell>
        </row>
        <row r="730">
          <cell r="A730">
            <v>8010512510</v>
          </cell>
          <cell r="B730">
            <v>243084</v>
          </cell>
          <cell r="C730" t="str">
            <v>A/P SALES TAX PROV OF SASK.</v>
          </cell>
        </row>
        <row r="731">
          <cell r="A731">
            <v>9969681</v>
          </cell>
          <cell r="B731">
            <v>243084</v>
          </cell>
          <cell r="C731" t="str">
            <v>A/P SALES TAX PROV OF SASK.</v>
          </cell>
        </row>
        <row r="732">
          <cell r="A732">
            <v>9969901</v>
          </cell>
          <cell r="B732">
            <v>243084</v>
          </cell>
          <cell r="C732" t="str">
            <v>A/P SALES TAX PROV OF SASK.</v>
          </cell>
        </row>
        <row r="733">
          <cell r="A733" t="str">
            <v>ZONE-0105-POST</v>
          </cell>
          <cell r="B733">
            <v>243084</v>
          </cell>
          <cell r="C733" t="str">
            <v>A/P SALES TAX PROV OF SASK.</v>
          </cell>
        </row>
        <row r="734">
          <cell r="A734" t="str">
            <v>ZONE-0112-POST</v>
          </cell>
          <cell r="B734">
            <v>243084</v>
          </cell>
          <cell r="C734" t="str">
            <v>A/P SALES TAX PROV OF SASK.</v>
          </cell>
        </row>
        <row r="735">
          <cell r="A735">
            <v>9080999</v>
          </cell>
          <cell r="B735">
            <v>243100</v>
          </cell>
          <cell r="C735" t="str">
            <v>ACCTS PAY-SALES TAX</v>
          </cell>
        </row>
        <row r="736">
          <cell r="A736">
            <v>9090999</v>
          </cell>
          <cell r="B736">
            <v>243100</v>
          </cell>
          <cell r="C736" t="str">
            <v>ACCTS PAY-SALES TAX</v>
          </cell>
        </row>
        <row r="737">
          <cell r="A737">
            <v>9100999</v>
          </cell>
          <cell r="B737">
            <v>243100</v>
          </cell>
          <cell r="C737" t="str">
            <v>ACCTS PAY-SALES TAX</v>
          </cell>
        </row>
        <row r="738">
          <cell r="A738">
            <v>9110999</v>
          </cell>
          <cell r="B738">
            <v>243100</v>
          </cell>
          <cell r="C738" t="str">
            <v>ACCTS PAY-SALES TAX</v>
          </cell>
        </row>
        <row r="739">
          <cell r="A739">
            <v>9689999</v>
          </cell>
          <cell r="B739">
            <v>243100</v>
          </cell>
          <cell r="C739" t="str">
            <v>ACCTS PAY-SALES TAX</v>
          </cell>
        </row>
        <row r="740">
          <cell r="A740">
            <v>9080999</v>
          </cell>
          <cell r="B740">
            <v>247002</v>
          </cell>
          <cell r="C740" t="str">
            <v>A/P WITHHOLDING TAX - AZ</v>
          </cell>
        </row>
        <row r="741">
          <cell r="A741">
            <v>9110999</v>
          </cell>
          <cell r="B741">
            <v>247002</v>
          </cell>
          <cell r="C741" t="str">
            <v>A/P WITHHOLDING TAX - AZ</v>
          </cell>
        </row>
        <row r="742">
          <cell r="A742">
            <v>9689999</v>
          </cell>
          <cell r="B742">
            <v>247002</v>
          </cell>
          <cell r="C742" t="str">
            <v>A/P WITHHOLDING TAX - AZ</v>
          </cell>
        </row>
        <row r="743">
          <cell r="A743">
            <v>9080999</v>
          </cell>
          <cell r="B743">
            <v>247006</v>
          </cell>
          <cell r="C743" t="str">
            <v>A/P WITHHOLDING TAX - CT</v>
          </cell>
        </row>
        <row r="744">
          <cell r="A744">
            <v>9110999</v>
          </cell>
          <cell r="B744">
            <v>247006</v>
          </cell>
          <cell r="C744" t="str">
            <v>A/P WITHHOLDING TAX - CT</v>
          </cell>
        </row>
        <row r="745">
          <cell r="A745">
            <v>9689999</v>
          </cell>
          <cell r="B745">
            <v>247006</v>
          </cell>
          <cell r="C745" t="str">
            <v>A/P WITHHOLDING TAX - CT</v>
          </cell>
        </row>
        <row r="746">
          <cell r="A746">
            <v>9080999</v>
          </cell>
          <cell r="B746">
            <v>247010</v>
          </cell>
          <cell r="C746" t="str">
            <v>A/P WITHHOLDING TAX - GA</v>
          </cell>
        </row>
        <row r="747">
          <cell r="A747">
            <v>9110999</v>
          </cell>
          <cell r="B747">
            <v>247010</v>
          </cell>
          <cell r="C747" t="str">
            <v>A/P WITHHOLDING TAX - GA</v>
          </cell>
        </row>
        <row r="748">
          <cell r="A748">
            <v>9689999</v>
          </cell>
          <cell r="B748">
            <v>247010</v>
          </cell>
          <cell r="C748" t="str">
            <v>A/P WITHHOLDING TAX - GA</v>
          </cell>
        </row>
        <row r="749">
          <cell r="A749">
            <v>9080999</v>
          </cell>
          <cell r="B749">
            <v>247012</v>
          </cell>
          <cell r="C749" t="str">
            <v>A/P WITHHOLDING TAX - IL</v>
          </cell>
        </row>
        <row r="750">
          <cell r="A750">
            <v>9110999</v>
          </cell>
          <cell r="B750">
            <v>247012</v>
          </cell>
          <cell r="C750" t="str">
            <v>A/P WITHHOLDING TAX - IL</v>
          </cell>
        </row>
        <row r="751">
          <cell r="A751">
            <v>9689999</v>
          </cell>
          <cell r="B751">
            <v>247012</v>
          </cell>
          <cell r="C751" t="str">
            <v>A/P WITHHOLDING TAX - IL</v>
          </cell>
        </row>
        <row r="752">
          <cell r="A752">
            <v>9080999</v>
          </cell>
          <cell r="B752">
            <v>247015</v>
          </cell>
          <cell r="C752" t="str">
            <v>A/P WITHHOLDING TAX - KS</v>
          </cell>
        </row>
        <row r="753">
          <cell r="A753">
            <v>9110999</v>
          </cell>
          <cell r="B753">
            <v>247015</v>
          </cell>
          <cell r="C753" t="str">
            <v>A/P WITHHOLDING TAX - KS</v>
          </cell>
        </row>
        <row r="754">
          <cell r="A754">
            <v>9689999</v>
          </cell>
          <cell r="B754">
            <v>247015</v>
          </cell>
          <cell r="C754" t="str">
            <v>A/P WITHHOLDING TAX - KS</v>
          </cell>
        </row>
        <row r="755">
          <cell r="A755">
            <v>9080999</v>
          </cell>
          <cell r="B755">
            <v>247018</v>
          </cell>
          <cell r="C755" t="str">
            <v>A/P WITHHOLDING- MAINE</v>
          </cell>
        </row>
        <row r="756">
          <cell r="A756">
            <v>9110999</v>
          </cell>
          <cell r="B756">
            <v>247018</v>
          </cell>
          <cell r="C756" t="str">
            <v>A/P WITHHOLDING- MAINE</v>
          </cell>
        </row>
        <row r="757">
          <cell r="A757">
            <v>9689999</v>
          </cell>
          <cell r="B757">
            <v>247018</v>
          </cell>
          <cell r="C757" t="str">
            <v>A/P WITHHOLDING- MAINE</v>
          </cell>
        </row>
        <row r="758">
          <cell r="A758">
            <v>9080999</v>
          </cell>
          <cell r="B758">
            <v>247020</v>
          </cell>
          <cell r="C758" t="str">
            <v>A/P WITHHOLDING TAX - MA</v>
          </cell>
        </row>
        <row r="759">
          <cell r="A759">
            <v>9110999</v>
          </cell>
          <cell r="B759">
            <v>247020</v>
          </cell>
          <cell r="C759" t="str">
            <v>A/P WITHHOLDING TAX - MA</v>
          </cell>
        </row>
        <row r="760">
          <cell r="A760">
            <v>9689883</v>
          </cell>
          <cell r="B760">
            <v>247020</v>
          </cell>
          <cell r="C760" t="str">
            <v>A/P WITHHOLDING TAX - MA</v>
          </cell>
        </row>
        <row r="761">
          <cell r="A761">
            <v>9689906</v>
          </cell>
          <cell r="B761">
            <v>247020</v>
          </cell>
          <cell r="C761" t="str">
            <v>A/P WITHHOLDING TAX - MA</v>
          </cell>
        </row>
        <row r="762">
          <cell r="A762">
            <v>9689992</v>
          </cell>
          <cell r="B762">
            <v>247020</v>
          </cell>
          <cell r="C762" t="str">
            <v>A/P WITHHOLDING TAX - MA</v>
          </cell>
        </row>
        <row r="763">
          <cell r="A763">
            <v>9689999</v>
          </cell>
          <cell r="B763">
            <v>247020</v>
          </cell>
          <cell r="C763" t="str">
            <v>A/P WITHHOLDING TAX - MA</v>
          </cell>
        </row>
        <row r="764">
          <cell r="A764">
            <v>9080999</v>
          </cell>
          <cell r="B764">
            <v>247022</v>
          </cell>
          <cell r="C764" t="str">
            <v>A/P WITHHOLDING TAX - MN</v>
          </cell>
        </row>
        <row r="765">
          <cell r="A765">
            <v>9110999</v>
          </cell>
          <cell r="B765">
            <v>247022</v>
          </cell>
          <cell r="C765" t="str">
            <v>A/P WITHHOLDING TAX - MN</v>
          </cell>
        </row>
        <row r="766">
          <cell r="A766">
            <v>9689999</v>
          </cell>
          <cell r="B766">
            <v>247022</v>
          </cell>
          <cell r="C766" t="str">
            <v>A/P WITHHOLDING TAX - MN</v>
          </cell>
        </row>
        <row r="767">
          <cell r="A767">
            <v>9080999</v>
          </cell>
          <cell r="B767">
            <v>247029</v>
          </cell>
          <cell r="C767" t="str">
            <v>A/P WITHHOLDING TAX - NJ</v>
          </cell>
        </row>
        <row r="768">
          <cell r="A768">
            <v>9110999</v>
          </cell>
          <cell r="B768">
            <v>247029</v>
          </cell>
          <cell r="C768" t="str">
            <v>A/P WITHHOLDING TAX - NJ</v>
          </cell>
        </row>
        <row r="769">
          <cell r="A769">
            <v>9689999</v>
          </cell>
          <cell r="B769">
            <v>247029</v>
          </cell>
          <cell r="C769" t="str">
            <v>A/P WITHHOLDING TAX - NJ</v>
          </cell>
        </row>
        <row r="770">
          <cell r="A770">
            <v>9080999</v>
          </cell>
          <cell r="B770">
            <v>247031</v>
          </cell>
          <cell r="C770" t="str">
            <v>A/P WITHHOLDING TAX - NY</v>
          </cell>
        </row>
        <row r="771">
          <cell r="A771">
            <v>9110999</v>
          </cell>
          <cell r="B771">
            <v>247031</v>
          </cell>
          <cell r="C771" t="str">
            <v>A/P WITHHOLDING TAX - NY</v>
          </cell>
        </row>
        <row r="772">
          <cell r="A772">
            <v>9689999</v>
          </cell>
          <cell r="B772">
            <v>247031</v>
          </cell>
          <cell r="C772" t="str">
            <v>A/P WITHHOLDING TAX - NY</v>
          </cell>
        </row>
        <row r="773">
          <cell r="A773">
            <v>9080999</v>
          </cell>
          <cell r="B773">
            <v>247032</v>
          </cell>
          <cell r="C773" t="str">
            <v>A/E WITHHOLDING TAX - NC</v>
          </cell>
        </row>
        <row r="774">
          <cell r="A774">
            <v>9110999</v>
          </cell>
          <cell r="B774">
            <v>247032</v>
          </cell>
          <cell r="C774" t="str">
            <v>A/E WITHHOLDING TAX - NC</v>
          </cell>
        </row>
        <row r="775">
          <cell r="A775">
            <v>9689999</v>
          </cell>
          <cell r="B775">
            <v>247032</v>
          </cell>
          <cell r="C775" t="str">
            <v>A/E WITHHOLDING TAX - NC</v>
          </cell>
        </row>
        <row r="776">
          <cell r="A776">
            <v>9080999</v>
          </cell>
          <cell r="B776">
            <v>247035</v>
          </cell>
          <cell r="C776" t="str">
            <v>A/P WITHHOLDING TAX - OK</v>
          </cell>
        </row>
        <row r="777">
          <cell r="A777">
            <v>9110999</v>
          </cell>
          <cell r="B777">
            <v>247035</v>
          </cell>
          <cell r="C777" t="str">
            <v>A/P WITHHOLDING TAX - OK</v>
          </cell>
        </row>
        <row r="778">
          <cell r="A778">
            <v>9689999</v>
          </cell>
          <cell r="B778">
            <v>247035</v>
          </cell>
          <cell r="C778" t="str">
            <v>A/P WITHHOLDING TAX - OK</v>
          </cell>
        </row>
        <row r="779">
          <cell r="A779">
            <v>9080999</v>
          </cell>
          <cell r="B779">
            <v>247037</v>
          </cell>
          <cell r="C779" t="str">
            <v>A/P WITHHOLDING TAX - PA</v>
          </cell>
        </row>
        <row r="780">
          <cell r="A780">
            <v>9110999</v>
          </cell>
          <cell r="B780">
            <v>247037</v>
          </cell>
          <cell r="C780" t="str">
            <v>A/P WITHHOLDING TAX - PA</v>
          </cell>
        </row>
        <row r="781">
          <cell r="A781">
            <v>9689883</v>
          </cell>
          <cell r="B781">
            <v>247037</v>
          </cell>
          <cell r="C781" t="str">
            <v>A/P WITHHOLDING TAX - PA</v>
          </cell>
        </row>
        <row r="782">
          <cell r="A782">
            <v>9689906</v>
          </cell>
          <cell r="B782">
            <v>247037</v>
          </cell>
          <cell r="C782" t="str">
            <v>A/P WITHHOLDING TAX - PA</v>
          </cell>
        </row>
        <row r="783">
          <cell r="A783">
            <v>9689992</v>
          </cell>
          <cell r="B783">
            <v>247037</v>
          </cell>
          <cell r="C783" t="str">
            <v>A/P WITHHOLDING TAX - PA</v>
          </cell>
        </row>
        <row r="784">
          <cell r="A784">
            <v>9689999</v>
          </cell>
          <cell r="B784">
            <v>247037</v>
          </cell>
          <cell r="C784" t="str">
            <v>A/P WITHHOLDING TAX - PA</v>
          </cell>
        </row>
        <row r="785">
          <cell r="A785">
            <v>9080999</v>
          </cell>
          <cell r="B785">
            <v>247100</v>
          </cell>
          <cell r="C785" t="str">
            <v>A/P WITHHOLDING TAX-EXPATRIATE</v>
          </cell>
        </row>
        <row r="786">
          <cell r="A786">
            <v>9110999</v>
          </cell>
          <cell r="B786">
            <v>247100</v>
          </cell>
          <cell r="C786" t="str">
            <v>A/P WITHHOLDING TAX-EXPATRIATE</v>
          </cell>
        </row>
        <row r="787">
          <cell r="A787">
            <v>9689999</v>
          </cell>
          <cell r="B787">
            <v>247100</v>
          </cell>
          <cell r="C787" t="str">
            <v>A/P WITHHOLDING TAX-EXPATRIATE</v>
          </cell>
        </row>
        <row r="788">
          <cell r="A788">
            <v>9080999</v>
          </cell>
          <cell r="B788">
            <v>247210</v>
          </cell>
          <cell r="C788" t="str">
            <v>ACCR EXP-HEALTH MAINTENANCE-PS</v>
          </cell>
        </row>
        <row r="789">
          <cell r="A789">
            <v>9110999</v>
          </cell>
          <cell r="B789">
            <v>247210</v>
          </cell>
          <cell r="C789" t="str">
            <v>ACCR EXP-HEALTH MAINTENANCE-PS</v>
          </cell>
        </row>
        <row r="790">
          <cell r="A790">
            <v>9689999</v>
          </cell>
          <cell r="B790">
            <v>247210</v>
          </cell>
          <cell r="C790" t="str">
            <v>ACCR EXP-HEALTH MAINTENANCE-PS</v>
          </cell>
        </row>
        <row r="791">
          <cell r="A791">
            <v>9080999</v>
          </cell>
          <cell r="B791">
            <v>247211</v>
          </cell>
          <cell r="C791" t="str">
            <v>ACCR EXP-UNEMP INSUR-EMPLYR-PS</v>
          </cell>
        </row>
        <row r="792">
          <cell r="A792">
            <v>9110999</v>
          </cell>
          <cell r="B792">
            <v>247211</v>
          </cell>
          <cell r="C792" t="str">
            <v>ACCR EXP-UNEMP INSUR-EMPLYR-PS</v>
          </cell>
        </row>
        <row r="793">
          <cell r="A793">
            <v>9689999</v>
          </cell>
          <cell r="B793">
            <v>247211</v>
          </cell>
          <cell r="C793" t="str">
            <v>ACCR EXP-UNEMP INSUR-EMPLYR-PS</v>
          </cell>
        </row>
        <row r="794">
          <cell r="A794">
            <v>9080999</v>
          </cell>
          <cell r="B794">
            <v>247212</v>
          </cell>
          <cell r="C794" t="str">
            <v>ACCR EXP-FED INS CONTRI ACT-PS</v>
          </cell>
        </row>
        <row r="795">
          <cell r="A795">
            <v>9110999</v>
          </cell>
          <cell r="B795">
            <v>247212</v>
          </cell>
          <cell r="C795" t="str">
            <v>ACCR EXP-FED INS CONTRI ACT-PS</v>
          </cell>
        </row>
        <row r="796">
          <cell r="A796">
            <v>9689999</v>
          </cell>
          <cell r="B796">
            <v>247212</v>
          </cell>
          <cell r="C796" t="str">
            <v>ACCR EXP-FED INS CONTRI ACT-PS</v>
          </cell>
        </row>
        <row r="797">
          <cell r="A797">
            <v>9080999</v>
          </cell>
          <cell r="B797">
            <v>247213</v>
          </cell>
          <cell r="C797" t="str">
            <v>A/E MEDICARE - EMPLOYER-PS</v>
          </cell>
        </row>
        <row r="798">
          <cell r="A798">
            <v>9110999</v>
          </cell>
          <cell r="B798">
            <v>247213</v>
          </cell>
          <cell r="C798" t="str">
            <v>A/E MEDICARE - EMPLOYER-PS</v>
          </cell>
        </row>
        <row r="799">
          <cell r="A799">
            <v>9689999</v>
          </cell>
          <cell r="B799">
            <v>247213</v>
          </cell>
          <cell r="C799" t="str">
            <v>A/E MEDICARE - EMPLOYER-PS</v>
          </cell>
        </row>
        <row r="800">
          <cell r="A800">
            <v>9080999</v>
          </cell>
          <cell r="B800">
            <v>247350</v>
          </cell>
          <cell r="C800" t="str">
            <v>A/P DIRECT DEPOSIT-EMP DEDUCT</v>
          </cell>
        </row>
        <row r="801">
          <cell r="A801">
            <v>9110999</v>
          </cell>
          <cell r="B801">
            <v>247350</v>
          </cell>
          <cell r="C801" t="str">
            <v>A/P DIRECT DEPOSIT-EMP DEDUCT</v>
          </cell>
        </row>
        <row r="802">
          <cell r="A802">
            <v>9689999</v>
          </cell>
          <cell r="B802">
            <v>247350</v>
          </cell>
          <cell r="C802" t="str">
            <v>A/P DIRECT DEPOSIT-EMP DEDUCT</v>
          </cell>
        </row>
        <row r="803">
          <cell r="A803">
            <v>9080999</v>
          </cell>
          <cell r="B803">
            <v>247471</v>
          </cell>
          <cell r="C803" t="str">
            <v>A/P OTHER SALARY DEFERRAL</v>
          </cell>
        </row>
        <row r="804">
          <cell r="A804">
            <v>9110999</v>
          </cell>
          <cell r="B804">
            <v>247471</v>
          </cell>
          <cell r="C804" t="str">
            <v>A/P OTHER SALARY DEFERRAL</v>
          </cell>
        </row>
        <row r="805">
          <cell r="A805">
            <v>9689999</v>
          </cell>
          <cell r="B805">
            <v>247471</v>
          </cell>
          <cell r="C805" t="str">
            <v>A/P OTHER SALARY DEFERRAL</v>
          </cell>
        </row>
        <row r="806">
          <cell r="A806">
            <v>9080999</v>
          </cell>
          <cell r="B806">
            <v>247525</v>
          </cell>
          <cell r="C806" t="str">
            <v>A/P DISABL INS-ST OF CA (SDI)</v>
          </cell>
        </row>
        <row r="807">
          <cell r="A807">
            <v>9110999</v>
          </cell>
          <cell r="B807">
            <v>247525</v>
          </cell>
          <cell r="C807" t="str">
            <v>A/P DISABL INS-ST OF CA (SDI)</v>
          </cell>
        </row>
        <row r="808">
          <cell r="A808">
            <v>9689999</v>
          </cell>
          <cell r="B808">
            <v>247525</v>
          </cell>
          <cell r="C808" t="str">
            <v>A/P DISABL INS-ST OF CA (SDI)</v>
          </cell>
        </row>
        <row r="809">
          <cell r="A809">
            <v>9080999</v>
          </cell>
          <cell r="B809">
            <v>247537</v>
          </cell>
          <cell r="C809" t="str">
            <v>A/P - OCCUPATIONAL PRIVILEDGE TAX - PA</v>
          </cell>
        </row>
        <row r="810">
          <cell r="A810">
            <v>9110999</v>
          </cell>
          <cell r="B810">
            <v>247537</v>
          </cell>
          <cell r="C810" t="str">
            <v>A/P - OCCUPATIONAL PRIVILEDGE TAX - PA</v>
          </cell>
        </row>
        <row r="811">
          <cell r="A811">
            <v>9689999</v>
          </cell>
          <cell r="B811">
            <v>247537</v>
          </cell>
          <cell r="C811" t="str">
            <v>A/P - OCCUPATIONAL PRIVILEDGE TAX - PA</v>
          </cell>
        </row>
        <row r="812">
          <cell r="A812">
            <v>9080999</v>
          </cell>
          <cell r="B812">
            <v>247637</v>
          </cell>
          <cell r="C812" t="str">
            <v>A/P - LOCAL INCOME WITHHOLDING TAX - PA</v>
          </cell>
        </row>
        <row r="813">
          <cell r="A813">
            <v>9110999</v>
          </cell>
          <cell r="B813">
            <v>247637</v>
          </cell>
          <cell r="C813" t="str">
            <v>A/P - LOCAL INCOME WITHHOLDING TAX - PA</v>
          </cell>
        </row>
        <row r="814">
          <cell r="A814">
            <v>9689999</v>
          </cell>
          <cell r="B814">
            <v>247637</v>
          </cell>
          <cell r="C814" t="str">
            <v>A/P - LOCAL INCOME WITHHOLDING TAX - PA</v>
          </cell>
        </row>
        <row r="815">
          <cell r="A815">
            <v>9090999</v>
          </cell>
          <cell r="B815">
            <v>247900</v>
          </cell>
          <cell r="C815" t="str">
            <v>A/P FLEX SPEND ACCT-HLTH CARE</v>
          </cell>
        </row>
        <row r="816">
          <cell r="A816">
            <v>9100999</v>
          </cell>
          <cell r="B816">
            <v>247900</v>
          </cell>
          <cell r="C816" t="str">
            <v>A/P FLEX SPEND ACCT-HLTH CARE</v>
          </cell>
        </row>
        <row r="817">
          <cell r="A817">
            <v>9080999</v>
          </cell>
          <cell r="B817">
            <v>247948</v>
          </cell>
          <cell r="C817" t="str">
            <v>SAFEWAY FOUNDATION</v>
          </cell>
        </row>
        <row r="818">
          <cell r="A818">
            <v>9110999</v>
          </cell>
          <cell r="B818">
            <v>247948</v>
          </cell>
          <cell r="C818" t="str">
            <v>SAFEWAY FOUNDATION</v>
          </cell>
        </row>
        <row r="819">
          <cell r="A819">
            <v>9689999</v>
          </cell>
          <cell r="B819">
            <v>247948</v>
          </cell>
          <cell r="C819" t="str">
            <v>SAFEWAY FOUNDATION</v>
          </cell>
        </row>
        <row r="820">
          <cell r="A820">
            <v>9080999</v>
          </cell>
          <cell r="B820">
            <v>247950</v>
          </cell>
          <cell r="C820" t="str">
            <v>A/P WITHHOLDING TAX-FED PS</v>
          </cell>
        </row>
        <row r="821">
          <cell r="A821">
            <v>9110999</v>
          </cell>
          <cell r="B821">
            <v>247950</v>
          </cell>
          <cell r="C821" t="str">
            <v>A/P WITHHOLDING TAX-FED PS</v>
          </cell>
        </row>
        <row r="822">
          <cell r="A822">
            <v>9689999</v>
          </cell>
          <cell r="B822">
            <v>247950</v>
          </cell>
          <cell r="C822" t="str">
            <v>A/P WITHHOLDING TAX-FED PS</v>
          </cell>
        </row>
        <row r="823">
          <cell r="A823">
            <v>9080999</v>
          </cell>
          <cell r="B823">
            <v>247955</v>
          </cell>
          <cell r="C823" t="str">
            <v>ACCTS PAY-STOCK PURCHASE PL-PS</v>
          </cell>
        </row>
        <row r="824">
          <cell r="A824">
            <v>9110999</v>
          </cell>
          <cell r="B824">
            <v>247955</v>
          </cell>
          <cell r="C824" t="str">
            <v>ACCTS PAY-STOCK PURCHASE PL-PS</v>
          </cell>
        </row>
        <row r="825">
          <cell r="A825">
            <v>9689999</v>
          </cell>
          <cell r="B825">
            <v>247955</v>
          </cell>
          <cell r="C825" t="str">
            <v>ACCTS PAY-STOCK PURCHASE PL-PS</v>
          </cell>
        </row>
        <row r="826">
          <cell r="A826">
            <v>9080701</v>
          </cell>
          <cell r="B826">
            <v>247959</v>
          </cell>
          <cell r="C826" t="str">
            <v>A/P LONG TERM DISABIL - EMP-PS</v>
          </cell>
        </row>
        <row r="827">
          <cell r="A827">
            <v>9080702</v>
          </cell>
          <cell r="B827">
            <v>247959</v>
          </cell>
          <cell r="C827" t="str">
            <v>A/P LONG TERM DISABIL - EMP-PS</v>
          </cell>
        </row>
        <row r="828">
          <cell r="A828">
            <v>9080705</v>
          </cell>
          <cell r="B828">
            <v>247959</v>
          </cell>
          <cell r="C828" t="str">
            <v>A/P LONG TERM DISABIL - EMP-PS</v>
          </cell>
        </row>
        <row r="829">
          <cell r="A829">
            <v>9080707</v>
          </cell>
          <cell r="B829">
            <v>247959</v>
          </cell>
          <cell r="C829" t="str">
            <v>A/P LONG TERM DISABIL - EMP-PS</v>
          </cell>
        </row>
        <row r="830">
          <cell r="A830">
            <v>9080710</v>
          </cell>
          <cell r="B830">
            <v>247959</v>
          </cell>
          <cell r="C830" t="str">
            <v>A/P LONG TERM DISABIL - EMP-PS</v>
          </cell>
        </row>
        <row r="831">
          <cell r="A831">
            <v>9080712</v>
          </cell>
          <cell r="B831">
            <v>247959</v>
          </cell>
          <cell r="C831" t="str">
            <v>A/P LONG TERM DISABIL - EMP-PS</v>
          </cell>
        </row>
        <row r="832">
          <cell r="A832">
            <v>9080999</v>
          </cell>
          <cell r="B832">
            <v>247959</v>
          </cell>
          <cell r="C832" t="str">
            <v>A/P LONG TERM DISABIL - EMP-PS</v>
          </cell>
        </row>
        <row r="833">
          <cell r="A833">
            <v>9110702</v>
          </cell>
          <cell r="B833">
            <v>247959</v>
          </cell>
          <cell r="C833" t="str">
            <v>A/P LONG TERM DISABIL - EMP-PS</v>
          </cell>
        </row>
        <row r="834">
          <cell r="A834">
            <v>9110705</v>
          </cell>
          <cell r="B834">
            <v>247959</v>
          </cell>
          <cell r="C834" t="str">
            <v>A/P LONG TERM DISABIL - EMP-PS</v>
          </cell>
        </row>
        <row r="835">
          <cell r="A835">
            <v>9110707</v>
          </cell>
          <cell r="B835">
            <v>247959</v>
          </cell>
          <cell r="C835" t="str">
            <v>A/P LONG TERM DISABIL - EMP-PS</v>
          </cell>
        </row>
        <row r="836">
          <cell r="A836">
            <v>9110712</v>
          </cell>
          <cell r="B836">
            <v>247959</v>
          </cell>
          <cell r="C836" t="str">
            <v>A/P LONG TERM DISABIL - EMP-PS</v>
          </cell>
        </row>
        <row r="837">
          <cell r="A837">
            <v>9110999</v>
          </cell>
          <cell r="B837">
            <v>247959</v>
          </cell>
          <cell r="C837" t="str">
            <v>A/P LONG TERM DISABIL - EMP-PS</v>
          </cell>
        </row>
        <row r="838">
          <cell r="A838">
            <v>9689999</v>
          </cell>
          <cell r="B838">
            <v>247959</v>
          </cell>
          <cell r="C838" t="str">
            <v>A/P LONG TERM DISABIL - EMP-PS</v>
          </cell>
        </row>
        <row r="839">
          <cell r="A839">
            <v>9080701</v>
          </cell>
          <cell r="B839">
            <v>247960</v>
          </cell>
          <cell r="C839" t="str">
            <v>A/P SUPLEMENT LIF INS-EM PD-PS</v>
          </cell>
        </row>
        <row r="840">
          <cell r="A840">
            <v>9080702</v>
          </cell>
          <cell r="B840">
            <v>247960</v>
          </cell>
          <cell r="C840" t="str">
            <v>A/P SUPLEMENT LIF INS-EM PD-PS</v>
          </cell>
        </row>
        <row r="841">
          <cell r="A841">
            <v>9080705</v>
          </cell>
          <cell r="B841">
            <v>247960</v>
          </cell>
          <cell r="C841" t="str">
            <v>A/P SUPLEMENT LIF INS-EM PD-PS</v>
          </cell>
        </row>
        <row r="842">
          <cell r="A842">
            <v>9080707</v>
          </cell>
          <cell r="B842">
            <v>247960</v>
          </cell>
          <cell r="C842" t="str">
            <v>A/P SUPLEMENT LIF INS-EM PD-PS</v>
          </cell>
        </row>
        <row r="843">
          <cell r="A843">
            <v>9080710</v>
          </cell>
          <cell r="B843">
            <v>247960</v>
          </cell>
          <cell r="C843" t="str">
            <v>A/P SUPLEMENT LIF INS-EM PD-PS</v>
          </cell>
        </row>
        <row r="844">
          <cell r="A844">
            <v>9080712</v>
          </cell>
          <cell r="B844">
            <v>247960</v>
          </cell>
          <cell r="C844" t="str">
            <v>A/P SUPLEMENT LIF INS-EM PD-PS</v>
          </cell>
        </row>
        <row r="845">
          <cell r="A845">
            <v>9080999</v>
          </cell>
          <cell r="B845">
            <v>247960</v>
          </cell>
          <cell r="C845" t="str">
            <v>A/P SUPLEMENT LIF INS-EM PD-PS</v>
          </cell>
        </row>
        <row r="846">
          <cell r="A846">
            <v>9110702</v>
          </cell>
          <cell r="B846">
            <v>247960</v>
          </cell>
          <cell r="C846" t="str">
            <v>A/P SUPLEMENT LIF INS-EM PD-PS</v>
          </cell>
        </row>
        <row r="847">
          <cell r="A847">
            <v>9110705</v>
          </cell>
          <cell r="B847">
            <v>247960</v>
          </cell>
          <cell r="C847" t="str">
            <v>A/P SUPLEMENT LIF INS-EM PD-PS</v>
          </cell>
        </row>
        <row r="848">
          <cell r="A848">
            <v>9110707</v>
          </cell>
          <cell r="B848">
            <v>247960</v>
          </cell>
          <cell r="C848" t="str">
            <v>A/P SUPLEMENT LIF INS-EM PD-PS</v>
          </cell>
        </row>
        <row r="849">
          <cell r="A849">
            <v>9110712</v>
          </cell>
          <cell r="B849">
            <v>247960</v>
          </cell>
          <cell r="C849" t="str">
            <v>A/P SUPLEMENT LIF INS-EM PD-PS</v>
          </cell>
        </row>
        <row r="850">
          <cell r="A850">
            <v>9110999</v>
          </cell>
          <cell r="B850">
            <v>247960</v>
          </cell>
          <cell r="C850" t="str">
            <v>A/P SUPLEMENT LIF INS-EM PD-PS</v>
          </cell>
        </row>
        <row r="851">
          <cell r="A851">
            <v>9689999</v>
          </cell>
          <cell r="B851">
            <v>247960</v>
          </cell>
          <cell r="C851" t="str">
            <v>A/P SUPLEMENT LIF INS-EM PD-PS</v>
          </cell>
        </row>
        <row r="852">
          <cell r="A852">
            <v>9080701</v>
          </cell>
          <cell r="B852">
            <v>247961</v>
          </cell>
          <cell r="C852" t="str">
            <v>A PAY-SAFEWAY EMPLOYEES AS-PS</v>
          </cell>
        </row>
        <row r="853">
          <cell r="A853">
            <v>9080702</v>
          </cell>
          <cell r="B853">
            <v>247961</v>
          </cell>
          <cell r="C853" t="str">
            <v>A PAY-SAFEWAY EMPLOYEES AS-PS</v>
          </cell>
        </row>
        <row r="854">
          <cell r="A854">
            <v>9080705</v>
          </cell>
          <cell r="B854">
            <v>247961</v>
          </cell>
          <cell r="C854" t="str">
            <v>A PAY-SAFEWAY EMPLOYEES AS-PS</v>
          </cell>
        </row>
        <row r="855">
          <cell r="A855">
            <v>9080707</v>
          </cell>
          <cell r="B855">
            <v>247961</v>
          </cell>
          <cell r="C855" t="str">
            <v>A PAY-SAFEWAY EMPLOYEES AS-PS</v>
          </cell>
        </row>
        <row r="856">
          <cell r="A856">
            <v>9080710</v>
          </cell>
          <cell r="B856">
            <v>247961</v>
          </cell>
          <cell r="C856" t="str">
            <v>A PAY-SAFEWAY EMPLOYEES AS-PS</v>
          </cell>
        </row>
        <row r="857">
          <cell r="A857">
            <v>9080712</v>
          </cell>
          <cell r="B857">
            <v>247961</v>
          </cell>
          <cell r="C857" t="str">
            <v>A PAY-SAFEWAY EMPLOYEES AS-PS</v>
          </cell>
        </row>
        <row r="858">
          <cell r="A858">
            <v>9080999</v>
          </cell>
          <cell r="B858">
            <v>247961</v>
          </cell>
          <cell r="C858" t="str">
            <v>A PAY-SAFEWAY EMPLOYEES AS-PS</v>
          </cell>
        </row>
        <row r="859">
          <cell r="A859">
            <v>9110702</v>
          </cell>
          <cell r="B859">
            <v>247961</v>
          </cell>
          <cell r="C859" t="str">
            <v>A PAY-SAFEWAY EMPLOYEES AS-PS</v>
          </cell>
        </row>
        <row r="860">
          <cell r="A860">
            <v>9110705</v>
          </cell>
          <cell r="B860">
            <v>247961</v>
          </cell>
          <cell r="C860" t="str">
            <v>A PAY-SAFEWAY EMPLOYEES AS-PS</v>
          </cell>
        </row>
        <row r="861">
          <cell r="A861">
            <v>9110707</v>
          </cell>
          <cell r="B861">
            <v>247961</v>
          </cell>
          <cell r="C861" t="str">
            <v>A PAY-SAFEWAY EMPLOYEES AS-PS</v>
          </cell>
        </row>
        <row r="862">
          <cell r="A862">
            <v>9110712</v>
          </cell>
          <cell r="B862">
            <v>247961</v>
          </cell>
          <cell r="C862" t="str">
            <v>A PAY-SAFEWAY EMPLOYEES AS-PS</v>
          </cell>
        </row>
        <row r="863">
          <cell r="A863">
            <v>9110999</v>
          </cell>
          <cell r="B863">
            <v>247961</v>
          </cell>
          <cell r="C863" t="str">
            <v>A PAY-SAFEWAY EMPLOYEES AS-PS</v>
          </cell>
        </row>
        <row r="864">
          <cell r="A864">
            <v>9689999</v>
          </cell>
          <cell r="B864">
            <v>247961</v>
          </cell>
          <cell r="C864" t="str">
            <v>A PAY-SAFEWAY EMPLOYEES AS-PS</v>
          </cell>
        </row>
        <row r="865">
          <cell r="A865">
            <v>9080999</v>
          </cell>
          <cell r="B865">
            <v>247963</v>
          </cell>
          <cell r="C865" t="str">
            <v>A/PAY-SAFEPAC EMPLOYEE PAY-PS</v>
          </cell>
        </row>
        <row r="866">
          <cell r="A866">
            <v>9110999</v>
          </cell>
          <cell r="B866">
            <v>247963</v>
          </cell>
          <cell r="C866" t="str">
            <v>A/PAY-SAFEPAC EMPLOYEE PAY-PS</v>
          </cell>
        </row>
        <row r="867">
          <cell r="A867">
            <v>9689999</v>
          </cell>
          <cell r="B867">
            <v>247963</v>
          </cell>
          <cell r="C867" t="str">
            <v>A/PAY-SAFEPAC EMPLOYEE PAY-PS</v>
          </cell>
        </row>
        <row r="868">
          <cell r="A868">
            <v>9080999</v>
          </cell>
          <cell r="B868">
            <v>247971</v>
          </cell>
          <cell r="C868" t="str">
            <v>EXECUTIVE DEFERRED COMPENSATIO</v>
          </cell>
        </row>
        <row r="869">
          <cell r="A869">
            <v>9110999</v>
          </cell>
          <cell r="B869">
            <v>247971</v>
          </cell>
          <cell r="C869" t="str">
            <v>EXECUTIVE DEFERRED COMPENSATIO</v>
          </cell>
        </row>
        <row r="870">
          <cell r="A870">
            <v>9689999</v>
          </cell>
          <cell r="B870">
            <v>247971</v>
          </cell>
          <cell r="C870" t="str">
            <v>EXECUTIVE DEFERRED COMPENSATIO</v>
          </cell>
        </row>
        <row r="871">
          <cell r="A871">
            <v>9080999</v>
          </cell>
          <cell r="B871">
            <v>247975</v>
          </cell>
          <cell r="C871" t="str">
            <v>ACCTS PAY-FEDERAL INSURANCE-PS</v>
          </cell>
        </row>
        <row r="872">
          <cell r="A872">
            <v>9110999</v>
          </cell>
          <cell r="B872">
            <v>247975</v>
          </cell>
          <cell r="C872" t="str">
            <v>ACCTS PAY-FEDERAL INSURANCE-PS</v>
          </cell>
        </row>
        <row r="873">
          <cell r="A873">
            <v>9689999</v>
          </cell>
          <cell r="B873">
            <v>247975</v>
          </cell>
          <cell r="C873" t="str">
            <v>ACCTS PAY-FEDERAL INSURANCE-PS</v>
          </cell>
        </row>
        <row r="874">
          <cell r="A874">
            <v>9080999</v>
          </cell>
          <cell r="B874">
            <v>247976</v>
          </cell>
          <cell r="C874" t="str">
            <v>A/P MEDICARE - EMPLOYEE-PS</v>
          </cell>
        </row>
        <row r="875">
          <cell r="A875">
            <v>9110999</v>
          </cell>
          <cell r="B875">
            <v>247976</v>
          </cell>
          <cell r="C875" t="str">
            <v>A/P MEDICARE - EMPLOYEE-PS</v>
          </cell>
        </row>
        <row r="876">
          <cell r="A876">
            <v>9689999</v>
          </cell>
          <cell r="B876">
            <v>247976</v>
          </cell>
          <cell r="C876" t="str">
            <v>A/P MEDICARE - EMPLOYEE-PS</v>
          </cell>
        </row>
        <row r="877">
          <cell r="A877">
            <v>9080999</v>
          </cell>
          <cell r="B877">
            <v>247977</v>
          </cell>
          <cell r="C877" t="str">
            <v>A/P FLEX SPEND AC-HLTH CARE-PS</v>
          </cell>
        </row>
        <row r="878">
          <cell r="A878">
            <v>9110999</v>
          </cell>
          <cell r="B878">
            <v>247977</v>
          </cell>
          <cell r="C878" t="str">
            <v>A/P FLEX SPEND AC-HLTH CARE-PS</v>
          </cell>
        </row>
        <row r="879">
          <cell r="A879">
            <v>9689999</v>
          </cell>
          <cell r="B879">
            <v>247977</v>
          </cell>
          <cell r="C879" t="str">
            <v>A/P FLEX SPEND AC-HLTH CARE-PS</v>
          </cell>
        </row>
        <row r="880">
          <cell r="A880">
            <v>9080999</v>
          </cell>
          <cell r="B880">
            <v>247978</v>
          </cell>
          <cell r="C880" t="str">
            <v>A/P FLEX SPEND -DEPNT CARE-PS</v>
          </cell>
        </row>
        <row r="881">
          <cell r="A881">
            <v>9110999</v>
          </cell>
          <cell r="B881">
            <v>247978</v>
          </cell>
          <cell r="C881" t="str">
            <v>A/P FLEX SPEND -DEPNT CARE-PS</v>
          </cell>
        </row>
        <row r="882">
          <cell r="A882">
            <v>9689999</v>
          </cell>
          <cell r="B882">
            <v>247978</v>
          </cell>
          <cell r="C882" t="str">
            <v>A/P FLEX SPEND -DEPNT CARE-PS</v>
          </cell>
        </row>
        <row r="883">
          <cell r="A883">
            <v>9080999</v>
          </cell>
          <cell r="B883">
            <v>247980</v>
          </cell>
          <cell r="C883" t="str">
            <v>A/P SAVINGS PLUS - PR</v>
          </cell>
        </row>
        <row r="884">
          <cell r="A884">
            <v>9110999</v>
          </cell>
          <cell r="B884">
            <v>247980</v>
          </cell>
          <cell r="C884" t="str">
            <v>A/P SAVINGS PLUS - PR</v>
          </cell>
        </row>
        <row r="885">
          <cell r="A885">
            <v>9689999</v>
          </cell>
          <cell r="B885">
            <v>247980</v>
          </cell>
          <cell r="C885" t="str">
            <v>A/P SAVINGS PLUS - PR</v>
          </cell>
        </row>
        <row r="886">
          <cell r="A886">
            <v>9080999</v>
          </cell>
          <cell r="B886">
            <v>247981</v>
          </cell>
          <cell r="C886" t="str">
            <v>A/P 401K LOAN DEDUCTIONS - 2</v>
          </cell>
        </row>
        <row r="887">
          <cell r="A887">
            <v>9110999</v>
          </cell>
          <cell r="B887">
            <v>247981</v>
          </cell>
          <cell r="C887" t="str">
            <v>A/P 401K LOAN DEDUCTIONS - 2</v>
          </cell>
        </row>
        <row r="888">
          <cell r="A888">
            <v>9689999</v>
          </cell>
          <cell r="B888">
            <v>247981</v>
          </cell>
          <cell r="C888" t="str">
            <v>A/P 401K LOAN DEDUCTIONS - 2</v>
          </cell>
        </row>
        <row r="889">
          <cell r="A889">
            <v>9080999</v>
          </cell>
          <cell r="B889">
            <v>247982</v>
          </cell>
          <cell r="C889" t="str">
            <v>A/P WITHHOLDING TAX - CA</v>
          </cell>
        </row>
        <row r="890">
          <cell r="A890">
            <v>9110999</v>
          </cell>
          <cell r="B890">
            <v>247982</v>
          </cell>
          <cell r="C890" t="str">
            <v>A/P WITHHOLDING TAX - CA</v>
          </cell>
        </row>
        <row r="891">
          <cell r="A891">
            <v>9689999</v>
          </cell>
          <cell r="B891">
            <v>247982</v>
          </cell>
          <cell r="C891" t="str">
            <v>A/P WITHHOLDING TAX - CA</v>
          </cell>
        </row>
        <row r="892">
          <cell r="A892">
            <v>9080999</v>
          </cell>
          <cell r="B892">
            <v>247983</v>
          </cell>
          <cell r="C892" t="str">
            <v>ACCTS PAY-GARNISHMENTS &amp; LIENS - PR</v>
          </cell>
        </row>
        <row r="893">
          <cell r="A893">
            <v>9110999</v>
          </cell>
          <cell r="B893">
            <v>247983</v>
          </cell>
          <cell r="C893" t="str">
            <v>ACCTS PAY-GARNISHMENTS &amp; LIENS - PR</v>
          </cell>
        </row>
        <row r="894">
          <cell r="A894">
            <v>9689999</v>
          </cell>
          <cell r="B894">
            <v>247983</v>
          </cell>
          <cell r="C894" t="str">
            <v>ACCTS PAY-GARNISHMENTS &amp; LIENS - PR</v>
          </cell>
        </row>
        <row r="895">
          <cell r="A895">
            <v>9722709</v>
          </cell>
          <cell r="B895">
            <v>247998</v>
          </cell>
          <cell r="C895" t="str">
            <v>GENUARDIS ACCRUED 1% TAX</v>
          </cell>
        </row>
        <row r="896">
          <cell r="A896">
            <v>9722713</v>
          </cell>
          <cell r="B896">
            <v>247998</v>
          </cell>
          <cell r="C896" t="str">
            <v>GENUARDIS ACCRUED 1% TAX</v>
          </cell>
        </row>
        <row r="897">
          <cell r="A897">
            <v>9080999</v>
          </cell>
          <cell r="B897">
            <v>248001</v>
          </cell>
          <cell r="C897" t="str">
            <v>DIV EQUITY - GIFT CERTIFICATES</v>
          </cell>
        </row>
        <row r="898">
          <cell r="A898">
            <v>9110999</v>
          </cell>
          <cell r="B898">
            <v>248001</v>
          </cell>
          <cell r="C898" t="str">
            <v>DIV EQUITY - GIFT CERTIFICATES</v>
          </cell>
        </row>
        <row r="899">
          <cell r="A899">
            <v>9689999</v>
          </cell>
          <cell r="B899">
            <v>248001</v>
          </cell>
          <cell r="C899" t="str">
            <v>DIV EQUITY - GIFT CERTIFICATES</v>
          </cell>
        </row>
        <row r="900">
          <cell r="A900">
            <v>9080700</v>
          </cell>
          <cell r="B900">
            <v>248016</v>
          </cell>
          <cell r="C900" t="str">
            <v>GIFT CARD - O/S CUSTOMERS</v>
          </cell>
        </row>
        <row r="901">
          <cell r="A901">
            <v>9080701</v>
          </cell>
          <cell r="B901">
            <v>248016</v>
          </cell>
          <cell r="C901" t="str">
            <v>GIFT CARD - O/S CUSTOMERS</v>
          </cell>
        </row>
        <row r="902">
          <cell r="A902">
            <v>9080702</v>
          </cell>
          <cell r="B902">
            <v>248016</v>
          </cell>
          <cell r="C902" t="str">
            <v>GIFT CARD - O/S CUSTOMERS</v>
          </cell>
        </row>
        <row r="903">
          <cell r="A903">
            <v>9080705</v>
          </cell>
          <cell r="B903">
            <v>248016</v>
          </cell>
          <cell r="C903" t="str">
            <v>GIFT CARD - O/S CUSTOMERS</v>
          </cell>
        </row>
        <row r="904">
          <cell r="A904">
            <v>9080707</v>
          </cell>
          <cell r="B904">
            <v>248016</v>
          </cell>
          <cell r="C904" t="str">
            <v>GIFT CARD - O/S CUSTOMERS</v>
          </cell>
        </row>
        <row r="905">
          <cell r="A905">
            <v>9080710</v>
          </cell>
          <cell r="B905">
            <v>248016</v>
          </cell>
          <cell r="C905" t="str">
            <v>GIFT CARD - O/S CUSTOMERS</v>
          </cell>
        </row>
        <row r="906">
          <cell r="A906">
            <v>9110700</v>
          </cell>
          <cell r="B906">
            <v>248016</v>
          </cell>
          <cell r="C906" t="str">
            <v>GIFT CARD - O/S CUSTOMERS</v>
          </cell>
        </row>
        <row r="907">
          <cell r="A907">
            <v>9110702</v>
          </cell>
          <cell r="B907">
            <v>248016</v>
          </cell>
          <cell r="C907" t="str">
            <v>GIFT CARD - O/S CUSTOMERS</v>
          </cell>
        </row>
        <row r="908">
          <cell r="A908">
            <v>9110705</v>
          </cell>
          <cell r="B908">
            <v>248016</v>
          </cell>
          <cell r="C908" t="str">
            <v>GIFT CARD - O/S CUSTOMERS</v>
          </cell>
        </row>
        <row r="909">
          <cell r="A909">
            <v>9110707</v>
          </cell>
          <cell r="B909">
            <v>248016</v>
          </cell>
          <cell r="C909" t="str">
            <v>GIFT CARD - O/S CUSTOMERS</v>
          </cell>
        </row>
        <row r="910">
          <cell r="A910">
            <v>9681700</v>
          </cell>
          <cell r="B910">
            <v>248016</v>
          </cell>
          <cell r="C910" t="str">
            <v>GIFT CARD - O/S CUSTOMERS</v>
          </cell>
        </row>
        <row r="911">
          <cell r="A911">
            <v>9681701</v>
          </cell>
          <cell r="B911">
            <v>248016</v>
          </cell>
          <cell r="C911" t="str">
            <v>GIFT CARD - O/S CUSTOMERS</v>
          </cell>
        </row>
        <row r="912">
          <cell r="A912">
            <v>9681702</v>
          </cell>
          <cell r="B912">
            <v>248016</v>
          </cell>
          <cell r="C912" t="str">
            <v>GIFT CARD - O/S CUSTOMERS</v>
          </cell>
        </row>
        <row r="913">
          <cell r="A913">
            <v>9681705</v>
          </cell>
          <cell r="B913">
            <v>248016</v>
          </cell>
          <cell r="C913" t="str">
            <v>GIFT CARD - O/S CUSTOMERS</v>
          </cell>
        </row>
        <row r="914">
          <cell r="A914">
            <v>9681706</v>
          </cell>
          <cell r="B914">
            <v>248016</v>
          </cell>
          <cell r="C914" t="str">
            <v>GIFT CARD - O/S CUSTOMERS</v>
          </cell>
        </row>
        <row r="915">
          <cell r="A915">
            <v>9681707</v>
          </cell>
          <cell r="B915">
            <v>248016</v>
          </cell>
          <cell r="C915" t="str">
            <v>GIFT CARD - O/S CUSTOMERS</v>
          </cell>
        </row>
        <row r="916">
          <cell r="A916">
            <v>9681712</v>
          </cell>
          <cell r="B916">
            <v>248016</v>
          </cell>
          <cell r="C916" t="str">
            <v>GIFT CARD - O/S CUSTOMERS</v>
          </cell>
        </row>
        <row r="917">
          <cell r="A917">
            <v>9681727</v>
          </cell>
          <cell r="B917">
            <v>248016</v>
          </cell>
          <cell r="C917" t="str">
            <v>GIFT CARD - O/S CUSTOMERS</v>
          </cell>
        </row>
        <row r="918">
          <cell r="A918">
            <v>9681749</v>
          </cell>
          <cell r="B918">
            <v>248016</v>
          </cell>
          <cell r="C918" t="str">
            <v>GIFT CARD - O/S CUSTOMERS</v>
          </cell>
        </row>
        <row r="919">
          <cell r="A919">
            <v>9681999</v>
          </cell>
          <cell r="B919">
            <v>248016</v>
          </cell>
          <cell r="C919" t="str">
            <v>GIFT CARD - O/S CUSTOMERS</v>
          </cell>
        </row>
        <row r="920">
          <cell r="A920">
            <v>9682715</v>
          </cell>
          <cell r="B920">
            <v>248016</v>
          </cell>
          <cell r="C920" t="str">
            <v>GIFT CARD - O/S CUSTOMERS</v>
          </cell>
        </row>
        <row r="921">
          <cell r="A921">
            <v>9682722</v>
          </cell>
          <cell r="B921">
            <v>248016</v>
          </cell>
          <cell r="C921" t="str">
            <v>GIFT CARD - O/S CUSTOMERS</v>
          </cell>
        </row>
        <row r="922">
          <cell r="A922">
            <v>9682999</v>
          </cell>
          <cell r="B922">
            <v>248016</v>
          </cell>
          <cell r="C922" t="str">
            <v>GIFT CARD - O/S CUSTOMERS</v>
          </cell>
        </row>
        <row r="923">
          <cell r="A923">
            <v>9689883</v>
          </cell>
          <cell r="B923">
            <v>248090</v>
          </cell>
          <cell r="C923" t="str">
            <v>A/P CASH RECEIPTS CLEARING</v>
          </cell>
        </row>
        <row r="924">
          <cell r="A924">
            <v>9689906</v>
          </cell>
          <cell r="B924">
            <v>248090</v>
          </cell>
          <cell r="C924" t="str">
            <v>A/P CASH RECEIPTS CLEARING</v>
          </cell>
        </row>
        <row r="925">
          <cell r="A925">
            <v>9689992</v>
          </cell>
          <cell r="B925">
            <v>248090</v>
          </cell>
          <cell r="C925" t="str">
            <v>A/P CASH RECEIPTS CLEARING</v>
          </cell>
        </row>
        <row r="926">
          <cell r="A926">
            <v>9090999</v>
          </cell>
          <cell r="B926">
            <v>248091</v>
          </cell>
          <cell r="C926" t="str">
            <v>A/P REAL ESTATE CLEARING</v>
          </cell>
        </row>
        <row r="927">
          <cell r="A927">
            <v>9100999</v>
          </cell>
          <cell r="B927">
            <v>248091</v>
          </cell>
          <cell r="C927" t="str">
            <v>A/P REAL ESTATE CLEARING</v>
          </cell>
        </row>
        <row r="928">
          <cell r="A928">
            <v>9680999</v>
          </cell>
          <cell r="B928">
            <v>248091</v>
          </cell>
          <cell r="C928" t="str">
            <v>A/P REAL ESTATE CLEARING</v>
          </cell>
        </row>
        <row r="929">
          <cell r="A929">
            <v>9684999</v>
          </cell>
          <cell r="B929">
            <v>248091</v>
          </cell>
          <cell r="C929" t="str">
            <v>A/P REAL ESTATE CLEARING</v>
          </cell>
        </row>
        <row r="930">
          <cell r="A930">
            <v>9689883</v>
          </cell>
          <cell r="B930">
            <v>248091</v>
          </cell>
          <cell r="C930" t="str">
            <v>A/P REAL ESTATE CLEARING</v>
          </cell>
        </row>
        <row r="931">
          <cell r="A931">
            <v>9689906</v>
          </cell>
          <cell r="B931">
            <v>248091</v>
          </cell>
          <cell r="C931" t="str">
            <v>A/P REAL ESTATE CLEARING</v>
          </cell>
        </row>
        <row r="932">
          <cell r="A932">
            <v>9689990</v>
          </cell>
          <cell r="B932">
            <v>248091</v>
          </cell>
          <cell r="C932" t="str">
            <v>A/P REAL ESTATE CLEARING</v>
          </cell>
        </row>
        <row r="933">
          <cell r="A933">
            <v>9689992</v>
          </cell>
          <cell r="B933">
            <v>248091</v>
          </cell>
          <cell r="C933" t="str">
            <v>A/P REAL ESTATE CLEARING</v>
          </cell>
        </row>
        <row r="934">
          <cell r="A934">
            <v>9080700</v>
          </cell>
          <cell r="B934">
            <v>248093</v>
          </cell>
          <cell r="C934" t="str">
            <v>ACCTS PAY-UNAPPLIED SALES PROC</v>
          </cell>
        </row>
        <row r="935">
          <cell r="A935">
            <v>9080701</v>
          </cell>
          <cell r="B935">
            <v>248093</v>
          </cell>
          <cell r="C935" t="str">
            <v>ACCTS PAY-UNAPPLIED SALES PROC</v>
          </cell>
        </row>
        <row r="936">
          <cell r="A936">
            <v>9080702</v>
          </cell>
          <cell r="B936">
            <v>248093</v>
          </cell>
          <cell r="C936" t="str">
            <v>ACCTS PAY-UNAPPLIED SALES PROC</v>
          </cell>
        </row>
        <row r="937">
          <cell r="A937">
            <v>9080705</v>
          </cell>
          <cell r="B937">
            <v>248093</v>
          </cell>
          <cell r="C937" t="str">
            <v>ACCTS PAY-UNAPPLIED SALES PROC</v>
          </cell>
        </row>
        <row r="938">
          <cell r="A938">
            <v>9080707</v>
          </cell>
          <cell r="B938">
            <v>248093</v>
          </cell>
          <cell r="C938" t="str">
            <v>ACCTS PAY-UNAPPLIED SALES PROC</v>
          </cell>
        </row>
        <row r="939">
          <cell r="A939">
            <v>9080710</v>
          </cell>
          <cell r="B939">
            <v>248093</v>
          </cell>
          <cell r="C939" t="str">
            <v>ACCTS PAY-UNAPPLIED SALES PROC</v>
          </cell>
        </row>
        <row r="940">
          <cell r="A940">
            <v>9080999</v>
          </cell>
          <cell r="B940">
            <v>248093</v>
          </cell>
          <cell r="C940" t="str">
            <v>ACCTS PAY-UNAPPLIED SALES PROC</v>
          </cell>
        </row>
        <row r="941">
          <cell r="A941">
            <v>9090999</v>
          </cell>
          <cell r="B941">
            <v>248093</v>
          </cell>
          <cell r="C941" t="str">
            <v>ACCTS PAY-UNAPPLIED SALES PROC</v>
          </cell>
        </row>
        <row r="942">
          <cell r="A942">
            <v>9100999</v>
          </cell>
          <cell r="B942">
            <v>248093</v>
          </cell>
          <cell r="C942" t="str">
            <v>ACCTS PAY-UNAPPLIED SALES PROC</v>
          </cell>
        </row>
        <row r="943">
          <cell r="A943">
            <v>9110700</v>
          </cell>
          <cell r="B943">
            <v>248093</v>
          </cell>
          <cell r="C943" t="str">
            <v>ACCTS PAY-UNAPPLIED SALES PROC</v>
          </cell>
        </row>
        <row r="944">
          <cell r="A944">
            <v>9110702</v>
          </cell>
          <cell r="B944">
            <v>248093</v>
          </cell>
          <cell r="C944" t="str">
            <v>ACCTS PAY-UNAPPLIED SALES PROC</v>
          </cell>
        </row>
        <row r="945">
          <cell r="A945">
            <v>9110705</v>
          </cell>
          <cell r="B945">
            <v>248093</v>
          </cell>
          <cell r="C945" t="str">
            <v>ACCTS PAY-UNAPPLIED SALES PROC</v>
          </cell>
        </row>
        <row r="946">
          <cell r="A946">
            <v>9110707</v>
          </cell>
          <cell r="B946">
            <v>248093</v>
          </cell>
          <cell r="C946" t="str">
            <v>ACCTS PAY-UNAPPLIED SALES PROC</v>
          </cell>
        </row>
        <row r="947">
          <cell r="A947">
            <v>9110999</v>
          </cell>
          <cell r="B947">
            <v>248093</v>
          </cell>
          <cell r="C947" t="str">
            <v>ACCTS PAY-UNAPPLIED SALES PROC</v>
          </cell>
        </row>
        <row r="948">
          <cell r="A948">
            <v>9680999</v>
          </cell>
          <cell r="B948">
            <v>248093</v>
          </cell>
          <cell r="C948" t="str">
            <v>ACCTS PAY-UNAPPLIED SALES PROC</v>
          </cell>
        </row>
        <row r="949">
          <cell r="A949">
            <v>9681700</v>
          </cell>
          <cell r="B949">
            <v>248093</v>
          </cell>
          <cell r="C949" t="str">
            <v>ACCTS PAY-UNAPPLIED SALES PROC</v>
          </cell>
        </row>
        <row r="950">
          <cell r="A950">
            <v>9681701</v>
          </cell>
          <cell r="B950">
            <v>248093</v>
          </cell>
          <cell r="C950" t="str">
            <v>ACCTS PAY-UNAPPLIED SALES PROC</v>
          </cell>
        </row>
        <row r="951">
          <cell r="A951">
            <v>9681702</v>
          </cell>
          <cell r="B951">
            <v>248093</v>
          </cell>
          <cell r="C951" t="str">
            <v>ACCTS PAY-UNAPPLIED SALES PROC</v>
          </cell>
        </row>
        <row r="952">
          <cell r="A952">
            <v>9681705</v>
          </cell>
          <cell r="B952">
            <v>248093</v>
          </cell>
          <cell r="C952" t="str">
            <v>ACCTS PAY-UNAPPLIED SALES PROC</v>
          </cell>
        </row>
        <row r="953">
          <cell r="A953">
            <v>9681706</v>
          </cell>
          <cell r="B953">
            <v>248093</v>
          </cell>
          <cell r="C953" t="str">
            <v>ACCTS PAY-UNAPPLIED SALES PROC</v>
          </cell>
        </row>
        <row r="954">
          <cell r="A954">
            <v>9681707</v>
          </cell>
          <cell r="B954">
            <v>248093</v>
          </cell>
          <cell r="C954" t="str">
            <v>ACCTS PAY-UNAPPLIED SALES PROC</v>
          </cell>
        </row>
        <row r="955">
          <cell r="A955">
            <v>9681712</v>
          </cell>
          <cell r="B955">
            <v>248093</v>
          </cell>
          <cell r="C955" t="str">
            <v>ACCTS PAY-UNAPPLIED SALES PROC</v>
          </cell>
        </row>
        <row r="956">
          <cell r="A956">
            <v>9681714</v>
          </cell>
          <cell r="B956">
            <v>248093</v>
          </cell>
          <cell r="C956" t="str">
            <v>ACCTS PAY-UNAPPLIED SALES PROC</v>
          </cell>
        </row>
        <row r="957">
          <cell r="A957">
            <v>9681727</v>
          </cell>
          <cell r="B957">
            <v>248093</v>
          </cell>
          <cell r="C957" t="str">
            <v>ACCTS PAY-UNAPPLIED SALES PROC</v>
          </cell>
        </row>
        <row r="958">
          <cell r="A958">
            <v>9681749</v>
          </cell>
          <cell r="B958">
            <v>248093</v>
          </cell>
          <cell r="C958" t="str">
            <v>ACCTS PAY-UNAPPLIED SALES PROC</v>
          </cell>
        </row>
        <row r="959">
          <cell r="A959">
            <v>9681999</v>
          </cell>
          <cell r="B959">
            <v>248093</v>
          </cell>
          <cell r="C959" t="str">
            <v>ACCTS PAY-UNAPPLIED SALES PROC</v>
          </cell>
        </row>
        <row r="960">
          <cell r="A960">
            <v>9682715</v>
          </cell>
          <cell r="B960">
            <v>248093</v>
          </cell>
          <cell r="C960" t="str">
            <v>ACCTS PAY-UNAPPLIED SALES PROC</v>
          </cell>
        </row>
        <row r="961">
          <cell r="A961">
            <v>9682722</v>
          </cell>
          <cell r="B961">
            <v>248093</v>
          </cell>
          <cell r="C961" t="str">
            <v>ACCTS PAY-UNAPPLIED SALES PROC</v>
          </cell>
        </row>
        <row r="962">
          <cell r="A962">
            <v>9682999</v>
          </cell>
          <cell r="B962">
            <v>248093</v>
          </cell>
          <cell r="C962" t="str">
            <v>ACCTS PAY-UNAPPLIED SALES PROC</v>
          </cell>
        </row>
        <row r="963">
          <cell r="A963">
            <v>9689883</v>
          </cell>
          <cell r="B963">
            <v>248093</v>
          </cell>
          <cell r="C963" t="str">
            <v>ACCTS PAY-UNAPPLIED SALES PROC</v>
          </cell>
        </row>
        <row r="964">
          <cell r="A964">
            <v>9689906</v>
          </cell>
          <cell r="B964">
            <v>248093</v>
          </cell>
          <cell r="C964" t="str">
            <v>ACCTS PAY-UNAPPLIED SALES PROC</v>
          </cell>
        </row>
        <row r="965">
          <cell r="A965">
            <v>9689991</v>
          </cell>
          <cell r="B965">
            <v>248093</v>
          </cell>
          <cell r="C965" t="str">
            <v>ACCTS PAY-UNAPPLIED SALES PROC</v>
          </cell>
        </row>
        <row r="966">
          <cell r="A966">
            <v>9689992</v>
          </cell>
          <cell r="B966">
            <v>248093</v>
          </cell>
          <cell r="C966" t="str">
            <v>ACCTS PAY-UNAPPLIED SALES PROC</v>
          </cell>
        </row>
        <row r="967">
          <cell r="A967">
            <v>9689993</v>
          </cell>
          <cell r="B967">
            <v>248093</v>
          </cell>
          <cell r="C967" t="str">
            <v>ACCTS PAY-UNAPPLIED SALES PROC</v>
          </cell>
        </row>
        <row r="968">
          <cell r="A968">
            <v>9689994</v>
          </cell>
          <cell r="B968">
            <v>248093</v>
          </cell>
          <cell r="C968" t="str">
            <v>ACCTS PAY-UNAPPLIED SALES PROC</v>
          </cell>
        </row>
        <row r="969">
          <cell r="A969">
            <v>9720703</v>
          </cell>
          <cell r="B969">
            <v>248093</v>
          </cell>
          <cell r="C969" t="str">
            <v>ACCTS PAY-UNAPPLIED SALES PROC</v>
          </cell>
        </row>
        <row r="970">
          <cell r="A970">
            <v>9724718</v>
          </cell>
          <cell r="B970">
            <v>248093</v>
          </cell>
          <cell r="C970" t="str">
            <v>ACCTS PAY-UNAPPLIED SALES PROC</v>
          </cell>
        </row>
        <row r="971">
          <cell r="A971">
            <v>9724721</v>
          </cell>
          <cell r="B971">
            <v>248093</v>
          </cell>
          <cell r="C971" t="str">
            <v>ACCTS PAY-UNAPPLIED SALES PROC</v>
          </cell>
        </row>
        <row r="972">
          <cell r="A972">
            <v>9724724</v>
          </cell>
          <cell r="B972">
            <v>248093</v>
          </cell>
          <cell r="C972" t="str">
            <v>ACCTS PAY-UNAPPLIED SALES PROC</v>
          </cell>
        </row>
        <row r="973">
          <cell r="A973">
            <v>9725703</v>
          </cell>
          <cell r="B973">
            <v>248093</v>
          </cell>
          <cell r="C973" t="str">
            <v>ACCTS PAY-UNAPPLIED SALES PROC</v>
          </cell>
        </row>
        <row r="974">
          <cell r="A974">
            <v>9725704</v>
          </cell>
          <cell r="B974">
            <v>248093</v>
          </cell>
          <cell r="C974" t="str">
            <v>ACCTS PAY-UNAPPLIED SALES PROC</v>
          </cell>
        </row>
        <row r="975">
          <cell r="A975">
            <v>9725711</v>
          </cell>
          <cell r="B975">
            <v>248093</v>
          </cell>
          <cell r="C975" t="str">
            <v>ACCTS PAY-UNAPPLIED SALES PROC</v>
          </cell>
        </row>
        <row r="976">
          <cell r="A976">
            <v>9725717</v>
          </cell>
          <cell r="B976">
            <v>248093</v>
          </cell>
          <cell r="C976" t="str">
            <v>ACCTS PAY-UNAPPLIED SALES PROC</v>
          </cell>
        </row>
        <row r="977">
          <cell r="A977">
            <v>9725725</v>
          </cell>
          <cell r="B977">
            <v>248093</v>
          </cell>
          <cell r="C977" t="str">
            <v>ACCTS PAY-UNAPPLIED SALES PROC</v>
          </cell>
        </row>
        <row r="978">
          <cell r="A978">
            <v>9090999</v>
          </cell>
          <cell r="B978">
            <v>248170</v>
          </cell>
          <cell r="C978" t="str">
            <v>A/P-CONTRACTORS &amp; EQUIP VENDOR</v>
          </cell>
        </row>
        <row r="979">
          <cell r="A979">
            <v>9100999</v>
          </cell>
          <cell r="B979">
            <v>248170</v>
          </cell>
          <cell r="C979" t="str">
            <v>A/P-CONTRACTORS &amp; EQUIP VENDOR</v>
          </cell>
        </row>
        <row r="980">
          <cell r="A980">
            <v>9722709</v>
          </cell>
          <cell r="B980">
            <v>248170</v>
          </cell>
          <cell r="C980" t="str">
            <v>A/P-CONTRACTORS &amp; EQUIP VENDOR</v>
          </cell>
        </row>
        <row r="981">
          <cell r="A981">
            <v>9722713</v>
          </cell>
          <cell r="B981">
            <v>248170</v>
          </cell>
          <cell r="C981" t="str">
            <v>A/P-CONTRACTORS &amp; EQUIP VENDOR</v>
          </cell>
        </row>
        <row r="982">
          <cell r="A982">
            <v>9090999</v>
          </cell>
          <cell r="B982">
            <v>248210</v>
          </cell>
          <cell r="C982" t="str">
            <v>A/P - DEPOSITS - OUTSIDE SALE</v>
          </cell>
        </row>
        <row r="983">
          <cell r="A983">
            <v>9100999</v>
          </cell>
          <cell r="B983">
            <v>248210</v>
          </cell>
          <cell r="C983" t="str">
            <v>A/P - DEPOSITS - OUTSIDE SALE</v>
          </cell>
        </row>
        <row r="984">
          <cell r="A984">
            <v>8001054179</v>
          </cell>
          <cell r="B984">
            <v>248604</v>
          </cell>
          <cell r="C984" t="str">
            <v>A/P-PARTNER GIFT CARD SALES</v>
          </cell>
        </row>
        <row r="985">
          <cell r="A985">
            <v>8001059542</v>
          </cell>
          <cell r="B985">
            <v>248604</v>
          </cell>
          <cell r="C985" t="str">
            <v>A/P-PARTNER GIFT CARD SALES</v>
          </cell>
        </row>
        <row r="986">
          <cell r="A986">
            <v>8010512510</v>
          </cell>
          <cell r="B986">
            <v>248604</v>
          </cell>
          <cell r="C986" t="str">
            <v>A/P-PARTNER GIFT CARD SALES</v>
          </cell>
        </row>
        <row r="987">
          <cell r="A987">
            <v>9080999</v>
          </cell>
          <cell r="B987">
            <v>248604</v>
          </cell>
          <cell r="C987" t="str">
            <v>A/P-PARTNER GIFT CARD SALES</v>
          </cell>
        </row>
        <row r="988">
          <cell r="A988">
            <v>9110999</v>
          </cell>
          <cell r="B988">
            <v>248604</v>
          </cell>
          <cell r="C988" t="str">
            <v>A/P-PARTNER GIFT CARD SALES</v>
          </cell>
        </row>
        <row r="989">
          <cell r="A989">
            <v>9682715</v>
          </cell>
          <cell r="B989">
            <v>248604</v>
          </cell>
          <cell r="C989" t="str">
            <v>A/P-PARTNER GIFT CARD SALES</v>
          </cell>
        </row>
        <row r="990">
          <cell r="A990">
            <v>9682722</v>
          </cell>
          <cell r="B990">
            <v>248604</v>
          </cell>
          <cell r="C990" t="str">
            <v>A/P-PARTNER GIFT CARD SALES</v>
          </cell>
        </row>
        <row r="991">
          <cell r="A991">
            <v>9682999</v>
          </cell>
          <cell r="B991">
            <v>248604</v>
          </cell>
          <cell r="C991" t="str">
            <v>A/P-PARTNER GIFT CARD SALES</v>
          </cell>
        </row>
        <row r="992">
          <cell r="A992">
            <v>9969681</v>
          </cell>
          <cell r="B992">
            <v>248604</v>
          </cell>
          <cell r="C992" t="str">
            <v>A/P-PARTNER GIFT CARD SALES</v>
          </cell>
        </row>
        <row r="993">
          <cell r="A993">
            <v>9969901</v>
          </cell>
          <cell r="B993">
            <v>248604</v>
          </cell>
          <cell r="C993" t="str">
            <v>A/P-PARTNER GIFT CARD SALES</v>
          </cell>
        </row>
        <row r="994">
          <cell r="A994" t="str">
            <v>ZONE-0105-POST</v>
          </cell>
          <cell r="B994">
            <v>248604</v>
          </cell>
          <cell r="C994" t="str">
            <v>A/P-PARTNER GIFT CARD SALES</v>
          </cell>
        </row>
        <row r="995">
          <cell r="A995" t="str">
            <v>ZONE-0112-POST</v>
          </cell>
          <cell r="B995">
            <v>248604</v>
          </cell>
          <cell r="C995" t="str">
            <v>A/P-PARTNER GIFT CARD SALES</v>
          </cell>
        </row>
        <row r="996">
          <cell r="A996">
            <v>9080999</v>
          </cell>
          <cell r="B996">
            <v>248605</v>
          </cell>
          <cell r="C996" t="str">
            <v>A/P SPA WISH GIFT CARDS</v>
          </cell>
        </row>
        <row r="997">
          <cell r="A997">
            <v>9110999</v>
          </cell>
          <cell r="B997">
            <v>248605</v>
          </cell>
          <cell r="C997" t="str">
            <v>A/P SPA WISH GIFT CARDS</v>
          </cell>
        </row>
        <row r="998">
          <cell r="A998">
            <v>9682715</v>
          </cell>
          <cell r="B998">
            <v>248605</v>
          </cell>
          <cell r="C998" t="str">
            <v>A/P SPA WISH GIFT CARDS</v>
          </cell>
        </row>
        <row r="999">
          <cell r="A999">
            <v>9682722</v>
          </cell>
          <cell r="B999">
            <v>248605</v>
          </cell>
          <cell r="C999" t="str">
            <v>A/P SPA WISH GIFT CARDS</v>
          </cell>
        </row>
        <row r="1000">
          <cell r="A1000">
            <v>9682999</v>
          </cell>
          <cell r="B1000">
            <v>248605</v>
          </cell>
          <cell r="C1000" t="str">
            <v>A/P SPA WISH GIFT CARDS</v>
          </cell>
        </row>
        <row r="1001">
          <cell r="A1001">
            <v>9090999</v>
          </cell>
          <cell r="B1001">
            <v>248606</v>
          </cell>
          <cell r="C1001" t="str">
            <v>A/P-TELECOM GIFT CARDS</v>
          </cell>
        </row>
        <row r="1002">
          <cell r="A1002">
            <v>9100999</v>
          </cell>
          <cell r="B1002">
            <v>248606</v>
          </cell>
          <cell r="C1002" t="str">
            <v>A/P-TELECOM GIFT CARDS</v>
          </cell>
        </row>
        <row r="1003">
          <cell r="A1003">
            <v>9682715</v>
          </cell>
          <cell r="B1003">
            <v>248606</v>
          </cell>
          <cell r="C1003" t="str">
            <v>A/P-TELECOM GIFT CARDS</v>
          </cell>
        </row>
        <row r="1004">
          <cell r="A1004">
            <v>9682722</v>
          </cell>
          <cell r="B1004">
            <v>248606</v>
          </cell>
          <cell r="C1004" t="str">
            <v>A/P-TELECOM GIFT CARDS</v>
          </cell>
        </row>
        <row r="1005">
          <cell r="A1005">
            <v>9682999</v>
          </cell>
          <cell r="B1005">
            <v>248606</v>
          </cell>
          <cell r="C1005" t="str">
            <v>A/P-TELECOM GIFT CARDS</v>
          </cell>
        </row>
        <row r="1006">
          <cell r="A1006">
            <v>9682715</v>
          </cell>
          <cell r="B1006">
            <v>248607</v>
          </cell>
          <cell r="C1006" t="str">
            <v>A/P-BANK GIFT CARD SALES</v>
          </cell>
        </row>
        <row r="1007">
          <cell r="A1007">
            <v>9682722</v>
          </cell>
          <cell r="B1007">
            <v>248607</v>
          </cell>
          <cell r="C1007" t="str">
            <v>A/P-BANK GIFT CARD SALES</v>
          </cell>
        </row>
        <row r="1008">
          <cell r="A1008">
            <v>9682999</v>
          </cell>
          <cell r="B1008">
            <v>248607</v>
          </cell>
          <cell r="C1008" t="str">
            <v>A/P-BANK GIFT CARD SALES</v>
          </cell>
        </row>
        <row r="1009">
          <cell r="A1009">
            <v>9080999</v>
          </cell>
          <cell r="B1009">
            <v>248608</v>
          </cell>
          <cell r="C1009" t="str">
            <v>A/P-RECREATIONAL GIFT CARD SALES</v>
          </cell>
        </row>
        <row r="1010">
          <cell r="A1010">
            <v>9090730</v>
          </cell>
          <cell r="B1010">
            <v>248608</v>
          </cell>
          <cell r="C1010" t="str">
            <v>A/P-RECREATIONAL GIFT CARD SALES</v>
          </cell>
        </row>
        <row r="1011">
          <cell r="A1011">
            <v>9090731</v>
          </cell>
          <cell r="B1011">
            <v>248608</v>
          </cell>
          <cell r="C1011" t="str">
            <v>A/P-RECREATIONAL GIFT CARD SALES</v>
          </cell>
        </row>
        <row r="1012">
          <cell r="A1012">
            <v>9090732</v>
          </cell>
          <cell r="B1012">
            <v>248608</v>
          </cell>
          <cell r="C1012" t="str">
            <v>A/P-RECREATIONAL GIFT CARD SALES</v>
          </cell>
        </row>
        <row r="1013">
          <cell r="A1013">
            <v>9090999</v>
          </cell>
          <cell r="B1013">
            <v>248608</v>
          </cell>
          <cell r="C1013" t="str">
            <v>A/P-RECREATIONAL GIFT CARD SALES</v>
          </cell>
        </row>
        <row r="1014">
          <cell r="A1014">
            <v>9110999</v>
          </cell>
          <cell r="B1014">
            <v>248608</v>
          </cell>
          <cell r="C1014" t="str">
            <v>A/P-RECREATIONAL GIFT CARD SALES</v>
          </cell>
        </row>
        <row r="1015">
          <cell r="A1015">
            <v>9682715</v>
          </cell>
          <cell r="B1015">
            <v>248608</v>
          </cell>
          <cell r="C1015" t="str">
            <v>A/P-RECREATIONAL GIFT CARD SALES</v>
          </cell>
        </row>
        <row r="1016">
          <cell r="A1016">
            <v>9682722</v>
          </cell>
          <cell r="B1016">
            <v>248608</v>
          </cell>
          <cell r="C1016" t="str">
            <v>A/P-RECREATIONAL GIFT CARD SALES</v>
          </cell>
        </row>
        <row r="1017">
          <cell r="A1017">
            <v>9682999</v>
          </cell>
          <cell r="B1017">
            <v>248608</v>
          </cell>
          <cell r="C1017" t="str">
            <v>A/P-RECREATIONAL GIFT CARD SALES</v>
          </cell>
        </row>
        <row r="1018">
          <cell r="A1018">
            <v>9052999</v>
          </cell>
          <cell r="B1018">
            <v>248615</v>
          </cell>
          <cell r="C1018" t="str">
            <v>A/P ML SPORTS GIFT CARDS</v>
          </cell>
        </row>
        <row r="1019">
          <cell r="A1019">
            <v>9080999</v>
          </cell>
          <cell r="B1019">
            <v>248615</v>
          </cell>
          <cell r="C1019" t="str">
            <v>A/P ML SPORTS GIFT CARDS</v>
          </cell>
        </row>
        <row r="1020">
          <cell r="A1020">
            <v>9110999</v>
          </cell>
          <cell r="B1020">
            <v>248615</v>
          </cell>
          <cell r="C1020" t="str">
            <v>A/P ML SPORTS GIFT CARDS</v>
          </cell>
        </row>
        <row r="1021">
          <cell r="A1021">
            <v>9680707</v>
          </cell>
          <cell r="B1021">
            <v>248615</v>
          </cell>
          <cell r="C1021" t="str">
            <v>A/P ML SPORTS GIFT CARDS</v>
          </cell>
        </row>
        <row r="1022">
          <cell r="A1022">
            <v>9681707</v>
          </cell>
          <cell r="B1022">
            <v>248615</v>
          </cell>
          <cell r="C1022" t="str">
            <v>A/P ML SPORTS GIFT CARDS</v>
          </cell>
        </row>
        <row r="1023">
          <cell r="A1023">
            <v>9682715</v>
          </cell>
          <cell r="B1023">
            <v>248615</v>
          </cell>
          <cell r="C1023" t="str">
            <v>A/P ML SPORTS GIFT CARDS</v>
          </cell>
        </row>
        <row r="1024">
          <cell r="A1024">
            <v>9682722</v>
          </cell>
          <cell r="B1024">
            <v>248615</v>
          </cell>
          <cell r="C1024" t="str">
            <v>A/P ML SPORTS GIFT CARDS</v>
          </cell>
        </row>
        <row r="1025">
          <cell r="A1025">
            <v>9682999</v>
          </cell>
          <cell r="B1025">
            <v>248615</v>
          </cell>
          <cell r="C1025" t="str">
            <v>A/P ML SPORTS GIFT CARDS</v>
          </cell>
        </row>
        <row r="1026">
          <cell r="A1026">
            <v>9682715</v>
          </cell>
          <cell r="B1026">
            <v>248616</v>
          </cell>
          <cell r="C1026" t="str">
            <v>CONTRA TO ML SPORTS GIFT CARDS</v>
          </cell>
        </row>
        <row r="1027">
          <cell r="A1027">
            <v>9682722</v>
          </cell>
          <cell r="B1027">
            <v>248616</v>
          </cell>
          <cell r="C1027" t="str">
            <v>CONTRA TO ML SPORTS GIFT CARDS</v>
          </cell>
        </row>
        <row r="1028">
          <cell r="A1028">
            <v>9682999</v>
          </cell>
          <cell r="B1028">
            <v>248616</v>
          </cell>
          <cell r="C1028" t="str">
            <v>CONTRA TO ML SPORTS GIFT CARDS</v>
          </cell>
        </row>
        <row r="1029">
          <cell r="A1029">
            <v>9682999</v>
          </cell>
          <cell r="B1029">
            <v>248617</v>
          </cell>
          <cell r="C1029" t="str">
            <v>A/P LOCAL AND REGIONAL GIFT CARDS</v>
          </cell>
        </row>
        <row r="1030">
          <cell r="A1030">
            <v>9682999</v>
          </cell>
          <cell r="B1030">
            <v>248618</v>
          </cell>
          <cell r="C1030" t="str">
            <v>CONTRA TO LOCAL AND REGIONAL GIFT CARDS</v>
          </cell>
        </row>
        <row r="1031">
          <cell r="A1031">
            <v>9080999</v>
          </cell>
          <cell r="B1031">
            <v>248835</v>
          </cell>
          <cell r="C1031" t="str">
            <v>ACCTS PAY-CORP UNCLAIMED DRAFT</v>
          </cell>
        </row>
        <row r="1032">
          <cell r="A1032">
            <v>9110999</v>
          </cell>
          <cell r="B1032">
            <v>248835</v>
          </cell>
          <cell r="C1032" t="str">
            <v>ACCTS PAY-CORP UNCLAIMED DRAFT</v>
          </cell>
        </row>
        <row r="1033">
          <cell r="A1033">
            <v>9682715</v>
          </cell>
          <cell r="B1033">
            <v>248835</v>
          </cell>
          <cell r="C1033" t="str">
            <v>ACCTS PAY-CORP UNCLAIMED DRAFT</v>
          </cell>
        </row>
        <row r="1034">
          <cell r="A1034">
            <v>9682722</v>
          </cell>
          <cell r="B1034">
            <v>248835</v>
          </cell>
          <cell r="C1034" t="str">
            <v>ACCTS PAY-CORP UNCLAIMED DRAFT</v>
          </cell>
        </row>
        <row r="1035">
          <cell r="A1035">
            <v>9682999</v>
          </cell>
          <cell r="B1035">
            <v>248835</v>
          </cell>
          <cell r="C1035" t="str">
            <v>ACCTS PAY-CORP UNCLAIMED DRAFT</v>
          </cell>
        </row>
        <row r="1036">
          <cell r="A1036">
            <v>9689999</v>
          </cell>
          <cell r="B1036">
            <v>248835</v>
          </cell>
          <cell r="C1036" t="str">
            <v>ACCTS PAY-CORP UNCLAIMED DRAFT</v>
          </cell>
        </row>
        <row r="1037">
          <cell r="A1037">
            <v>9080999</v>
          </cell>
          <cell r="B1037">
            <v>248900</v>
          </cell>
          <cell r="C1037" t="str">
            <v>WH LIAB SYSTEM CLEARING</v>
          </cell>
        </row>
        <row r="1038">
          <cell r="A1038">
            <v>9110999</v>
          </cell>
          <cell r="B1038">
            <v>248900</v>
          </cell>
          <cell r="C1038" t="str">
            <v>WH LIAB SYSTEM CLEARING</v>
          </cell>
        </row>
        <row r="1039">
          <cell r="A1039">
            <v>9689999</v>
          </cell>
          <cell r="B1039">
            <v>248900</v>
          </cell>
          <cell r="C1039" t="str">
            <v>WH LIAB SYSTEM CLEARING</v>
          </cell>
        </row>
        <row r="1040">
          <cell r="A1040">
            <v>9720703</v>
          </cell>
          <cell r="B1040">
            <v>248900</v>
          </cell>
          <cell r="C1040" t="str">
            <v>WH LIAB SYSTEM CLEARING</v>
          </cell>
        </row>
        <row r="1041">
          <cell r="A1041">
            <v>9724718</v>
          </cell>
          <cell r="B1041">
            <v>248900</v>
          </cell>
          <cell r="C1041" t="str">
            <v>WH LIAB SYSTEM CLEARING</v>
          </cell>
        </row>
        <row r="1042">
          <cell r="A1042">
            <v>9724721</v>
          </cell>
          <cell r="B1042">
            <v>248900</v>
          </cell>
          <cell r="C1042" t="str">
            <v>WH LIAB SYSTEM CLEARING</v>
          </cell>
        </row>
        <row r="1043">
          <cell r="A1043">
            <v>9724724</v>
          </cell>
          <cell r="B1043">
            <v>248900</v>
          </cell>
          <cell r="C1043" t="str">
            <v>WH LIAB SYSTEM CLEARING</v>
          </cell>
        </row>
        <row r="1044">
          <cell r="A1044">
            <v>9725703</v>
          </cell>
          <cell r="B1044">
            <v>248900</v>
          </cell>
          <cell r="C1044" t="str">
            <v>WH LIAB SYSTEM CLEARING</v>
          </cell>
        </row>
        <row r="1045">
          <cell r="A1045">
            <v>9725704</v>
          </cell>
          <cell r="B1045">
            <v>248900</v>
          </cell>
          <cell r="C1045" t="str">
            <v>WH LIAB SYSTEM CLEARING</v>
          </cell>
        </row>
        <row r="1046">
          <cell r="A1046">
            <v>9725711</v>
          </cell>
          <cell r="B1046">
            <v>248900</v>
          </cell>
          <cell r="C1046" t="str">
            <v>WH LIAB SYSTEM CLEARING</v>
          </cell>
        </row>
        <row r="1047">
          <cell r="A1047">
            <v>9725717</v>
          </cell>
          <cell r="B1047">
            <v>248900</v>
          </cell>
          <cell r="C1047" t="str">
            <v>WH LIAB SYSTEM CLEARING</v>
          </cell>
        </row>
        <row r="1048">
          <cell r="A1048">
            <v>9725725</v>
          </cell>
          <cell r="B1048">
            <v>248900</v>
          </cell>
          <cell r="C1048" t="str">
            <v>WH LIAB SYSTEM CLEARING</v>
          </cell>
        </row>
        <row r="1049">
          <cell r="A1049">
            <v>8001054179</v>
          </cell>
          <cell r="B1049">
            <v>249188</v>
          </cell>
          <cell r="C1049" t="str">
            <v>A/P UNREALIZED CASH DISCOUNTS</v>
          </cell>
        </row>
        <row r="1050">
          <cell r="A1050">
            <v>8001059542</v>
          </cell>
          <cell r="B1050">
            <v>249188</v>
          </cell>
          <cell r="C1050" t="str">
            <v>A/P UNREALIZED CASH DISCOUNTS</v>
          </cell>
        </row>
        <row r="1051">
          <cell r="A1051">
            <v>8010512510</v>
          </cell>
          <cell r="B1051">
            <v>249188</v>
          </cell>
          <cell r="C1051" t="str">
            <v>A/P UNREALIZED CASH DISCOUNTS</v>
          </cell>
        </row>
        <row r="1052">
          <cell r="A1052">
            <v>9969681</v>
          </cell>
          <cell r="B1052">
            <v>249188</v>
          </cell>
          <cell r="C1052" t="str">
            <v>A/P UNREALIZED CASH DISCOUNTS</v>
          </cell>
        </row>
        <row r="1053">
          <cell r="A1053">
            <v>9969901</v>
          </cell>
          <cell r="B1053">
            <v>249188</v>
          </cell>
          <cell r="C1053" t="str">
            <v>A/P UNREALIZED CASH DISCOUNTS</v>
          </cell>
        </row>
        <row r="1054">
          <cell r="A1054" t="str">
            <v>ZONE-0105-POST</v>
          </cell>
          <cell r="B1054">
            <v>249188</v>
          </cell>
          <cell r="C1054" t="str">
            <v>A/P UNREALIZED CASH DISCOUNTS</v>
          </cell>
        </row>
        <row r="1055">
          <cell r="A1055" t="str">
            <v>ZONE-0112-POST</v>
          </cell>
          <cell r="B1055">
            <v>249188</v>
          </cell>
          <cell r="C1055" t="str">
            <v>A/P UNREALIZED CASH DISCOUNTS</v>
          </cell>
        </row>
        <row r="1056">
          <cell r="A1056">
            <v>9080999</v>
          </cell>
          <cell r="B1056">
            <v>249326</v>
          </cell>
          <cell r="C1056" t="str">
            <v>A/P SAFEWAY GIFT CARD-INCOME</v>
          </cell>
        </row>
        <row r="1057">
          <cell r="A1057">
            <v>9110999</v>
          </cell>
          <cell r="B1057">
            <v>249326</v>
          </cell>
          <cell r="C1057" t="str">
            <v>A/P SAFEWAY GIFT CARD-INCOME</v>
          </cell>
        </row>
        <row r="1058">
          <cell r="A1058">
            <v>9689999</v>
          </cell>
          <cell r="B1058">
            <v>249326</v>
          </cell>
          <cell r="C1058" t="str">
            <v>A/P SAFEWAY GIFT CARD-INCOME</v>
          </cell>
        </row>
        <row r="1059">
          <cell r="A1059">
            <v>9080999</v>
          </cell>
          <cell r="B1059">
            <v>249327</v>
          </cell>
          <cell r="C1059" t="str">
            <v>A/P SAFEWAY GIFT CARDS</v>
          </cell>
        </row>
        <row r="1060">
          <cell r="A1060">
            <v>9110999</v>
          </cell>
          <cell r="B1060">
            <v>249327</v>
          </cell>
          <cell r="C1060" t="str">
            <v>A/P SAFEWAY GIFT CARDS</v>
          </cell>
        </row>
        <row r="1061">
          <cell r="A1061">
            <v>9689999</v>
          </cell>
          <cell r="B1061">
            <v>249327</v>
          </cell>
          <cell r="C1061" t="str">
            <v>A/P SAFEWAY GIFT CARDS</v>
          </cell>
        </row>
        <row r="1062">
          <cell r="A1062">
            <v>8001054179</v>
          </cell>
          <cell r="B1062">
            <v>249500</v>
          </cell>
          <cell r="C1062" t="str">
            <v>ACCTS PAY-MASTER ACCOUNT</v>
          </cell>
        </row>
        <row r="1063">
          <cell r="A1063">
            <v>8001059542</v>
          </cell>
          <cell r="B1063">
            <v>249500</v>
          </cell>
          <cell r="C1063" t="str">
            <v>ACCTS PAY-MASTER ACCOUNT</v>
          </cell>
        </row>
        <row r="1064">
          <cell r="A1064">
            <v>8010512510</v>
          </cell>
          <cell r="B1064">
            <v>249500</v>
          </cell>
          <cell r="C1064" t="str">
            <v>ACCTS PAY-MASTER ACCOUNT</v>
          </cell>
        </row>
        <row r="1065">
          <cell r="A1065">
            <v>9080999</v>
          </cell>
          <cell r="B1065">
            <v>249500</v>
          </cell>
          <cell r="C1065" t="str">
            <v>ACCTS PAY-MASTER ACCOUNT</v>
          </cell>
        </row>
        <row r="1066">
          <cell r="A1066">
            <v>9090999</v>
          </cell>
          <cell r="B1066">
            <v>249500</v>
          </cell>
          <cell r="C1066" t="str">
            <v>ACCTS PAY-MASTER ACCOUNT</v>
          </cell>
        </row>
        <row r="1067">
          <cell r="A1067">
            <v>9100999</v>
          </cell>
          <cell r="B1067">
            <v>249500</v>
          </cell>
          <cell r="C1067" t="str">
            <v>ACCTS PAY-MASTER ACCOUNT</v>
          </cell>
        </row>
        <row r="1068">
          <cell r="A1068">
            <v>9110999</v>
          </cell>
          <cell r="B1068">
            <v>249500</v>
          </cell>
          <cell r="C1068" t="str">
            <v>ACCTS PAY-MASTER ACCOUNT</v>
          </cell>
        </row>
        <row r="1069">
          <cell r="A1069">
            <v>9689999</v>
          </cell>
          <cell r="B1069">
            <v>249500</v>
          </cell>
          <cell r="C1069" t="str">
            <v>ACCTS PAY-MASTER ACCOUNT</v>
          </cell>
        </row>
        <row r="1070">
          <cell r="A1070">
            <v>9722709</v>
          </cell>
          <cell r="B1070">
            <v>249500</v>
          </cell>
          <cell r="C1070" t="str">
            <v>ACCTS PAY-MASTER ACCOUNT</v>
          </cell>
        </row>
        <row r="1071">
          <cell r="A1071">
            <v>9722713</v>
          </cell>
          <cell r="B1071">
            <v>249500</v>
          </cell>
          <cell r="C1071" t="str">
            <v>ACCTS PAY-MASTER ACCOUNT</v>
          </cell>
        </row>
        <row r="1072">
          <cell r="A1072">
            <v>9729999</v>
          </cell>
          <cell r="B1072">
            <v>249500</v>
          </cell>
          <cell r="C1072" t="str">
            <v>ACCTS PAY-MASTER ACCOUNT</v>
          </cell>
        </row>
        <row r="1073">
          <cell r="A1073">
            <v>9969681</v>
          </cell>
          <cell r="B1073">
            <v>249500</v>
          </cell>
          <cell r="C1073" t="str">
            <v>ACCTS PAY-MASTER ACCOUNT</v>
          </cell>
        </row>
        <row r="1074">
          <cell r="A1074">
            <v>9969901</v>
          </cell>
          <cell r="B1074">
            <v>249500</v>
          </cell>
          <cell r="C1074" t="str">
            <v>ACCTS PAY-MASTER ACCOUNT</v>
          </cell>
        </row>
        <row r="1075">
          <cell r="A1075" t="str">
            <v>ZONE-0105-POST</v>
          </cell>
          <cell r="B1075">
            <v>249500</v>
          </cell>
          <cell r="C1075" t="str">
            <v>ACCTS PAY-MASTER ACCOUNT</v>
          </cell>
        </row>
        <row r="1076">
          <cell r="A1076" t="str">
            <v>ZONE-0112-POST</v>
          </cell>
          <cell r="B1076">
            <v>249500</v>
          </cell>
          <cell r="C1076" t="str">
            <v>ACCTS PAY-MASTER ACCOUNT</v>
          </cell>
        </row>
        <row r="1077">
          <cell r="A1077" t="str">
            <v>ZONE-9999-POST</v>
          </cell>
          <cell r="B1077">
            <v>249500</v>
          </cell>
          <cell r="C1077" t="str">
            <v>ACCTS PAY-MASTER ACCOUNT</v>
          </cell>
        </row>
        <row r="1078">
          <cell r="A1078">
            <v>8001054179</v>
          </cell>
          <cell r="B1078">
            <v>249500</v>
          </cell>
          <cell r="C1078" t="str">
            <v>ACCTS PAY-MASTER ACCOUNT - CASES</v>
          </cell>
        </row>
        <row r="1079">
          <cell r="A1079">
            <v>8001059542</v>
          </cell>
          <cell r="B1079">
            <v>249500</v>
          </cell>
          <cell r="C1079" t="str">
            <v>ACCTS PAY-MASTER ACCOUNT - CASES</v>
          </cell>
        </row>
        <row r="1080">
          <cell r="A1080">
            <v>8010512510</v>
          </cell>
          <cell r="B1080">
            <v>249500</v>
          </cell>
          <cell r="C1080" t="str">
            <v>ACCTS PAY-MASTER ACCOUNT - CASES</v>
          </cell>
        </row>
        <row r="1081">
          <cell r="A1081">
            <v>9969681</v>
          </cell>
          <cell r="B1081">
            <v>249500</v>
          </cell>
          <cell r="C1081" t="str">
            <v>ACCTS PAY-MASTER ACCOUNT - CASES</v>
          </cell>
        </row>
        <row r="1082">
          <cell r="A1082">
            <v>9969901</v>
          </cell>
          <cell r="B1082">
            <v>249500</v>
          </cell>
          <cell r="C1082" t="str">
            <v>ACCTS PAY-MASTER ACCOUNT - CASES</v>
          </cell>
        </row>
        <row r="1083">
          <cell r="A1083" t="str">
            <v>ZONE-0105-POST</v>
          </cell>
          <cell r="B1083">
            <v>249500</v>
          </cell>
          <cell r="C1083" t="str">
            <v>ACCTS PAY-MASTER ACCOUNT - CASES</v>
          </cell>
        </row>
        <row r="1084">
          <cell r="A1084" t="str">
            <v>ZONE-0112-POST</v>
          </cell>
          <cell r="B1084">
            <v>249500</v>
          </cell>
          <cell r="C1084" t="str">
            <v>ACCTS PAY-MASTER ACCOUNT - CASES</v>
          </cell>
        </row>
        <row r="1085">
          <cell r="A1085">
            <v>9080700</v>
          </cell>
          <cell r="B1085">
            <v>249530</v>
          </cell>
          <cell r="C1085" t="str">
            <v>ACCTS PAY-EXPENSE-OTHER</v>
          </cell>
        </row>
        <row r="1086">
          <cell r="A1086">
            <v>9080701</v>
          </cell>
          <cell r="B1086">
            <v>249530</v>
          </cell>
          <cell r="C1086" t="str">
            <v>ACCTS PAY-EXPENSE-OTHER</v>
          </cell>
        </row>
        <row r="1087">
          <cell r="A1087">
            <v>9080702</v>
          </cell>
          <cell r="B1087">
            <v>249530</v>
          </cell>
          <cell r="C1087" t="str">
            <v>ACCTS PAY-EXPENSE-OTHER</v>
          </cell>
        </row>
        <row r="1088">
          <cell r="A1088">
            <v>9080705</v>
          </cell>
          <cell r="B1088">
            <v>249530</v>
          </cell>
          <cell r="C1088" t="str">
            <v>ACCTS PAY-EXPENSE-OTHER</v>
          </cell>
        </row>
        <row r="1089">
          <cell r="A1089">
            <v>9080707</v>
          </cell>
          <cell r="B1089">
            <v>249530</v>
          </cell>
          <cell r="C1089" t="str">
            <v>ACCTS PAY-EXPENSE-OTHER</v>
          </cell>
        </row>
        <row r="1090">
          <cell r="A1090">
            <v>9080710</v>
          </cell>
          <cell r="B1090">
            <v>249530</v>
          </cell>
          <cell r="C1090" t="str">
            <v>ACCTS PAY-EXPENSE-OTHER</v>
          </cell>
        </row>
        <row r="1091">
          <cell r="A1091">
            <v>9080999</v>
          </cell>
          <cell r="B1091">
            <v>249530</v>
          </cell>
          <cell r="C1091" t="str">
            <v>ACCTS PAY-EXPENSE-OTHER</v>
          </cell>
        </row>
        <row r="1092">
          <cell r="A1092">
            <v>9090999</v>
          </cell>
          <cell r="B1092">
            <v>249530</v>
          </cell>
          <cell r="C1092" t="str">
            <v>ACCTS PAY-EXPENSE-OTHER</v>
          </cell>
        </row>
        <row r="1093">
          <cell r="A1093">
            <v>9100999</v>
          </cell>
          <cell r="B1093">
            <v>249530</v>
          </cell>
          <cell r="C1093" t="str">
            <v>ACCTS PAY-EXPENSE-OTHER</v>
          </cell>
        </row>
        <row r="1094">
          <cell r="A1094">
            <v>9110700</v>
          </cell>
          <cell r="B1094">
            <v>249530</v>
          </cell>
          <cell r="C1094" t="str">
            <v>ACCTS PAY-EXPENSE-OTHER</v>
          </cell>
        </row>
        <row r="1095">
          <cell r="A1095">
            <v>9110702</v>
          </cell>
          <cell r="B1095">
            <v>249530</v>
          </cell>
          <cell r="C1095" t="str">
            <v>ACCTS PAY-EXPENSE-OTHER</v>
          </cell>
        </row>
        <row r="1096">
          <cell r="A1096">
            <v>9110705</v>
          </cell>
          <cell r="B1096">
            <v>249530</v>
          </cell>
          <cell r="C1096" t="str">
            <v>ACCTS PAY-EXPENSE-OTHER</v>
          </cell>
        </row>
        <row r="1097">
          <cell r="A1097">
            <v>9110707</v>
          </cell>
          <cell r="B1097">
            <v>249530</v>
          </cell>
          <cell r="C1097" t="str">
            <v>ACCTS PAY-EXPENSE-OTHER</v>
          </cell>
        </row>
        <row r="1098">
          <cell r="A1098">
            <v>9110999</v>
          </cell>
          <cell r="B1098">
            <v>249530</v>
          </cell>
          <cell r="C1098" t="str">
            <v>ACCTS PAY-EXPENSE-OTHER</v>
          </cell>
        </row>
        <row r="1099">
          <cell r="A1099">
            <v>9681700</v>
          </cell>
          <cell r="B1099">
            <v>249530</v>
          </cell>
          <cell r="C1099" t="str">
            <v>ACCTS PAY-EXPENSE-OTHER</v>
          </cell>
        </row>
        <row r="1100">
          <cell r="A1100">
            <v>9681701</v>
          </cell>
          <cell r="B1100">
            <v>249530</v>
          </cell>
          <cell r="C1100" t="str">
            <v>ACCTS PAY-EXPENSE-OTHER</v>
          </cell>
        </row>
        <row r="1101">
          <cell r="A1101">
            <v>9681702</v>
          </cell>
          <cell r="B1101">
            <v>249530</v>
          </cell>
          <cell r="C1101" t="str">
            <v>ACCTS PAY-EXPENSE-OTHER</v>
          </cell>
        </row>
        <row r="1102">
          <cell r="A1102">
            <v>9681705</v>
          </cell>
          <cell r="B1102">
            <v>249530</v>
          </cell>
          <cell r="C1102" t="str">
            <v>ACCTS PAY-EXPENSE-OTHER</v>
          </cell>
        </row>
        <row r="1103">
          <cell r="A1103">
            <v>9681706</v>
          </cell>
          <cell r="B1103">
            <v>249530</v>
          </cell>
          <cell r="C1103" t="str">
            <v>ACCTS PAY-EXPENSE-OTHER</v>
          </cell>
        </row>
        <row r="1104">
          <cell r="A1104">
            <v>9681707</v>
          </cell>
          <cell r="B1104">
            <v>249530</v>
          </cell>
          <cell r="C1104" t="str">
            <v>ACCTS PAY-EXPENSE-OTHER</v>
          </cell>
        </row>
        <row r="1105">
          <cell r="A1105">
            <v>9681712</v>
          </cell>
          <cell r="B1105">
            <v>249530</v>
          </cell>
          <cell r="C1105" t="str">
            <v>ACCTS PAY-EXPENSE-OTHER</v>
          </cell>
        </row>
        <row r="1106">
          <cell r="A1106">
            <v>9681727</v>
          </cell>
          <cell r="B1106">
            <v>249530</v>
          </cell>
          <cell r="C1106" t="str">
            <v>ACCTS PAY-EXPENSE-OTHER</v>
          </cell>
        </row>
        <row r="1107">
          <cell r="A1107">
            <v>9681749</v>
          </cell>
          <cell r="B1107">
            <v>249530</v>
          </cell>
          <cell r="C1107" t="str">
            <v>ACCTS PAY-EXPENSE-OTHER</v>
          </cell>
        </row>
        <row r="1108">
          <cell r="A1108">
            <v>9681999</v>
          </cell>
          <cell r="B1108">
            <v>249530</v>
          </cell>
          <cell r="C1108" t="str">
            <v>ACCTS PAY-EXPENSE-OTHER</v>
          </cell>
        </row>
        <row r="1109">
          <cell r="A1109">
            <v>9682715</v>
          </cell>
          <cell r="B1109">
            <v>249530</v>
          </cell>
          <cell r="C1109" t="str">
            <v>ACCTS PAY-EXPENSE-OTHER</v>
          </cell>
        </row>
        <row r="1110">
          <cell r="A1110">
            <v>9682722</v>
          </cell>
          <cell r="B1110">
            <v>249530</v>
          </cell>
          <cell r="C1110" t="str">
            <v>ACCTS PAY-EXPENSE-OTHER</v>
          </cell>
        </row>
        <row r="1111">
          <cell r="A1111">
            <v>9682999</v>
          </cell>
          <cell r="B1111">
            <v>249530</v>
          </cell>
          <cell r="C1111" t="str">
            <v>ACCTS PAY-EXPENSE-OTHER</v>
          </cell>
        </row>
        <row r="1112">
          <cell r="A1112">
            <v>9722709</v>
          </cell>
          <cell r="B1112">
            <v>249530</v>
          </cell>
          <cell r="C1112" t="str">
            <v>ACCTS PAY-EXPENSE-OTHER</v>
          </cell>
        </row>
        <row r="1113">
          <cell r="A1113">
            <v>9722713</v>
          </cell>
          <cell r="B1113">
            <v>249530</v>
          </cell>
          <cell r="C1113" t="str">
            <v>ACCTS PAY-EXPENSE-OTHER</v>
          </cell>
        </row>
        <row r="1114">
          <cell r="A1114">
            <v>8001054179</v>
          </cell>
          <cell r="B1114">
            <v>249545</v>
          </cell>
          <cell r="C1114" t="str">
            <v>A/P - MANUAL ACCRUED EXPENSE</v>
          </cell>
        </row>
        <row r="1115">
          <cell r="A1115">
            <v>8001059542</v>
          </cell>
          <cell r="B1115">
            <v>249545</v>
          </cell>
          <cell r="C1115" t="str">
            <v>A/P - MANUAL ACCRUED EXPENSE</v>
          </cell>
        </row>
        <row r="1116">
          <cell r="A1116">
            <v>8010512510</v>
          </cell>
          <cell r="B1116">
            <v>249545</v>
          </cell>
          <cell r="C1116" t="str">
            <v>A/P - MANUAL ACCRUED EXPENSE</v>
          </cell>
        </row>
        <row r="1117">
          <cell r="A1117">
            <v>9969681</v>
          </cell>
          <cell r="B1117">
            <v>249545</v>
          </cell>
          <cell r="C1117" t="str">
            <v>A/P - MANUAL ACCRUED EXPENSE</v>
          </cell>
        </row>
        <row r="1118">
          <cell r="A1118">
            <v>9969901</v>
          </cell>
          <cell r="B1118">
            <v>249545</v>
          </cell>
          <cell r="C1118" t="str">
            <v>A/P - MANUAL ACCRUED EXPENSE</v>
          </cell>
        </row>
        <row r="1119">
          <cell r="A1119" t="str">
            <v>ZONE-0105-POST</v>
          </cell>
          <cell r="B1119">
            <v>249545</v>
          </cell>
          <cell r="C1119" t="str">
            <v>A/P - MANUAL ACCRUED EXPENSE</v>
          </cell>
        </row>
        <row r="1120">
          <cell r="A1120" t="str">
            <v>ZONE-0112-POST</v>
          </cell>
          <cell r="B1120">
            <v>249545</v>
          </cell>
          <cell r="C1120" t="str">
            <v>A/P - MANUAL ACCRUED EXPENSE</v>
          </cell>
        </row>
        <row r="1121">
          <cell r="A1121">
            <v>8001054179</v>
          </cell>
          <cell r="B1121">
            <v>263100</v>
          </cell>
          <cell r="C1121" t="str">
            <v>GOODS AND SERVICES TAX CANADA</v>
          </cell>
        </row>
        <row r="1122">
          <cell r="A1122">
            <v>8001059542</v>
          </cell>
          <cell r="B1122">
            <v>263100</v>
          </cell>
          <cell r="C1122" t="str">
            <v>GOODS AND SERVICES TAX CANADA</v>
          </cell>
        </row>
        <row r="1123">
          <cell r="A1123">
            <v>8010512510</v>
          </cell>
          <cell r="B1123">
            <v>263100</v>
          </cell>
          <cell r="C1123" t="str">
            <v>GOODS AND SERVICES TAX CANADA</v>
          </cell>
        </row>
        <row r="1124">
          <cell r="A1124">
            <v>9080999</v>
          </cell>
          <cell r="B1124">
            <v>263100</v>
          </cell>
          <cell r="C1124" t="str">
            <v>GOODS AND SERVICES TAX CANADA</v>
          </cell>
        </row>
        <row r="1125">
          <cell r="A1125">
            <v>9110999</v>
          </cell>
          <cell r="B1125">
            <v>263100</v>
          </cell>
          <cell r="C1125" t="str">
            <v>GOODS AND SERVICES TAX CANADA</v>
          </cell>
        </row>
        <row r="1126">
          <cell r="A1126">
            <v>9969681</v>
          </cell>
          <cell r="B1126">
            <v>263100</v>
          </cell>
          <cell r="C1126" t="str">
            <v>GOODS AND SERVICES TAX CANADA</v>
          </cell>
        </row>
        <row r="1127">
          <cell r="A1127">
            <v>9969901</v>
          </cell>
          <cell r="B1127">
            <v>263100</v>
          </cell>
          <cell r="C1127" t="str">
            <v>GOODS AND SERVICES TAX CANADA</v>
          </cell>
        </row>
        <row r="1128">
          <cell r="A1128" t="str">
            <v>ZONE-0105-POST</v>
          </cell>
          <cell r="B1128">
            <v>263100</v>
          </cell>
          <cell r="C1128" t="str">
            <v>GOODS AND SERVICES TAX CANADA</v>
          </cell>
        </row>
        <row r="1129">
          <cell r="A1129" t="str">
            <v>ZONE-0112-POST</v>
          </cell>
          <cell r="B1129">
            <v>263100</v>
          </cell>
          <cell r="C1129" t="str">
            <v>GOODS AND SERVICES TAX CANADA</v>
          </cell>
        </row>
        <row r="1130">
          <cell r="A1130">
            <v>8001054179</v>
          </cell>
          <cell r="B1130">
            <v>263101</v>
          </cell>
          <cell r="C1130" t="str">
            <v>INPUT TAX CREDIT (GST CANADA)</v>
          </cell>
        </row>
        <row r="1131">
          <cell r="A1131">
            <v>8001059542</v>
          </cell>
          <cell r="B1131">
            <v>263101</v>
          </cell>
          <cell r="C1131" t="str">
            <v>INPUT TAX CREDIT (GST CANADA)</v>
          </cell>
        </row>
        <row r="1132">
          <cell r="A1132">
            <v>8010512510</v>
          </cell>
          <cell r="B1132">
            <v>263101</v>
          </cell>
          <cell r="C1132" t="str">
            <v>INPUT TAX CREDIT (GST CANADA)</v>
          </cell>
        </row>
        <row r="1133">
          <cell r="A1133">
            <v>9969681</v>
          </cell>
          <cell r="B1133">
            <v>263101</v>
          </cell>
          <cell r="C1133" t="str">
            <v>INPUT TAX CREDIT (GST CANADA)</v>
          </cell>
        </row>
        <row r="1134">
          <cell r="A1134">
            <v>9969901</v>
          </cell>
          <cell r="B1134">
            <v>263101</v>
          </cell>
          <cell r="C1134" t="str">
            <v>INPUT TAX CREDIT (GST CANADA)</v>
          </cell>
        </row>
        <row r="1135">
          <cell r="A1135" t="str">
            <v>ZONE-0105-POST</v>
          </cell>
          <cell r="B1135">
            <v>263101</v>
          </cell>
          <cell r="C1135" t="str">
            <v>INPUT TAX CREDIT (GST CANADA)</v>
          </cell>
        </row>
        <row r="1136">
          <cell r="A1136" t="str">
            <v>ZONE-0112-POST</v>
          </cell>
          <cell r="B1136">
            <v>263101</v>
          </cell>
          <cell r="C1136" t="str">
            <v>INPUT TAX CREDIT (GST CANADA)</v>
          </cell>
        </row>
        <row r="1137">
          <cell r="A1137">
            <v>8001054179</v>
          </cell>
          <cell r="B1137">
            <v>263485</v>
          </cell>
          <cell r="C1137" t="str">
            <v>ACCR EXP-FED/DOMINION INCOME</v>
          </cell>
        </row>
        <row r="1138">
          <cell r="A1138">
            <v>8001059542</v>
          </cell>
          <cell r="B1138">
            <v>263485</v>
          </cell>
          <cell r="C1138" t="str">
            <v>ACCR EXP-FED/DOMINION INCOME</v>
          </cell>
        </row>
        <row r="1139">
          <cell r="A1139">
            <v>8010512510</v>
          </cell>
          <cell r="B1139">
            <v>263485</v>
          </cell>
          <cell r="C1139" t="str">
            <v>ACCR EXP-FED/DOMINION INCOME</v>
          </cell>
        </row>
        <row r="1140">
          <cell r="A1140">
            <v>9969681</v>
          </cell>
          <cell r="B1140">
            <v>263485</v>
          </cell>
          <cell r="C1140" t="str">
            <v>ACCR EXP-FED/DOMINION INCOME</v>
          </cell>
        </row>
        <row r="1141">
          <cell r="A1141">
            <v>9969901</v>
          </cell>
          <cell r="B1141">
            <v>263485</v>
          </cell>
          <cell r="C1141" t="str">
            <v>ACCR EXP-FED/DOMINION INCOME</v>
          </cell>
        </row>
        <row r="1142">
          <cell r="A1142" t="str">
            <v>ZONE-0105-POST</v>
          </cell>
          <cell r="B1142">
            <v>263485</v>
          </cell>
          <cell r="C1142" t="str">
            <v>ACCR EXP-FED/DOMINION INCOME</v>
          </cell>
        </row>
        <row r="1143">
          <cell r="A1143" t="str">
            <v>ZONE-0112-POST</v>
          </cell>
          <cell r="B1143">
            <v>263485</v>
          </cell>
          <cell r="C1143" t="str">
            <v>ACCR EXP-FED/DOMINION INCOME</v>
          </cell>
        </row>
        <row r="1144">
          <cell r="A1144">
            <v>8001054179</v>
          </cell>
          <cell r="B1144">
            <v>263998</v>
          </cell>
          <cell r="C1144" t="str">
            <v>A/E TAX OTHER</v>
          </cell>
        </row>
        <row r="1145">
          <cell r="A1145">
            <v>8001059542</v>
          </cell>
          <cell r="B1145">
            <v>263998</v>
          </cell>
          <cell r="C1145" t="str">
            <v>A/E TAX OTHER</v>
          </cell>
        </row>
        <row r="1146">
          <cell r="A1146">
            <v>8010512510</v>
          </cell>
          <cell r="B1146">
            <v>263998</v>
          </cell>
          <cell r="C1146" t="str">
            <v>A/E TAX OTHER</v>
          </cell>
        </row>
        <row r="1147">
          <cell r="A1147">
            <v>9969681</v>
          </cell>
          <cell r="B1147">
            <v>263998</v>
          </cell>
          <cell r="C1147" t="str">
            <v>A/E TAX OTHER</v>
          </cell>
        </row>
        <row r="1148">
          <cell r="A1148">
            <v>9969901</v>
          </cell>
          <cell r="B1148">
            <v>263998</v>
          </cell>
          <cell r="C1148" t="str">
            <v>A/E TAX OTHER</v>
          </cell>
        </row>
        <row r="1149">
          <cell r="A1149" t="str">
            <v>ZONE-0105-POST</v>
          </cell>
          <cell r="B1149">
            <v>263998</v>
          </cell>
          <cell r="C1149" t="str">
            <v>A/E TAX OTHER</v>
          </cell>
        </row>
        <row r="1150">
          <cell r="A1150" t="str">
            <v>ZONE-0112-POST</v>
          </cell>
          <cell r="B1150">
            <v>263998</v>
          </cell>
          <cell r="C1150" t="str">
            <v>A/E TAX OTHER</v>
          </cell>
        </row>
        <row r="1151">
          <cell r="A1151">
            <v>9090999</v>
          </cell>
          <cell r="B1151">
            <v>266402</v>
          </cell>
          <cell r="C1151" t="str">
            <v>ACC EXP - SEVERENCE</v>
          </cell>
        </row>
        <row r="1152">
          <cell r="A1152">
            <v>9100999</v>
          </cell>
          <cell r="B1152">
            <v>266402</v>
          </cell>
          <cell r="C1152" t="str">
            <v>ACC EXP - SEVERENCE</v>
          </cell>
        </row>
        <row r="1153">
          <cell r="A1153">
            <v>9080999</v>
          </cell>
          <cell r="B1153">
            <v>266411</v>
          </cell>
          <cell r="C1153" t="str">
            <v>OTHER VACATION WAGES - PAID</v>
          </cell>
        </row>
        <row r="1154">
          <cell r="A1154">
            <v>9110999</v>
          </cell>
          <cell r="B1154">
            <v>266411</v>
          </cell>
          <cell r="C1154" t="str">
            <v>OTHER VACATION WAGES - PAID</v>
          </cell>
        </row>
        <row r="1155">
          <cell r="A1155">
            <v>9689999</v>
          </cell>
          <cell r="B1155">
            <v>266411</v>
          </cell>
          <cell r="C1155" t="str">
            <v>OTHER VACATION WAGES - PAID</v>
          </cell>
        </row>
        <row r="1156">
          <cell r="A1156">
            <v>8001054179</v>
          </cell>
          <cell r="B1156">
            <v>266850</v>
          </cell>
          <cell r="C1156" t="str">
            <v>A/E BONUS -DIVISION/ZONE</v>
          </cell>
        </row>
        <row r="1157">
          <cell r="A1157">
            <v>8001059542</v>
          </cell>
          <cell r="B1157">
            <v>266850</v>
          </cell>
          <cell r="C1157" t="str">
            <v>A/E BONUS -DIVISION/ZONE</v>
          </cell>
        </row>
        <row r="1158">
          <cell r="A1158">
            <v>8010512510</v>
          </cell>
          <cell r="B1158">
            <v>266850</v>
          </cell>
          <cell r="C1158" t="str">
            <v>A/E BONUS -DIVISION/ZONE</v>
          </cell>
        </row>
        <row r="1159">
          <cell r="A1159">
            <v>9090999</v>
          </cell>
          <cell r="B1159">
            <v>266850</v>
          </cell>
          <cell r="C1159" t="str">
            <v>A/E BONUS -DIVISION/ZONE</v>
          </cell>
        </row>
        <row r="1160">
          <cell r="A1160">
            <v>9100999</v>
          </cell>
          <cell r="B1160">
            <v>266850</v>
          </cell>
          <cell r="C1160" t="str">
            <v>A/E BONUS -DIVISION/ZONE</v>
          </cell>
        </row>
        <row r="1161">
          <cell r="A1161">
            <v>9969681</v>
          </cell>
          <cell r="B1161">
            <v>266850</v>
          </cell>
          <cell r="C1161" t="str">
            <v>A/E BONUS -DIVISION/ZONE</v>
          </cell>
        </row>
        <row r="1162">
          <cell r="A1162">
            <v>9969901</v>
          </cell>
          <cell r="B1162">
            <v>266850</v>
          </cell>
          <cell r="C1162" t="str">
            <v>A/E BONUS -DIVISION/ZONE</v>
          </cell>
        </row>
        <row r="1163">
          <cell r="A1163" t="str">
            <v>ZONE-0105-POST</v>
          </cell>
          <cell r="B1163">
            <v>266850</v>
          </cell>
          <cell r="C1163" t="str">
            <v>A/E BONUS -DIVISION/ZONE</v>
          </cell>
        </row>
        <row r="1164">
          <cell r="A1164" t="str">
            <v>ZONE-0112-POST</v>
          </cell>
          <cell r="B1164">
            <v>266850</v>
          </cell>
          <cell r="C1164" t="str">
            <v>A/E BONUS -DIVISION/ZONE</v>
          </cell>
        </row>
        <row r="1165">
          <cell r="A1165">
            <v>9080999</v>
          </cell>
          <cell r="B1165">
            <v>266860</v>
          </cell>
          <cell r="C1165" t="str">
            <v>A/E BONUS -EXECUTIVE</v>
          </cell>
        </row>
        <row r="1166">
          <cell r="A1166">
            <v>9090999</v>
          </cell>
          <cell r="B1166">
            <v>266860</v>
          </cell>
          <cell r="C1166" t="str">
            <v>A/E BONUS -EXECUTIVE</v>
          </cell>
        </row>
        <row r="1167">
          <cell r="A1167">
            <v>9100999</v>
          </cell>
          <cell r="B1167">
            <v>266860</v>
          </cell>
          <cell r="C1167" t="str">
            <v>A/E BONUS -EXECUTIVE</v>
          </cell>
        </row>
        <row r="1168">
          <cell r="A1168">
            <v>9110999</v>
          </cell>
          <cell r="B1168">
            <v>266860</v>
          </cell>
          <cell r="C1168" t="str">
            <v>A/E BONUS -EXECUTIVE</v>
          </cell>
        </row>
        <row r="1169">
          <cell r="A1169">
            <v>9689999</v>
          </cell>
          <cell r="B1169">
            <v>266860</v>
          </cell>
          <cell r="C1169" t="str">
            <v>A/E BONUS -EXECUTIVE</v>
          </cell>
        </row>
        <row r="1170">
          <cell r="A1170">
            <v>9080700</v>
          </cell>
          <cell r="B1170">
            <v>266981</v>
          </cell>
          <cell r="C1170" t="str">
            <v>ACC EXP - SEVERENCE -PEOPLESOFT</v>
          </cell>
        </row>
        <row r="1171">
          <cell r="A1171">
            <v>9080701</v>
          </cell>
          <cell r="B1171">
            <v>266981</v>
          </cell>
          <cell r="C1171" t="str">
            <v>ACC EXP - SEVERENCE -PEOPLESOFT</v>
          </cell>
        </row>
        <row r="1172">
          <cell r="A1172">
            <v>9080702</v>
          </cell>
          <cell r="B1172">
            <v>266981</v>
          </cell>
          <cell r="C1172" t="str">
            <v>ACC EXP - SEVERENCE -PEOPLESOFT</v>
          </cell>
        </row>
        <row r="1173">
          <cell r="A1173">
            <v>9080705</v>
          </cell>
          <cell r="B1173">
            <v>266981</v>
          </cell>
          <cell r="C1173" t="str">
            <v>ACC EXP - SEVERENCE -PEOPLESOFT</v>
          </cell>
        </row>
        <row r="1174">
          <cell r="A1174">
            <v>9080707</v>
          </cell>
          <cell r="B1174">
            <v>266981</v>
          </cell>
          <cell r="C1174" t="str">
            <v>ACC EXP - SEVERENCE -PEOPLESOFT</v>
          </cell>
        </row>
        <row r="1175">
          <cell r="A1175">
            <v>9080710</v>
          </cell>
          <cell r="B1175">
            <v>266981</v>
          </cell>
          <cell r="C1175" t="str">
            <v>ACC EXP - SEVERENCE -PEOPLESOFT</v>
          </cell>
        </row>
        <row r="1176">
          <cell r="A1176">
            <v>9080999</v>
          </cell>
          <cell r="B1176">
            <v>266981</v>
          </cell>
          <cell r="C1176" t="str">
            <v>ACC EXP - SEVERENCE -PEOPLESOFT</v>
          </cell>
        </row>
        <row r="1177">
          <cell r="A1177">
            <v>9090999</v>
          </cell>
          <cell r="B1177">
            <v>266981</v>
          </cell>
          <cell r="C1177" t="str">
            <v>ACC EXP - SEVERENCE -PEOPLESOFT</v>
          </cell>
        </row>
        <row r="1178">
          <cell r="A1178">
            <v>9100999</v>
          </cell>
          <cell r="B1178">
            <v>266981</v>
          </cell>
          <cell r="C1178" t="str">
            <v>ACC EXP - SEVERENCE -PEOPLESOFT</v>
          </cell>
        </row>
        <row r="1179">
          <cell r="A1179">
            <v>9110700</v>
          </cell>
          <cell r="B1179">
            <v>266981</v>
          </cell>
          <cell r="C1179" t="str">
            <v>ACC EXP - SEVERENCE -PEOPLESOFT</v>
          </cell>
        </row>
        <row r="1180">
          <cell r="A1180">
            <v>9110702</v>
          </cell>
          <cell r="B1180">
            <v>266981</v>
          </cell>
          <cell r="C1180" t="str">
            <v>ACC EXP - SEVERENCE -PEOPLESOFT</v>
          </cell>
        </row>
        <row r="1181">
          <cell r="A1181">
            <v>9110705</v>
          </cell>
          <cell r="B1181">
            <v>266981</v>
          </cell>
          <cell r="C1181" t="str">
            <v>ACC EXP - SEVERENCE -PEOPLESOFT</v>
          </cell>
        </row>
        <row r="1182">
          <cell r="A1182">
            <v>9110707</v>
          </cell>
          <cell r="B1182">
            <v>266981</v>
          </cell>
          <cell r="C1182" t="str">
            <v>ACC EXP - SEVERENCE -PEOPLESOFT</v>
          </cell>
        </row>
        <row r="1183">
          <cell r="A1183">
            <v>9110999</v>
          </cell>
          <cell r="B1183">
            <v>266981</v>
          </cell>
          <cell r="C1183" t="str">
            <v>ACC EXP - SEVERENCE -PEOPLESOFT</v>
          </cell>
        </row>
        <row r="1184">
          <cell r="A1184">
            <v>9681700</v>
          </cell>
          <cell r="B1184">
            <v>266981</v>
          </cell>
          <cell r="C1184" t="str">
            <v>ACC EXP - SEVERENCE -PEOPLESOFT</v>
          </cell>
        </row>
        <row r="1185">
          <cell r="A1185">
            <v>9681701</v>
          </cell>
          <cell r="B1185">
            <v>266981</v>
          </cell>
          <cell r="C1185" t="str">
            <v>ACC EXP - SEVERENCE -PEOPLESOFT</v>
          </cell>
        </row>
        <row r="1186">
          <cell r="A1186">
            <v>9681702</v>
          </cell>
          <cell r="B1186">
            <v>266981</v>
          </cell>
          <cell r="C1186" t="str">
            <v>ACC EXP - SEVERENCE -PEOPLESOFT</v>
          </cell>
        </row>
        <row r="1187">
          <cell r="A1187">
            <v>9681705</v>
          </cell>
          <cell r="B1187">
            <v>266981</v>
          </cell>
          <cell r="C1187" t="str">
            <v>ACC EXP - SEVERENCE -PEOPLESOFT</v>
          </cell>
        </row>
        <row r="1188">
          <cell r="A1188">
            <v>9681706</v>
          </cell>
          <cell r="B1188">
            <v>266981</v>
          </cell>
          <cell r="C1188" t="str">
            <v>ACC EXP - SEVERENCE -PEOPLESOFT</v>
          </cell>
        </row>
        <row r="1189">
          <cell r="A1189">
            <v>9681707</v>
          </cell>
          <cell r="B1189">
            <v>266981</v>
          </cell>
          <cell r="C1189" t="str">
            <v>ACC EXP - SEVERENCE -PEOPLESOFT</v>
          </cell>
        </row>
        <row r="1190">
          <cell r="A1190">
            <v>9681712</v>
          </cell>
          <cell r="B1190">
            <v>266981</v>
          </cell>
          <cell r="C1190" t="str">
            <v>ACC EXP - SEVERENCE -PEOPLESOFT</v>
          </cell>
        </row>
        <row r="1191">
          <cell r="A1191">
            <v>9681727</v>
          </cell>
          <cell r="B1191">
            <v>266981</v>
          </cell>
          <cell r="C1191" t="str">
            <v>ACC EXP - SEVERENCE -PEOPLESOFT</v>
          </cell>
        </row>
        <row r="1192">
          <cell r="A1192">
            <v>9681749</v>
          </cell>
          <cell r="B1192">
            <v>266981</v>
          </cell>
          <cell r="C1192" t="str">
            <v>ACC EXP - SEVERENCE -PEOPLESOFT</v>
          </cell>
        </row>
        <row r="1193">
          <cell r="A1193">
            <v>9681999</v>
          </cell>
          <cell r="B1193">
            <v>266981</v>
          </cell>
          <cell r="C1193" t="str">
            <v>ACC EXP - SEVERENCE -PEOPLESOFT</v>
          </cell>
        </row>
        <row r="1194">
          <cell r="A1194">
            <v>9689999</v>
          </cell>
          <cell r="B1194">
            <v>266981</v>
          </cell>
          <cell r="C1194" t="str">
            <v>ACC EXP - SEVERENCE -PEOPLESOFT</v>
          </cell>
        </row>
        <row r="1195">
          <cell r="A1195">
            <v>9090999</v>
          </cell>
          <cell r="B1195">
            <v>266985</v>
          </cell>
          <cell r="C1195" t="str">
            <v>PAYROLL CLEARING - 1</v>
          </cell>
        </row>
        <row r="1196">
          <cell r="A1196">
            <v>9100999</v>
          </cell>
          <cell r="B1196">
            <v>266985</v>
          </cell>
          <cell r="C1196" t="str">
            <v>PAYROLL CLEARING - 1</v>
          </cell>
        </row>
        <row r="1197">
          <cell r="A1197">
            <v>9080999</v>
          </cell>
          <cell r="B1197">
            <v>267490</v>
          </cell>
          <cell r="C1197" t="str">
            <v>ACCR EXP-SPECIAL GROUP LIF-PS</v>
          </cell>
        </row>
        <row r="1198">
          <cell r="A1198">
            <v>9110999</v>
          </cell>
          <cell r="B1198">
            <v>267490</v>
          </cell>
          <cell r="C1198" t="str">
            <v>ACCR EXP-SPECIAL GROUP LIF-PS</v>
          </cell>
        </row>
        <row r="1199">
          <cell r="A1199">
            <v>9689999</v>
          </cell>
          <cell r="B1199">
            <v>267490</v>
          </cell>
          <cell r="C1199" t="str">
            <v>ACCR EXP-SPECIAL GROUP LIF-PS</v>
          </cell>
        </row>
        <row r="1200">
          <cell r="A1200">
            <v>9080999</v>
          </cell>
          <cell r="B1200">
            <v>267602</v>
          </cell>
          <cell r="C1200" t="str">
            <v>A/E UNEMP INS EMPLR - AZ</v>
          </cell>
        </row>
        <row r="1201">
          <cell r="A1201">
            <v>9110999</v>
          </cell>
          <cell r="B1201">
            <v>267602</v>
          </cell>
          <cell r="C1201" t="str">
            <v>A/E UNEMP INS EMPLR - AZ</v>
          </cell>
        </row>
        <row r="1202">
          <cell r="A1202">
            <v>9689999</v>
          </cell>
          <cell r="B1202">
            <v>267602</v>
          </cell>
          <cell r="C1202" t="str">
            <v>A/E UNEMP INS EMPLR - AZ</v>
          </cell>
        </row>
        <row r="1203">
          <cell r="A1203">
            <v>9080999</v>
          </cell>
          <cell r="B1203">
            <v>267604</v>
          </cell>
          <cell r="C1203" t="str">
            <v>A/E UNEMP INS EMPLR - CA</v>
          </cell>
        </row>
        <row r="1204">
          <cell r="A1204">
            <v>9110999</v>
          </cell>
          <cell r="B1204">
            <v>267604</v>
          </cell>
          <cell r="C1204" t="str">
            <v>A/E UNEMP INS EMPLR - CA</v>
          </cell>
        </row>
        <row r="1205">
          <cell r="A1205">
            <v>9689999</v>
          </cell>
          <cell r="B1205">
            <v>267604</v>
          </cell>
          <cell r="C1205" t="str">
            <v>A/E UNEMP INS EMPLR - CA</v>
          </cell>
        </row>
        <row r="1206">
          <cell r="A1206">
            <v>9080999</v>
          </cell>
          <cell r="B1206">
            <v>267606</v>
          </cell>
          <cell r="C1206" t="str">
            <v>A/P - STTE UNEMPLOYMENT - CT</v>
          </cell>
        </row>
        <row r="1207">
          <cell r="A1207">
            <v>9110999</v>
          </cell>
          <cell r="B1207">
            <v>267606</v>
          </cell>
          <cell r="C1207" t="str">
            <v>A/P - STTE UNEMPLOYMENT - CT</v>
          </cell>
        </row>
        <row r="1208">
          <cell r="A1208">
            <v>9689999</v>
          </cell>
          <cell r="B1208">
            <v>267606</v>
          </cell>
          <cell r="C1208" t="str">
            <v>A/P - STTE UNEMPLOYMENT - CT</v>
          </cell>
        </row>
        <row r="1209">
          <cell r="A1209">
            <v>9689999</v>
          </cell>
          <cell r="B1209">
            <v>267609</v>
          </cell>
          <cell r="C1209" t="str">
            <v>A/E UNEMP INS EMPLR - FL</v>
          </cell>
        </row>
        <row r="1210">
          <cell r="A1210">
            <v>9080999</v>
          </cell>
          <cell r="B1210">
            <v>267610</v>
          </cell>
          <cell r="C1210" t="str">
            <v>A/P GA-UNEMP INS ER</v>
          </cell>
        </row>
        <row r="1211">
          <cell r="A1211">
            <v>9110999</v>
          </cell>
          <cell r="B1211">
            <v>267610</v>
          </cell>
          <cell r="C1211" t="str">
            <v>A/P GA-UNEMP INS ER</v>
          </cell>
        </row>
        <row r="1212">
          <cell r="A1212">
            <v>9689999</v>
          </cell>
          <cell r="B1212">
            <v>267610</v>
          </cell>
          <cell r="C1212" t="str">
            <v>A/P GA-UNEMP INS ER</v>
          </cell>
        </row>
        <row r="1213">
          <cell r="A1213">
            <v>9080999</v>
          </cell>
          <cell r="B1213">
            <v>267612</v>
          </cell>
          <cell r="C1213" t="str">
            <v>A/E UNEMP INS EMPLR. IL</v>
          </cell>
        </row>
        <row r="1214">
          <cell r="A1214">
            <v>9110999</v>
          </cell>
          <cell r="B1214">
            <v>267612</v>
          </cell>
          <cell r="C1214" t="str">
            <v>A/E UNEMP INS EMPLR. IL</v>
          </cell>
        </row>
        <row r="1215">
          <cell r="A1215">
            <v>9689999</v>
          </cell>
          <cell r="B1215">
            <v>267612</v>
          </cell>
          <cell r="C1215" t="str">
            <v>A/E UNEMP INS EMPLR. IL</v>
          </cell>
        </row>
        <row r="1216">
          <cell r="A1216">
            <v>9080999</v>
          </cell>
          <cell r="B1216">
            <v>267615</v>
          </cell>
          <cell r="C1216" t="str">
            <v>A/E UNEMP INS EMPLR - KS</v>
          </cell>
        </row>
        <row r="1217">
          <cell r="A1217">
            <v>9110999</v>
          </cell>
          <cell r="B1217">
            <v>267615</v>
          </cell>
          <cell r="C1217" t="str">
            <v>A/E UNEMP INS EMPLR - KS</v>
          </cell>
        </row>
        <row r="1218">
          <cell r="A1218">
            <v>9689999</v>
          </cell>
          <cell r="B1218">
            <v>267615</v>
          </cell>
          <cell r="C1218" t="str">
            <v>A/E UNEMP INS EMPLR - KS</v>
          </cell>
        </row>
        <row r="1219">
          <cell r="A1219">
            <v>9080999</v>
          </cell>
          <cell r="B1219">
            <v>267618</v>
          </cell>
          <cell r="C1219" t="str">
            <v>A/P UNEMPLOYMENT - MAINE</v>
          </cell>
        </row>
        <row r="1220">
          <cell r="A1220">
            <v>9110999</v>
          </cell>
          <cell r="B1220">
            <v>267618</v>
          </cell>
          <cell r="C1220" t="str">
            <v>A/P UNEMPLOYMENT - MAINE</v>
          </cell>
        </row>
        <row r="1221">
          <cell r="A1221">
            <v>9689999</v>
          </cell>
          <cell r="B1221">
            <v>267618</v>
          </cell>
          <cell r="C1221" t="str">
            <v>A/P UNEMPLOYMENT - MAINE</v>
          </cell>
        </row>
        <row r="1222">
          <cell r="A1222">
            <v>9080999</v>
          </cell>
          <cell r="B1222">
            <v>267620</v>
          </cell>
          <cell r="C1222" t="str">
            <v>A/E UNEMP INS EMPLR - MA</v>
          </cell>
        </row>
        <row r="1223">
          <cell r="A1223">
            <v>9110999</v>
          </cell>
          <cell r="B1223">
            <v>267620</v>
          </cell>
          <cell r="C1223" t="str">
            <v>A/E UNEMP INS EMPLR - MA</v>
          </cell>
        </row>
        <row r="1224">
          <cell r="A1224">
            <v>9689883</v>
          </cell>
          <cell r="B1224">
            <v>267620</v>
          </cell>
          <cell r="C1224" t="str">
            <v>A/E UNEMP INS EMPLR - MA</v>
          </cell>
        </row>
        <row r="1225">
          <cell r="A1225">
            <v>9689906</v>
          </cell>
          <cell r="B1225">
            <v>267620</v>
          </cell>
          <cell r="C1225" t="str">
            <v>A/E UNEMP INS EMPLR - MA</v>
          </cell>
        </row>
        <row r="1226">
          <cell r="A1226">
            <v>9689992</v>
          </cell>
          <cell r="B1226">
            <v>267620</v>
          </cell>
          <cell r="C1226" t="str">
            <v>A/E UNEMP INS EMPLR - MA</v>
          </cell>
        </row>
        <row r="1227">
          <cell r="A1227">
            <v>9689999</v>
          </cell>
          <cell r="B1227">
            <v>267620</v>
          </cell>
          <cell r="C1227" t="str">
            <v>A/E UNEMP INS EMPLR - MA</v>
          </cell>
        </row>
        <row r="1228">
          <cell r="A1228">
            <v>9080999</v>
          </cell>
          <cell r="B1228">
            <v>267622</v>
          </cell>
          <cell r="C1228" t="str">
            <v>A/E UNEMP INS EMPLR - MN</v>
          </cell>
        </row>
        <row r="1229">
          <cell r="A1229">
            <v>9110999</v>
          </cell>
          <cell r="B1229">
            <v>267622</v>
          </cell>
          <cell r="C1229" t="str">
            <v>A/E UNEMP INS EMPLR - MN</v>
          </cell>
        </row>
        <row r="1230">
          <cell r="A1230">
            <v>9689999</v>
          </cell>
          <cell r="B1230">
            <v>267622</v>
          </cell>
          <cell r="C1230" t="str">
            <v>A/E UNEMP INS EMPLR - MN</v>
          </cell>
        </row>
        <row r="1231">
          <cell r="A1231">
            <v>9080999</v>
          </cell>
          <cell r="B1231">
            <v>267628</v>
          </cell>
          <cell r="C1231" t="str">
            <v>A/E UNEMP INS EMPLR - NJ</v>
          </cell>
        </row>
        <row r="1232">
          <cell r="A1232">
            <v>9110999</v>
          </cell>
          <cell r="B1232">
            <v>267628</v>
          </cell>
          <cell r="C1232" t="str">
            <v>A/E UNEMP INS EMPLR - NJ</v>
          </cell>
        </row>
        <row r="1233">
          <cell r="A1233">
            <v>9689999</v>
          </cell>
          <cell r="B1233">
            <v>267628</v>
          </cell>
          <cell r="C1233" t="str">
            <v>A/E UNEMP INS EMPLR - NJ</v>
          </cell>
        </row>
        <row r="1234">
          <cell r="A1234">
            <v>9080999</v>
          </cell>
          <cell r="B1234">
            <v>267631</v>
          </cell>
          <cell r="C1234" t="str">
            <v>A/E UNEMP INS EMPLR - NY</v>
          </cell>
        </row>
        <row r="1235">
          <cell r="A1235">
            <v>9110999</v>
          </cell>
          <cell r="B1235">
            <v>267631</v>
          </cell>
          <cell r="C1235" t="str">
            <v>A/E UNEMP INS EMPLR - NY</v>
          </cell>
        </row>
        <row r="1236">
          <cell r="A1236">
            <v>9689999</v>
          </cell>
          <cell r="B1236">
            <v>267631</v>
          </cell>
          <cell r="C1236" t="str">
            <v>A/E UNEMP INS EMPLR - NY</v>
          </cell>
        </row>
        <row r="1237">
          <cell r="A1237">
            <v>9080999</v>
          </cell>
          <cell r="B1237">
            <v>267632</v>
          </cell>
          <cell r="C1237" t="str">
            <v>A/E UNEMP INS EMPLR - NC</v>
          </cell>
        </row>
        <row r="1238">
          <cell r="A1238">
            <v>9110999</v>
          </cell>
          <cell r="B1238">
            <v>267632</v>
          </cell>
          <cell r="C1238" t="str">
            <v>A/E UNEMP INS EMPLR - NC</v>
          </cell>
        </row>
        <row r="1239">
          <cell r="A1239">
            <v>9689999</v>
          </cell>
          <cell r="B1239">
            <v>267632</v>
          </cell>
          <cell r="C1239" t="str">
            <v>A/E UNEMP INS EMPLR - NC</v>
          </cell>
        </row>
        <row r="1240">
          <cell r="A1240">
            <v>9080999</v>
          </cell>
          <cell r="B1240">
            <v>267635</v>
          </cell>
          <cell r="C1240" t="str">
            <v>A/E UNEMP INS EMPLR - OK</v>
          </cell>
        </row>
        <row r="1241">
          <cell r="A1241">
            <v>9110999</v>
          </cell>
          <cell r="B1241">
            <v>267635</v>
          </cell>
          <cell r="C1241" t="str">
            <v>A/E UNEMP INS EMPLR - OK</v>
          </cell>
        </row>
        <row r="1242">
          <cell r="A1242">
            <v>9689999</v>
          </cell>
          <cell r="B1242">
            <v>267635</v>
          </cell>
          <cell r="C1242" t="str">
            <v>A/E UNEMP INS EMPLR - OK</v>
          </cell>
        </row>
        <row r="1243">
          <cell r="A1243">
            <v>9080999</v>
          </cell>
          <cell r="B1243">
            <v>267642</v>
          </cell>
          <cell r="C1243" t="str">
            <v>A/E UNEMP INS EMPLR - TX</v>
          </cell>
        </row>
        <row r="1244">
          <cell r="A1244">
            <v>9110999</v>
          </cell>
          <cell r="B1244">
            <v>267642</v>
          </cell>
          <cell r="C1244" t="str">
            <v>A/E UNEMP INS EMPLR - TX</v>
          </cell>
        </row>
        <row r="1245">
          <cell r="A1245">
            <v>9689999</v>
          </cell>
          <cell r="B1245">
            <v>267642</v>
          </cell>
          <cell r="C1245" t="str">
            <v>A/E UNEMP INS EMPLR - TX</v>
          </cell>
        </row>
        <row r="1246">
          <cell r="A1246">
            <v>9689991</v>
          </cell>
          <cell r="B1246">
            <v>268170</v>
          </cell>
          <cell r="C1246" t="str">
            <v>ACCR EXP-LITIGATION &amp; CLAIMS</v>
          </cell>
        </row>
        <row r="1247">
          <cell r="A1247">
            <v>9090999</v>
          </cell>
          <cell r="B1247">
            <v>268300</v>
          </cell>
          <cell r="C1247" t="str">
            <v>ACCR EXP-INTEREST-INTERCOMPANY</v>
          </cell>
        </row>
        <row r="1248">
          <cell r="A1248">
            <v>9100999</v>
          </cell>
          <cell r="B1248">
            <v>268300</v>
          </cell>
          <cell r="C1248" t="str">
            <v>ACCR EXP-INTEREST-INTERCOMPANY</v>
          </cell>
        </row>
        <row r="1249">
          <cell r="A1249">
            <v>9689999</v>
          </cell>
          <cell r="B1249">
            <v>268300</v>
          </cell>
          <cell r="C1249" t="str">
            <v>ACCR EXP-INTEREST-INTERCOMPANY</v>
          </cell>
        </row>
        <row r="1250">
          <cell r="A1250">
            <v>9080999</v>
          </cell>
          <cell r="B1250">
            <v>268627</v>
          </cell>
          <cell r="C1250" t="str">
            <v>BANK SERVICE CHARGES</v>
          </cell>
        </row>
        <row r="1251">
          <cell r="A1251">
            <v>9110999</v>
          </cell>
          <cell r="B1251">
            <v>268627</v>
          </cell>
          <cell r="C1251" t="str">
            <v>BANK SERVICE CHARGES</v>
          </cell>
        </row>
        <row r="1252">
          <cell r="A1252">
            <v>9689999</v>
          </cell>
          <cell r="B1252">
            <v>268627</v>
          </cell>
          <cell r="C1252" t="str">
            <v>BANK SERVICE CHARGES</v>
          </cell>
        </row>
        <row r="1253">
          <cell r="A1253">
            <v>9684999</v>
          </cell>
          <cell r="B1253">
            <v>268754</v>
          </cell>
          <cell r="C1253" t="str">
            <v>A/E CURRENT LANDLORD REIMBUR LI</v>
          </cell>
        </row>
        <row r="1254">
          <cell r="A1254">
            <v>9685999</v>
          </cell>
          <cell r="B1254">
            <v>268754</v>
          </cell>
          <cell r="C1254" t="str">
            <v>A/E CURRENT LANDLORD REIMBUR LI</v>
          </cell>
        </row>
        <row r="1255">
          <cell r="A1255">
            <v>9689883</v>
          </cell>
          <cell r="B1255">
            <v>268754</v>
          </cell>
          <cell r="C1255" t="str">
            <v>A/E CURRENT LANDLORD REIMBUR LI</v>
          </cell>
        </row>
        <row r="1256">
          <cell r="A1256">
            <v>9689906</v>
          </cell>
          <cell r="B1256">
            <v>268754</v>
          </cell>
          <cell r="C1256" t="str">
            <v>A/E CURRENT LANDLORD REIMBUR LI</v>
          </cell>
        </row>
        <row r="1257">
          <cell r="A1257">
            <v>9689990</v>
          </cell>
          <cell r="B1257">
            <v>268754</v>
          </cell>
          <cell r="C1257" t="str">
            <v>A/E CURRENT LANDLORD REIMBUR LI</v>
          </cell>
        </row>
        <row r="1258">
          <cell r="A1258">
            <v>9689992</v>
          </cell>
          <cell r="B1258">
            <v>268754</v>
          </cell>
          <cell r="C1258" t="str">
            <v>A/E CURRENT LANDLORD REIMBUR LI</v>
          </cell>
        </row>
        <row r="1259">
          <cell r="A1259">
            <v>9967681</v>
          </cell>
          <cell r="B1259">
            <v>268990</v>
          </cell>
          <cell r="C1259" t="str">
            <v>A/E SUNDRY</v>
          </cell>
        </row>
        <row r="1260">
          <cell r="A1260">
            <v>9968681</v>
          </cell>
          <cell r="B1260">
            <v>268990</v>
          </cell>
          <cell r="C1260" t="str">
            <v>A/E SUNDRY</v>
          </cell>
        </row>
        <row r="1261">
          <cell r="A1261">
            <v>9968681</v>
          </cell>
          <cell r="B1261">
            <v>268996</v>
          </cell>
          <cell r="C1261" t="str">
            <v>RESERVE FOR EXCHANGE GAIN/LOSS</v>
          </cell>
        </row>
        <row r="1262">
          <cell r="A1262">
            <v>9090999</v>
          </cell>
          <cell r="B1262">
            <v>274960</v>
          </cell>
          <cell r="C1262" t="str">
            <v>ASSET RETIREMENT OBLIGATIONS</v>
          </cell>
        </row>
        <row r="1263">
          <cell r="A1263">
            <v>9100999</v>
          </cell>
          <cell r="B1263">
            <v>274960</v>
          </cell>
          <cell r="C1263" t="str">
            <v>ASSET RETIREMENT OBLIGATIONS</v>
          </cell>
        </row>
        <row r="1264">
          <cell r="A1264">
            <v>9680700</v>
          </cell>
          <cell r="B1264">
            <v>274960</v>
          </cell>
          <cell r="C1264" t="str">
            <v>ASSET RETIREMENT OBLIGATIONS</v>
          </cell>
        </row>
        <row r="1265">
          <cell r="A1265">
            <v>9680701</v>
          </cell>
          <cell r="B1265">
            <v>274960</v>
          </cell>
          <cell r="C1265" t="str">
            <v>ASSET RETIREMENT OBLIGATIONS</v>
          </cell>
        </row>
        <row r="1266">
          <cell r="A1266">
            <v>9680702</v>
          </cell>
          <cell r="B1266">
            <v>274960</v>
          </cell>
          <cell r="C1266" t="str">
            <v>ASSET RETIREMENT OBLIGATIONS</v>
          </cell>
        </row>
        <row r="1267">
          <cell r="A1267">
            <v>9680705</v>
          </cell>
          <cell r="B1267">
            <v>274960</v>
          </cell>
          <cell r="C1267" t="str">
            <v>ASSET RETIREMENT OBLIGATIONS</v>
          </cell>
        </row>
        <row r="1268">
          <cell r="A1268">
            <v>9680707</v>
          </cell>
          <cell r="B1268">
            <v>274960</v>
          </cell>
          <cell r="C1268" t="str">
            <v>ASSET RETIREMENT OBLIGATIONS</v>
          </cell>
        </row>
        <row r="1269">
          <cell r="A1269">
            <v>9680710</v>
          </cell>
          <cell r="B1269">
            <v>274960</v>
          </cell>
          <cell r="C1269" t="str">
            <v>ASSET RETIREMENT OBLIGATIONS</v>
          </cell>
        </row>
        <row r="1270">
          <cell r="A1270">
            <v>9680712</v>
          </cell>
          <cell r="B1270">
            <v>274960</v>
          </cell>
          <cell r="C1270" t="str">
            <v>ASSET RETIREMENT OBLIGATIONS</v>
          </cell>
        </row>
        <row r="1271">
          <cell r="A1271">
            <v>9680714</v>
          </cell>
          <cell r="B1271">
            <v>274960</v>
          </cell>
          <cell r="C1271" t="str">
            <v>ASSET RETIREMENT OBLIGATIONS</v>
          </cell>
        </row>
        <row r="1272">
          <cell r="A1272">
            <v>9680734</v>
          </cell>
          <cell r="B1272">
            <v>274960</v>
          </cell>
          <cell r="C1272" t="str">
            <v>ASSET RETIREMENT OBLIGATIONS</v>
          </cell>
        </row>
        <row r="1273">
          <cell r="A1273">
            <v>9680748</v>
          </cell>
          <cell r="B1273">
            <v>274960</v>
          </cell>
          <cell r="C1273" t="str">
            <v>ASSET RETIREMENT OBLIGATIONS</v>
          </cell>
        </row>
        <row r="1274">
          <cell r="A1274">
            <v>9680749</v>
          </cell>
          <cell r="B1274">
            <v>274960</v>
          </cell>
          <cell r="C1274" t="str">
            <v>ASSET RETIREMENT OBLIGATIONS</v>
          </cell>
        </row>
        <row r="1275">
          <cell r="A1275">
            <v>9680894</v>
          </cell>
          <cell r="B1275">
            <v>274960</v>
          </cell>
          <cell r="C1275" t="str">
            <v>ASSET RETIREMENT OBLIGATIONS</v>
          </cell>
        </row>
        <row r="1276">
          <cell r="A1276">
            <v>9680999</v>
          </cell>
          <cell r="B1276">
            <v>274960</v>
          </cell>
          <cell r="C1276" t="str">
            <v>ASSET RETIREMENT OBLIGATIONS</v>
          </cell>
        </row>
        <row r="1277">
          <cell r="A1277">
            <v>9681710</v>
          </cell>
          <cell r="B1277">
            <v>274960</v>
          </cell>
          <cell r="C1277" t="str">
            <v>ASSET RETIREMENT OBLIGATIONS</v>
          </cell>
        </row>
        <row r="1278">
          <cell r="A1278">
            <v>9681734</v>
          </cell>
          <cell r="B1278">
            <v>274960</v>
          </cell>
          <cell r="C1278" t="str">
            <v>ASSET RETIREMENT OBLIGATIONS</v>
          </cell>
        </row>
        <row r="1279">
          <cell r="A1279">
            <v>9681748</v>
          </cell>
          <cell r="B1279">
            <v>274960</v>
          </cell>
          <cell r="C1279" t="str">
            <v>ASSET RETIREMENT OBLIGATIONS</v>
          </cell>
        </row>
        <row r="1280">
          <cell r="A1280">
            <v>9681894</v>
          </cell>
          <cell r="B1280">
            <v>274960</v>
          </cell>
          <cell r="C1280" t="str">
            <v>ASSET RETIREMENT OBLIGATIONS</v>
          </cell>
        </row>
        <row r="1281">
          <cell r="A1281">
            <v>9684999</v>
          </cell>
          <cell r="B1281">
            <v>274960</v>
          </cell>
          <cell r="C1281" t="str">
            <v>ASSET RETIREMENT OBLIGATIONS</v>
          </cell>
        </row>
        <row r="1282">
          <cell r="A1282">
            <v>9689883</v>
          </cell>
          <cell r="B1282">
            <v>274960</v>
          </cell>
          <cell r="C1282" t="str">
            <v>ASSET RETIREMENT OBLIGATIONS</v>
          </cell>
        </row>
        <row r="1283">
          <cell r="A1283">
            <v>9689906</v>
          </cell>
          <cell r="B1283">
            <v>274960</v>
          </cell>
          <cell r="C1283" t="str">
            <v>ASSET RETIREMENT OBLIGATIONS</v>
          </cell>
        </row>
        <row r="1284">
          <cell r="A1284">
            <v>9689990</v>
          </cell>
          <cell r="B1284">
            <v>274960</v>
          </cell>
          <cell r="C1284" t="str">
            <v>ASSET RETIREMENT OBLIGATIONS</v>
          </cell>
        </row>
        <row r="1285">
          <cell r="A1285">
            <v>9689992</v>
          </cell>
          <cell r="B1285">
            <v>274960</v>
          </cell>
          <cell r="C1285" t="str">
            <v>ASSET RETIREMENT OBLIGATIONS</v>
          </cell>
        </row>
        <row r="1286">
          <cell r="A1286">
            <v>9090999</v>
          </cell>
          <cell r="B1286">
            <v>274961</v>
          </cell>
          <cell r="C1286" t="str">
            <v>DEFERRED REVENUE - LT</v>
          </cell>
        </row>
        <row r="1287">
          <cell r="A1287">
            <v>9100999</v>
          </cell>
          <cell r="B1287">
            <v>274961</v>
          </cell>
          <cell r="C1287" t="str">
            <v>DEFERRED REVENUE - LT</v>
          </cell>
        </row>
        <row r="1288">
          <cell r="A1288">
            <v>9689990</v>
          </cell>
          <cell r="B1288">
            <v>274962</v>
          </cell>
          <cell r="C1288" t="str">
            <v>DEFFERED G/L SALE SLE BACK - L/T</v>
          </cell>
        </row>
        <row r="1289">
          <cell r="A1289">
            <v>9684999</v>
          </cell>
          <cell r="B1289">
            <v>274963</v>
          </cell>
          <cell r="C1289" t="str">
            <v>LANDLORD REIMBUR FOR LI'S - L/T</v>
          </cell>
        </row>
        <row r="1290">
          <cell r="A1290">
            <v>9685999</v>
          </cell>
          <cell r="B1290">
            <v>274963</v>
          </cell>
          <cell r="C1290" t="str">
            <v>LANDLORD REIMBUR FOR LI'S - L/T</v>
          </cell>
        </row>
        <row r="1291">
          <cell r="A1291">
            <v>9689883</v>
          </cell>
          <cell r="B1291">
            <v>274963</v>
          </cell>
          <cell r="C1291" t="str">
            <v>LANDLORD REIMBUR FOR LI'S - L/T</v>
          </cell>
        </row>
        <row r="1292">
          <cell r="A1292">
            <v>9689906</v>
          </cell>
          <cell r="B1292">
            <v>274963</v>
          </cell>
          <cell r="C1292" t="str">
            <v>LANDLORD REIMBUR FOR LI'S - L/T</v>
          </cell>
        </row>
        <row r="1293">
          <cell r="A1293">
            <v>9689990</v>
          </cell>
          <cell r="B1293">
            <v>274963</v>
          </cell>
          <cell r="C1293" t="str">
            <v>LANDLORD REIMBUR FOR LI'S - L/T</v>
          </cell>
        </row>
        <row r="1294">
          <cell r="A1294">
            <v>9689992</v>
          </cell>
          <cell r="B1294">
            <v>274963</v>
          </cell>
          <cell r="C1294" t="str">
            <v>LANDLORD REIMBUR FOR LI'S - L/T</v>
          </cell>
        </row>
        <row r="1295">
          <cell r="A1295">
            <v>9080700</v>
          </cell>
          <cell r="B1295">
            <v>274998</v>
          </cell>
          <cell r="C1295" t="str">
            <v>DEFERRED INCOME- CURRENT</v>
          </cell>
        </row>
        <row r="1296">
          <cell r="A1296">
            <v>9080701</v>
          </cell>
          <cell r="B1296">
            <v>274998</v>
          </cell>
          <cell r="C1296" t="str">
            <v>DEFERRED INCOME- CURRENT</v>
          </cell>
        </row>
        <row r="1297">
          <cell r="A1297">
            <v>9080702</v>
          </cell>
          <cell r="B1297">
            <v>274998</v>
          </cell>
          <cell r="C1297" t="str">
            <v>DEFERRED INCOME- CURRENT</v>
          </cell>
        </row>
        <row r="1298">
          <cell r="A1298">
            <v>9080705</v>
          </cell>
          <cell r="B1298">
            <v>274998</v>
          </cell>
          <cell r="C1298" t="str">
            <v>DEFERRED INCOME- CURRENT</v>
          </cell>
        </row>
        <row r="1299">
          <cell r="A1299">
            <v>9080707</v>
          </cell>
          <cell r="B1299">
            <v>274998</v>
          </cell>
          <cell r="C1299" t="str">
            <v>DEFERRED INCOME- CURRENT</v>
          </cell>
        </row>
        <row r="1300">
          <cell r="A1300">
            <v>9080710</v>
          </cell>
          <cell r="B1300">
            <v>274998</v>
          </cell>
          <cell r="C1300" t="str">
            <v>DEFERRED INCOME- CURRENT</v>
          </cell>
        </row>
        <row r="1301">
          <cell r="A1301">
            <v>9090999</v>
          </cell>
          <cell r="B1301">
            <v>274998</v>
          </cell>
          <cell r="C1301" t="str">
            <v>DEFERRED INCOME- CURRENT</v>
          </cell>
        </row>
        <row r="1302">
          <cell r="A1302">
            <v>9100999</v>
          </cell>
          <cell r="B1302">
            <v>274998</v>
          </cell>
          <cell r="C1302" t="str">
            <v>DEFERRED INCOME- CURRENT</v>
          </cell>
        </row>
        <row r="1303">
          <cell r="A1303">
            <v>9110700</v>
          </cell>
          <cell r="B1303">
            <v>274998</v>
          </cell>
          <cell r="C1303" t="str">
            <v>DEFERRED INCOME- CURRENT</v>
          </cell>
        </row>
        <row r="1304">
          <cell r="A1304">
            <v>9110702</v>
          </cell>
          <cell r="B1304">
            <v>274998</v>
          </cell>
          <cell r="C1304" t="str">
            <v>DEFERRED INCOME- CURRENT</v>
          </cell>
        </row>
        <row r="1305">
          <cell r="A1305">
            <v>9110705</v>
          </cell>
          <cell r="B1305">
            <v>274998</v>
          </cell>
          <cell r="C1305" t="str">
            <v>DEFERRED INCOME- CURRENT</v>
          </cell>
        </row>
        <row r="1306">
          <cell r="A1306">
            <v>9110707</v>
          </cell>
          <cell r="B1306">
            <v>274998</v>
          </cell>
          <cell r="C1306" t="str">
            <v>DEFERRED INCOME- CURRENT</v>
          </cell>
        </row>
        <row r="1307">
          <cell r="A1307">
            <v>9681700</v>
          </cell>
          <cell r="B1307">
            <v>274998</v>
          </cell>
          <cell r="C1307" t="str">
            <v>DEFERRED INCOME- CURRENT</v>
          </cell>
        </row>
        <row r="1308">
          <cell r="A1308">
            <v>9681701</v>
          </cell>
          <cell r="B1308">
            <v>274998</v>
          </cell>
          <cell r="C1308" t="str">
            <v>DEFERRED INCOME- CURRENT</v>
          </cell>
        </row>
        <row r="1309">
          <cell r="A1309">
            <v>9681702</v>
          </cell>
          <cell r="B1309">
            <v>274998</v>
          </cell>
          <cell r="C1309" t="str">
            <v>DEFERRED INCOME- CURRENT</v>
          </cell>
        </row>
        <row r="1310">
          <cell r="A1310">
            <v>9681705</v>
          </cell>
          <cell r="B1310">
            <v>274998</v>
          </cell>
          <cell r="C1310" t="str">
            <v>DEFERRED INCOME- CURRENT</v>
          </cell>
        </row>
        <row r="1311">
          <cell r="A1311">
            <v>9681706</v>
          </cell>
          <cell r="B1311">
            <v>274998</v>
          </cell>
          <cell r="C1311" t="str">
            <v>DEFERRED INCOME- CURRENT</v>
          </cell>
        </row>
        <row r="1312">
          <cell r="A1312">
            <v>9681707</v>
          </cell>
          <cell r="B1312">
            <v>274998</v>
          </cell>
          <cell r="C1312" t="str">
            <v>DEFERRED INCOME- CURRENT</v>
          </cell>
        </row>
        <row r="1313">
          <cell r="A1313">
            <v>9681712</v>
          </cell>
          <cell r="B1313">
            <v>274998</v>
          </cell>
          <cell r="C1313" t="str">
            <v>DEFERRED INCOME- CURRENT</v>
          </cell>
        </row>
        <row r="1314">
          <cell r="A1314">
            <v>9681727</v>
          </cell>
          <cell r="B1314">
            <v>274998</v>
          </cell>
          <cell r="C1314" t="str">
            <v>DEFERRED INCOME- CURRENT</v>
          </cell>
        </row>
        <row r="1315">
          <cell r="A1315">
            <v>9681749</v>
          </cell>
          <cell r="B1315">
            <v>274998</v>
          </cell>
          <cell r="C1315" t="str">
            <v>DEFERRED INCOME- CURRENT</v>
          </cell>
        </row>
        <row r="1316">
          <cell r="A1316">
            <v>9681999</v>
          </cell>
          <cell r="B1316">
            <v>274998</v>
          </cell>
          <cell r="C1316" t="str">
            <v>DEFERRED INCOME- CURRENT</v>
          </cell>
        </row>
        <row r="1317">
          <cell r="A1317">
            <v>9682715</v>
          </cell>
          <cell r="B1317">
            <v>274998</v>
          </cell>
          <cell r="C1317" t="str">
            <v>DEFERRED INCOME- CURRENT</v>
          </cell>
        </row>
        <row r="1318">
          <cell r="A1318">
            <v>9682722</v>
          </cell>
          <cell r="B1318">
            <v>274998</v>
          </cell>
          <cell r="C1318" t="str">
            <v>DEFERRED INCOME- CURRENT</v>
          </cell>
        </row>
        <row r="1319">
          <cell r="A1319">
            <v>9682999</v>
          </cell>
          <cell r="B1319">
            <v>274998</v>
          </cell>
          <cell r="C1319" t="str">
            <v>DEFERRED INCOME- CURRENT</v>
          </cell>
        </row>
        <row r="1320">
          <cell r="A1320">
            <v>9722709</v>
          </cell>
          <cell r="B1320">
            <v>274998</v>
          </cell>
          <cell r="C1320" t="str">
            <v>DEFERRED INCOME- CURRENT</v>
          </cell>
        </row>
        <row r="1321">
          <cell r="A1321">
            <v>9722713</v>
          </cell>
          <cell r="B1321">
            <v>274998</v>
          </cell>
          <cell r="C1321" t="str">
            <v>DEFERRED INCOME- CURRENT</v>
          </cell>
        </row>
        <row r="1322">
          <cell r="A1322">
            <v>9080999</v>
          </cell>
          <cell r="B1322">
            <v>276439</v>
          </cell>
          <cell r="C1322" t="str">
            <v>A/E VACATION WAGES PAID</v>
          </cell>
        </row>
        <row r="1323">
          <cell r="A1323">
            <v>9090999</v>
          </cell>
          <cell r="B1323">
            <v>276439</v>
          </cell>
          <cell r="C1323" t="str">
            <v>A/E VACATION WAGES PAID</v>
          </cell>
        </row>
        <row r="1324">
          <cell r="A1324">
            <v>9100999</v>
          </cell>
          <cell r="B1324">
            <v>276439</v>
          </cell>
          <cell r="C1324" t="str">
            <v>A/E VACATION WAGES PAID</v>
          </cell>
        </row>
        <row r="1325">
          <cell r="A1325">
            <v>9110999</v>
          </cell>
          <cell r="B1325">
            <v>276439</v>
          </cell>
          <cell r="C1325" t="str">
            <v>A/E VACATION WAGES PAID</v>
          </cell>
        </row>
        <row r="1326">
          <cell r="A1326">
            <v>9689999</v>
          </cell>
          <cell r="B1326">
            <v>276439</v>
          </cell>
          <cell r="C1326" t="str">
            <v>A/E VACATION WAGES PAID</v>
          </cell>
        </row>
        <row r="1327">
          <cell r="A1327">
            <v>8001054179</v>
          </cell>
          <cell r="B1327">
            <v>290001</v>
          </cell>
          <cell r="C1327" t="str">
            <v>CAPITAL STOCK-COMMON STOCK</v>
          </cell>
        </row>
        <row r="1328">
          <cell r="A1328">
            <v>8001059542</v>
          </cell>
          <cell r="B1328">
            <v>290001</v>
          </cell>
          <cell r="C1328" t="str">
            <v>CAPITAL STOCK-COMMON STOCK</v>
          </cell>
        </row>
        <row r="1329">
          <cell r="A1329">
            <v>8010512510</v>
          </cell>
          <cell r="B1329">
            <v>290001</v>
          </cell>
          <cell r="C1329" t="str">
            <v>CAPITAL STOCK-COMMON STOCK</v>
          </cell>
        </row>
        <row r="1330">
          <cell r="A1330">
            <v>9080999</v>
          </cell>
          <cell r="B1330">
            <v>290001</v>
          </cell>
          <cell r="C1330" t="str">
            <v>CAPITAL STOCK-COMMON STOCK</v>
          </cell>
        </row>
        <row r="1331">
          <cell r="A1331">
            <v>9090999</v>
          </cell>
          <cell r="B1331">
            <v>290001</v>
          </cell>
          <cell r="C1331" t="str">
            <v>CAPITAL STOCK-COMMON STOCK</v>
          </cell>
        </row>
        <row r="1332">
          <cell r="A1332">
            <v>9100999</v>
          </cell>
          <cell r="B1332">
            <v>290001</v>
          </cell>
          <cell r="C1332" t="str">
            <v>CAPITAL STOCK-COMMON STOCK</v>
          </cell>
        </row>
        <row r="1333">
          <cell r="A1333">
            <v>9110999</v>
          </cell>
          <cell r="B1333">
            <v>290001</v>
          </cell>
          <cell r="C1333" t="str">
            <v>CAPITAL STOCK-COMMON STOCK</v>
          </cell>
        </row>
        <row r="1334">
          <cell r="A1334">
            <v>9689883</v>
          </cell>
          <cell r="B1334">
            <v>290001</v>
          </cell>
          <cell r="C1334" t="str">
            <v>CAPITAL STOCK-COMMON STOCK</v>
          </cell>
        </row>
        <row r="1335">
          <cell r="A1335">
            <v>9689906</v>
          </cell>
          <cell r="B1335">
            <v>290001</v>
          </cell>
          <cell r="C1335" t="str">
            <v>CAPITAL STOCK-COMMON STOCK</v>
          </cell>
        </row>
        <row r="1336">
          <cell r="A1336">
            <v>9689992</v>
          </cell>
          <cell r="B1336">
            <v>290001</v>
          </cell>
          <cell r="C1336" t="str">
            <v>CAPITAL STOCK-COMMON STOCK</v>
          </cell>
        </row>
        <row r="1337">
          <cell r="A1337">
            <v>9689999</v>
          </cell>
          <cell r="B1337">
            <v>290001</v>
          </cell>
          <cell r="C1337" t="str">
            <v>CAPITAL STOCK-COMMON STOCK</v>
          </cell>
        </row>
        <row r="1338">
          <cell r="A1338">
            <v>9966681</v>
          </cell>
          <cell r="B1338">
            <v>290001</v>
          </cell>
          <cell r="C1338" t="str">
            <v>CAPITAL STOCK-COMMON STOCK</v>
          </cell>
        </row>
        <row r="1339">
          <cell r="A1339">
            <v>9967681</v>
          </cell>
          <cell r="B1339">
            <v>290001</v>
          </cell>
          <cell r="C1339" t="str">
            <v>CAPITAL STOCK-COMMON STOCK</v>
          </cell>
        </row>
        <row r="1340">
          <cell r="A1340">
            <v>9968681</v>
          </cell>
          <cell r="B1340">
            <v>290001</v>
          </cell>
          <cell r="C1340" t="str">
            <v>CAPITAL STOCK-COMMON STOCK</v>
          </cell>
        </row>
        <row r="1341">
          <cell r="A1341">
            <v>9969681</v>
          </cell>
          <cell r="B1341">
            <v>290001</v>
          </cell>
          <cell r="C1341" t="str">
            <v>CAPITAL STOCK-COMMON STOCK</v>
          </cell>
        </row>
        <row r="1342">
          <cell r="A1342">
            <v>9969901</v>
          </cell>
          <cell r="B1342">
            <v>290001</v>
          </cell>
          <cell r="C1342" t="str">
            <v>CAPITAL STOCK-COMMON STOCK</v>
          </cell>
        </row>
        <row r="1343">
          <cell r="A1343" t="str">
            <v>ZONE-0105-POST</v>
          </cell>
          <cell r="B1343">
            <v>290001</v>
          </cell>
          <cell r="C1343" t="str">
            <v>CAPITAL STOCK-COMMON STOCK</v>
          </cell>
        </row>
        <row r="1344">
          <cell r="A1344" t="str">
            <v>ZONE-0112-POST</v>
          </cell>
          <cell r="B1344">
            <v>290001</v>
          </cell>
          <cell r="C1344" t="str">
            <v>CAPITAL STOCK-COMMON STOCK</v>
          </cell>
        </row>
        <row r="1345">
          <cell r="A1345">
            <v>9090999</v>
          </cell>
          <cell r="B1345">
            <v>290020</v>
          </cell>
          <cell r="C1345" t="str">
            <v>CAPITAL STOCK-PREFERRED STOCK</v>
          </cell>
        </row>
        <row r="1346">
          <cell r="A1346">
            <v>9100999</v>
          </cell>
          <cell r="B1346">
            <v>290020</v>
          </cell>
          <cell r="C1346" t="str">
            <v>CAPITAL STOCK-PREFERRED STOCK</v>
          </cell>
        </row>
        <row r="1347">
          <cell r="A1347">
            <v>9090999</v>
          </cell>
          <cell r="B1347">
            <v>290050</v>
          </cell>
          <cell r="C1347" t="str">
            <v>NOTES REC.-SUBSCRIPTION LOANS</v>
          </cell>
        </row>
        <row r="1348">
          <cell r="A1348">
            <v>9100999</v>
          </cell>
          <cell r="B1348">
            <v>290050</v>
          </cell>
          <cell r="C1348" t="str">
            <v>NOTES REC.-SUBSCRIPTION LOANS</v>
          </cell>
        </row>
        <row r="1349">
          <cell r="A1349">
            <v>9689883</v>
          </cell>
          <cell r="B1349">
            <v>290050</v>
          </cell>
          <cell r="C1349" t="str">
            <v>NOTES REC.-SUBSCRIPTION LOANS</v>
          </cell>
        </row>
        <row r="1350">
          <cell r="A1350">
            <v>9689906</v>
          </cell>
          <cell r="B1350">
            <v>290050</v>
          </cell>
          <cell r="C1350" t="str">
            <v>NOTES REC.-SUBSCRIPTION LOANS</v>
          </cell>
        </row>
        <row r="1351">
          <cell r="A1351">
            <v>9689992</v>
          </cell>
          <cell r="B1351">
            <v>290050</v>
          </cell>
          <cell r="C1351" t="str">
            <v>NOTES REC.-SUBSCRIPTION LOANS</v>
          </cell>
        </row>
        <row r="1352">
          <cell r="A1352">
            <v>8001054179</v>
          </cell>
          <cell r="B1352">
            <v>290100</v>
          </cell>
          <cell r="C1352" t="str">
            <v>CAPITAL STOCK-ADDITIONAL PAID-</v>
          </cell>
        </row>
        <row r="1353">
          <cell r="A1353">
            <v>8001059542</v>
          </cell>
          <cell r="B1353">
            <v>290100</v>
          </cell>
          <cell r="C1353" t="str">
            <v>CAPITAL STOCK-ADDITIONAL PAID-</v>
          </cell>
        </row>
        <row r="1354">
          <cell r="A1354">
            <v>8010512510</v>
          </cell>
          <cell r="B1354">
            <v>290100</v>
          </cell>
          <cell r="C1354" t="str">
            <v>CAPITAL STOCK-ADDITIONAL PAID-</v>
          </cell>
        </row>
        <row r="1355">
          <cell r="A1355">
            <v>9080999</v>
          </cell>
          <cell r="B1355">
            <v>290100</v>
          </cell>
          <cell r="C1355" t="str">
            <v>CAPITAL STOCK-ADDITIONAL PAID-</v>
          </cell>
        </row>
        <row r="1356">
          <cell r="A1356">
            <v>9090999</v>
          </cell>
          <cell r="B1356">
            <v>290100</v>
          </cell>
          <cell r="C1356" t="str">
            <v>CAPITAL STOCK-ADDITIONAL PAID-</v>
          </cell>
        </row>
        <row r="1357">
          <cell r="A1357">
            <v>9100999</v>
          </cell>
          <cell r="B1357">
            <v>290100</v>
          </cell>
          <cell r="C1357" t="str">
            <v>CAPITAL STOCK-ADDITIONAL PAID-</v>
          </cell>
        </row>
        <row r="1358">
          <cell r="A1358">
            <v>9110999</v>
          </cell>
          <cell r="B1358">
            <v>290100</v>
          </cell>
          <cell r="C1358" t="str">
            <v>CAPITAL STOCK-ADDITIONAL PAID-</v>
          </cell>
        </row>
        <row r="1359">
          <cell r="A1359">
            <v>9689999</v>
          </cell>
          <cell r="B1359">
            <v>290100</v>
          </cell>
          <cell r="C1359" t="str">
            <v>CAPITAL STOCK-ADDITIONAL PAID-</v>
          </cell>
        </row>
        <row r="1360">
          <cell r="A1360">
            <v>9966681</v>
          </cell>
          <cell r="B1360">
            <v>290100</v>
          </cell>
          <cell r="C1360" t="str">
            <v>CAPITAL STOCK-ADDITIONAL PAID-</v>
          </cell>
        </row>
        <row r="1361">
          <cell r="A1361">
            <v>9969681</v>
          </cell>
          <cell r="B1361">
            <v>290100</v>
          </cell>
          <cell r="C1361" t="str">
            <v>CAPITAL STOCK-ADDITIONAL PAID-</v>
          </cell>
        </row>
        <row r="1362">
          <cell r="A1362">
            <v>9969901</v>
          </cell>
          <cell r="B1362">
            <v>290100</v>
          </cell>
          <cell r="C1362" t="str">
            <v>CAPITAL STOCK-ADDITIONAL PAID-</v>
          </cell>
        </row>
        <row r="1363">
          <cell r="A1363" t="str">
            <v>ZONE-0105-POST</v>
          </cell>
          <cell r="B1363">
            <v>290100</v>
          </cell>
          <cell r="C1363" t="str">
            <v>CAPITAL STOCK-ADDITIONAL PAID-</v>
          </cell>
        </row>
        <row r="1364">
          <cell r="A1364" t="str">
            <v>ZONE-0112-POST</v>
          </cell>
          <cell r="B1364">
            <v>290100</v>
          </cell>
          <cell r="C1364" t="str">
            <v>CAPITAL STOCK-ADDITIONAL PAID-</v>
          </cell>
        </row>
        <row r="1365">
          <cell r="A1365">
            <v>9729999</v>
          </cell>
          <cell r="B1365">
            <v>290202</v>
          </cell>
          <cell r="C1365" t="str">
            <v>PARTNERSHIP CAPITAL</v>
          </cell>
        </row>
        <row r="1366">
          <cell r="A1366">
            <v>9967681</v>
          </cell>
          <cell r="B1366">
            <v>291001</v>
          </cell>
          <cell r="C1366" t="str">
            <v>CUMULA TRANSL ADJ-SAFEWAY - PRIOR</v>
          </cell>
        </row>
        <row r="1367">
          <cell r="A1367">
            <v>9969681</v>
          </cell>
          <cell r="B1367">
            <v>291001</v>
          </cell>
          <cell r="C1367" t="str">
            <v>CUMULA TRANSL ADJ-SAFEWAY - PRIOR</v>
          </cell>
        </row>
        <row r="1368">
          <cell r="A1368" t="str">
            <v>ZONE-0105-POST</v>
          </cell>
          <cell r="B1368">
            <v>291001</v>
          </cell>
          <cell r="C1368" t="str">
            <v>CUMULA TRANSL ADJ-SAFEWAY - PRIOR</v>
          </cell>
        </row>
        <row r="1369">
          <cell r="A1369" t="str">
            <v>ZONE-0112-POST</v>
          </cell>
          <cell r="B1369">
            <v>291001</v>
          </cell>
          <cell r="C1369" t="str">
            <v>CUMULA TRANSL ADJ-SAFEWAY - PRIOR</v>
          </cell>
        </row>
        <row r="1370">
          <cell r="A1370">
            <v>9080999</v>
          </cell>
          <cell r="B1370">
            <v>291010</v>
          </cell>
          <cell r="C1370" t="str">
            <v>CUMULA TRANSL ADJ-SAFEWAY - CURRENT</v>
          </cell>
        </row>
        <row r="1371">
          <cell r="A1371">
            <v>9100999</v>
          </cell>
          <cell r="B1371">
            <v>291010</v>
          </cell>
          <cell r="C1371" t="str">
            <v>CUMULA TRANSL ADJ-SAFEWAY - CURRENT</v>
          </cell>
        </row>
        <row r="1372">
          <cell r="A1372">
            <v>9110999</v>
          </cell>
          <cell r="B1372">
            <v>291010</v>
          </cell>
          <cell r="C1372" t="str">
            <v>CUMULA TRANSL ADJ-SAFEWAY - CURRENT</v>
          </cell>
        </row>
        <row r="1373">
          <cell r="A1373">
            <v>9967681</v>
          </cell>
          <cell r="B1373">
            <v>291010</v>
          </cell>
          <cell r="C1373" t="str">
            <v>CUMULA TRANSL ADJ-SAFEWAY - CURRENT</v>
          </cell>
        </row>
        <row r="1374">
          <cell r="A1374">
            <v>9968681</v>
          </cell>
          <cell r="B1374">
            <v>291010</v>
          </cell>
          <cell r="C1374" t="str">
            <v>CUMULA TRANSL ADJ-SAFEWAY - CURRENT</v>
          </cell>
        </row>
        <row r="1375">
          <cell r="A1375">
            <v>9969681</v>
          </cell>
          <cell r="B1375">
            <v>291010</v>
          </cell>
          <cell r="C1375" t="str">
            <v>CUMULA TRANSL ADJ-SAFEWAY - CURRENT</v>
          </cell>
        </row>
        <row r="1376">
          <cell r="A1376" t="str">
            <v>I/C-1510-POST</v>
          </cell>
          <cell r="B1376">
            <v>291010</v>
          </cell>
          <cell r="C1376" t="str">
            <v>CUMULA TRANSL ADJ-SAFEWAY - CURRENT</v>
          </cell>
        </row>
        <row r="1377">
          <cell r="A1377" t="str">
            <v>ZONE-0068-POST</v>
          </cell>
          <cell r="B1377">
            <v>291010</v>
          </cell>
          <cell r="C1377" t="str">
            <v>CUMULA TRANSL ADJ-SAFEWAY - CURRENT</v>
          </cell>
        </row>
        <row r="1378">
          <cell r="A1378" t="str">
            <v>ZONE-0072-POST</v>
          </cell>
          <cell r="B1378">
            <v>291010</v>
          </cell>
          <cell r="C1378" t="str">
            <v>CUMULA TRANSL ADJ-SAFEWAY - CURRENT</v>
          </cell>
        </row>
        <row r="1379">
          <cell r="A1379" t="str">
            <v>ZONE-0102-POST</v>
          </cell>
          <cell r="B1379">
            <v>291010</v>
          </cell>
          <cell r="C1379" t="str">
            <v>CUMULA TRANSL ADJ-SAFEWAY - CURRENT</v>
          </cell>
        </row>
        <row r="1380">
          <cell r="A1380" t="str">
            <v>ZONE-0103-POST</v>
          </cell>
          <cell r="B1380">
            <v>291010</v>
          </cell>
          <cell r="C1380" t="str">
            <v>CUMULA TRANSL ADJ-SAFEWAY - CURRENT</v>
          </cell>
        </row>
        <row r="1381">
          <cell r="A1381" t="str">
            <v>ZONE-0104-POST</v>
          </cell>
          <cell r="B1381">
            <v>291010</v>
          </cell>
          <cell r="C1381" t="str">
            <v>CUMULA TRANSL ADJ-SAFEWAY - CURRENT</v>
          </cell>
        </row>
        <row r="1382">
          <cell r="A1382" t="str">
            <v>ZONE-0105-POST</v>
          </cell>
          <cell r="B1382">
            <v>291010</v>
          </cell>
          <cell r="C1382" t="str">
            <v>CUMULA TRANSL ADJ-SAFEWAY - CURRENT</v>
          </cell>
        </row>
        <row r="1383">
          <cell r="A1383" t="str">
            <v>ZONE-0108-POST</v>
          </cell>
          <cell r="B1383">
            <v>291010</v>
          </cell>
          <cell r="C1383" t="str">
            <v>CUMULA TRANSL ADJ-SAFEWAY - CURRENT</v>
          </cell>
        </row>
        <row r="1384">
          <cell r="A1384" t="str">
            <v>ZONE-0109-POST</v>
          </cell>
          <cell r="B1384">
            <v>291010</v>
          </cell>
          <cell r="C1384" t="str">
            <v>CUMULA TRANSL ADJ-SAFEWAY - CURRENT</v>
          </cell>
        </row>
        <row r="1385">
          <cell r="A1385" t="str">
            <v>ZONE-0110-POST</v>
          </cell>
          <cell r="B1385">
            <v>291010</v>
          </cell>
          <cell r="C1385" t="str">
            <v>CUMULA TRANSL ADJ-SAFEWAY - CURRENT</v>
          </cell>
        </row>
        <row r="1386">
          <cell r="A1386" t="str">
            <v>ZONE-0111-POST</v>
          </cell>
          <cell r="B1386">
            <v>291010</v>
          </cell>
          <cell r="C1386" t="str">
            <v>CUMULA TRANSL ADJ-SAFEWAY - CURRENT</v>
          </cell>
        </row>
        <row r="1387">
          <cell r="A1387" t="str">
            <v>ZONE-0112-POST</v>
          </cell>
          <cell r="B1387">
            <v>291010</v>
          </cell>
          <cell r="C1387" t="str">
            <v>CUMULA TRANSL ADJ-SAFEWAY - CURRENT</v>
          </cell>
        </row>
        <row r="1388">
          <cell r="A1388" t="str">
            <v>ZONE-9998-POST</v>
          </cell>
          <cell r="B1388">
            <v>291010</v>
          </cell>
          <cell r="C1388" t="str">
            <v>CUMULA TRANSL ADJ-SAFEWAY - CURRENT</v>
          </cell>
        </row>
        <row r="1389">
          <cell r="A1389" t="str">
            <v>ZONE-9999-POST</v>
          </cell>
          <cell r="B1389">
            <v>291010</v>
          </cell>
          <cell r="C1389" t="str">
            <v>CUMULA TRANSL ADJ-SAFEWAY - CURRENT</v>
          </cell>
        </row>
        <row r="1390">
          <cell r="A1390">
            <v>9080999</v>
          </cell>
          <cell r="B1390">
            <v>291055</v>
          </cell>
          <cell r="C1390" t="str">
            <v>EQUITY UNEARNED COMPENSATION EXP</v>
          </cell>
        </row>
        <row r="1391">
          <cell r="A1391">
            <v>9110999</v>
          </cell>
          <cell r="B1391">
            <v>291055</v>
          </cell>
          <cell r="C1391" t="str">
            <v>EQUITY UNEARNED COMPENSATION EXP</v>
          </cell>
        </row>
        <row r="1392">
          <cell r="A1392">
            <v>9689999</v>
          </cell>
          <cell r="B1392">
            <v>291055</v>
          </cell>
          <cell r="C1392" t="str">
            <v>EQUITY UNEARNED COMPENSATION EXP</v>
          </cell>
        </row>
        <row r="1393">
          <cell r="A1393">
            <v>9090999</v>
          </cell>
          <cell r="B1393">
            <v>292001</v>
          </cell>
          <cell r="C1393" t="str">
            <v>PRIOR YEAR RETAINED EARNINGS</v>
          </cell>
        </row>
        <row r="1394">
          <cell r="A1394">
            <v>9100999</v>
          </cell>
          <cell r="B1394">
            <v>292001</v>
          </cell>
          <cell r="C1394" t="str">
            <v>PRIOR YEAR RETAINED EARNINGS</v>
          </cell>
        </row>
        <row r="1395">
          <cell r="A1395" t="str">
            <v>I/C-1510-POST</v>
          </cell>
          <cell r="B1395">
            <v>292001</v>
          </cell>
          <cell r="C1395" t="str">
            <v>PRIOR YEAR RETAINED EARNINGS</v>
          </cell>
        </row>
        <row r="1396">
          <cell r="A1396" t="str">
            <v>ZONE-0068-POST</v>
          </cell>
          <cell r="B1396">
            <v>292001</v>
          </cell>
          <cell r="C1396" t="str">
            <v>PRIOR YEAR RETAINED EARNINGS</v>
          </cell>
        </row>
        <row r="1397">
          <cell r="A1397" t="str">
            <v>ZONE-0072-POST</v>
          </cell>
          <cell r="B1397">
            <v>292001</v>
          </cell>
          <cell r="C1397" t="str">
            <v>PRIOR YEAR RETAINED EARNINGS</v>
          </cell>
        </row>
        <row r="1398">
          <cell r="A1398" t="str">
            <v>ZONE-0102-POST</v>
          </cell>
          <cell r="B1398">
            <v>292001</v>
          </cell>
          <cell r="C1398" t="str">
            <v>PRIOR YEAR RETAINED EARNINGS</v>
          </cell>
        </row>
        <row r="1399">
          <cell r="A1399" t="str">
            <v>ZONE-0103-POST</v>
          </cell>
          <cell r="B1399">
            <v>292001</v>
          </cell>
          <cell r="C1399" t="str">
            <v>PRIOR YEAR RETAINED EARNINGS</v>
          </cell>
        </row>
        <row r="1400">
          <cell r="A1400" t="str">
            <v>ZONE-0104-POST</v>
          </cell>
          <cell r="B1400">
            <v>292001</v>
          </cell>
          <cell r="C1400" t="str">
            <v>PRIOR YEAR RETAINED EARNINGS</v>
          </cell>
        </row>
        <row r="1401">
          <cell r="A1401" t="str">
            <v>ZONE-0105-POST</v>
          </cell>
          <cell r="B1401">
            <v>292001</v>
          </cell>
          <cell r="C1401" t="str">
            <v>PRIOR YEAR RETAINED EARNINGS</v>
          </cell>
        </row>
        <row r="1402">
          <cell r="A1402" t="str">
            <v>ZONE-0108-POST</v>
          </cell>
          <cell r="B1402">
            <v>292001</v>
          </cell>
          <cell r="C1402" t="str">
            <v>PRIOR YEAR RETAINED EARNINGS</v>
          </cell>
        </row>
        <row r="1403">
          <cell r="A1403" t="str">
            <v>ZONE-0109-POST</v>
          </cell>
          <cell r="B1403">
            <v>292001</v>
          </cell>
          <cell r="C1403" t="str">
            <v>PRIOR YEAR RETAINED EARNINGS</v>
          </cell>
        </row>
        <row r="1404">
          <cell r="A1404" t="str">
            <v>ZONE-0110-POST</v>
          </cell>
          <cell r="B1404">
            <v>292001</v>
          </cell>
          <cell r="C1404" t="str">
            <v>PRIOR YEAR RETAINED EARNINGS</v>
          </cell>
        </row>
        <row r="1405">
          <cell r="A1405" t="str">
            <v>ZONE-0111-POST</v>
          </cell>
          <cell r="B1405">
            <v>292001</v>
          </cell>
          <cell r="C1405" t="str">
            <v>PRIOR YEAR RETAINED EARNINGS</v>
          </cell>
        </row>
        <row r="1406">
          <cell r="A1406" t="str">
            <v>ZONE-0112-POST</v>
          </cell>
          <cell r="B1406">
            <v>292001</v>
          </cell>
          <cell r="C1406" t="str">
            <v>PRIOR YEAR RETAINED EARNINGS</v>
          </cell>
        </row>
        <row r="1407">
          <cell r="A1407" t="str">
            <v>ZONE-9998-POST</v>
          </cell>
          <cell r="B1407">
            <v>292001</v>
          </cell>
          <cell r="C1407" t="str">
            <v>PRIOR YEAR RETAINED EARNINGS</v>
          </cell>
        </row>
        <row r="1408">
          <cell r="A1408" t="str">
            <v>ZONE-9999-POST</v>
          </cell>
          <cell r="B1408">
            <v>292001</v>
          </cell>
          <cell r="C1408" t="str">
            <v>PRIOR YEAR RETAINED EARNINGS</v>
          </cell>
        </row>
        <row r="1409">
          <cell r="A1409">
            <v>9090999</v>
          </cell>
          <cell r="B1409">
            <v>292100</v>
          </cell>
          <cell r="C1409" t="str">
            <v>PRIOR YEAR RET EARN-SUBS</v>
          </cell>
        </row>
        <row r="1410">
          <cell r="A1410">
            <v>9120999</v>
          </cell>
          <cell r="B1410">
            <v>292100</v>
          </cell>
          <cell r="C1410" t="str">
            <v>PRIOR YEAR RET EARN-SUBS</v>
          </cell>
        </row>
        <row r="1411">
          <cell r="A1411">
            <v>9689999</v>
          </cell>
          <cell r="B1411">
            <v>292100</v>
          </cell>
          <cell r="C1411" t="str">
            <v>PRIOR YEAR RET EARN-SUBS</v>
          </cell>
        </row>
        <row r="1412">
          <cell r="A1412">
            <v>9966681</v>
          </cell>
          <cell r="B1412">
            <v>292100</v>
          </cell>
          <cell r="C1412" t="str">
            <v>PRIOR YEAR RET EARN-SUBS</v>
          </cell>
        </row>
        <row r="1413">
          <cell r="A1413" t="str">
            <v>ZONE-0109-POST</v>
          </cell>
          <cell r="B1413">
            <v>292102</v>
          </cell>
          <cell r="C1413" t="str">
            <v>History Retained Earnins</v>
          </cell>
        </row>
        <row r="1414">
          <cell r="A1414" t="str">
            <v>ZONE-0110-POST</v>
          </cell>
          <cell r="B1414">
            <v>292102</v>
          </cell>
          <cell r="C1414" t="str">
            <v>History Retained Earnins</v>
          </cell>
        </row>
        <row r="1415">
          <cell r="A1415" t="str">
            <v>ZONE-0111-POST</v>
          </cell>
          <cell r="B1415">
            <v>292102</v>
          </cell>
          <cell r="C1415" t="str">
            <v>History Retained Earnins</v>
          </cell>
        </row>
        <row r="1416">
          <cell r="A1416">
            <v>9080999</v>
          </cell>
          <cell r="B1416">
            <v>292150</v>
          </cell>
          <cell r="C1416" t="str">
            <v>CURR YEARS EARNINGS OF SUBS</v>
          </cell>
        </row>
        <row r="1417">
          <cell r="A1417">
            <v>9090999</v>
          </cell>
          <cell r="B1417">
            <v>292150</v>
          </cell>
          <cell r="C1417" t="str">
            <v>CURR YEARS EARNINGS OF SUBS</v>
          </cell>
        </row>
        <row r="1418">
          <cell r="A1418">
            <v>9110999</v>
          </cell>
          <cell r="B1418">
            <v>292150</v>
          </cell>
          <cell r="C1418" t="str">
            <v>CURR YEARS EARNINGS OF SUBS</v>
          </cell>
        </row>
        <row r="1419">
          <cell r="A1419">
            <v>9120999</v>
          </cell>
          <cell r="B1419">
            <v>292150</v>
          </cell>
          <cell r="C1419" t="str">
            <v>CURR YEARS EARNINGS OF SUBS</v>
          </cell>
        </row>
        <row r="1420">
          <cell r="A1420">
            <v>9689999</v>
          </cell>
          <cell r="B1420">
            <v>292150</v>
          </cell>
          <cell r="C1420" t="str">
            <v>CURR YEARS EARNINGS OF SUBS</v>
          </cell>
        </row>
        <row r="1421">
          <cell r="A1421">
            <v>9966681</v>
          </cell>
          <cell r="B1421">
            <v>292150</v>
          </cell>
          <cell r="C1421" t="str">
            <v>CURR YEARS EARNINGS OF SUBS</v>
          </cell>
        </row>
        <row r="1422">
          <cell r="A1422" t="str">
            <v>I/C-1510-POST</v>
          </cell>
          <cell r="B1422">
            <v>292501</v>
          </cell>
          <cell r="C1422" t="str">
            <v>RET EARN-GAINLOSS EARN-CURR</v>
          </cell>
        </row>
        <row r="1423">
          <cell r="A1423" t="str">
            <v>ZONE-0068-POST</v>
          </cell>
          <cell r="B1423">
            <v>292501</v>
          </cell>
          <cell r="C1423" t="str">
            <v>RET EARN-GAINLOSS EARN-CURR</v>
          </cell>
        </row>
        <row r="1424">
          <cell r="A1424" t="str">
            <v>ZONE-0072-POST</v>
          </cell>
          <cell r="B1424">
            <v>292501</v>
          </cell>
          <cell r="C1424" t="str">
            <v>RET EARN-GAINLOSS EARN-CURR</v>
          </cell>
        </row>
        <row r="1425">
          <cell r="A1425" t="str">
            <v>ZONE-0102-POST</v>
          </cell>
          <cell r="B1425">
            <v>292501</v>
          </cell>
          <cell r="C1425" t="str">
            <v>RET EARN-GAINLOSS EARN-CURR</v>
          </cell>
        </row>
        <row r="1426">
          <cell r="A1426" t="str">
            <v>ZONE-0103-POST</v>
          </cell>
          <cell r="B1426">
            <v>292501</v>
          </cell>
          <cell r="C1426" t="str">
            <v>RET EARN-GAINLOSS EARN-CURR</v>
          </cell>
        </row>
        <row r="1427">
          <cell r="A1427" t="str">
            <v>ZONE-0104-POST</v>
          </cell>
          <cell r="B1427">
            <v>292501</v>
          </cell>
          <cell r="C1427" t="str">
            <v>RET EARN-GAINLOSS EARN-CURR</v>
          </cell>
        </row>
        <row r="1428">
          <cell r="A1428" t="str">
            <v>ZONE-0105-POST</v>
          </cell>
          <cell r="B1428">
            <v>292501</v>
          </cell>
          <cell r="C1428" t="str">
            <v>RET EARN-GAINLOSS EARN-CURR</v>
          </cell>
        </row>
        <row r="1429">
          <cell r="A1429" t="str">
            <v>ZONE-0108-POST</v>
          </cell>
          <cell r="B1429">
            <v>292501</v>
          </cell>
          <cell r="C1429" t="str">
            <v>RET EARN-GAINLOSS EARN-CURR</v>
          </cell>
        </row>
        <row r="1430">
          <cell r="A1430" t="str">
            <v>ZONE-0109-POST</v>
          </cell>
          <cell r="B1430">
            <v>292501</v>
          </cell>
          <cell r="C1430" t="str">
            <v>RET EARN-GAINLOSS EARN-CURR</v>
          </cell>
        </row>
        <row r="1431">
          <cell r="A1431" t="str">
            <v>ZONE-0110-POST</v>
          </cell>
          <cell r="B1431">
            <v>292501</v>
          </cell>
          <cell r="C1431" t="str">
            <v>RET EARN-GAINLOSS EARN-CURR</v>
          </cell>
        </row>
        <row r="1432">
          <cell r="A1432" t="str">
            <v>ZONE-0111-POST</v>
          </cell>
          <cell r="B1432">
            <v>292501</v>
          </cell>
          <cell r="C1432" t="str">
            <v>RET EARN-GAINLOSS EARN-CURR</v>
          </cell>
        </row>
        <row r="1433">
          <cell r="A1433" t="str">
            <v>ZONE-0112-POST</v>
          </cell>
          <cell r="B1433">
            <v>292501</v>
          </cell>
          <cell r="C1433" t="str">
            <v>RET EARN-GAINLOSS EARN-CURR</v>
          </cell>
        </row>
        <row r="1434">
          <cell r="A1434" t="str">
            <v>ZONE-9998-POST</v>
          </cell>
          <cell r="B1434">
            <v>292501</v>
          </cell>
          <cell r="C1434" t="str">
            <v>RET EARN-GAINLOSS EARN-CURR</v>
          </cell>
        </row>
        <row r="1435">
          <cell r="A1435" t="str">
            <v>ZONE-9999-POST</v>
          </cell>
          <cell r="B1435">
            <v>292501</v>
          </cell>
          <cell r="C1435" t="str">
            <v>RET EARN-GAINLOSS EARN-CURR</v>
          </cell>
        </row>
        <row r="1436">
          <cell r="A1436">
            <v>9090999</v>
          </cell>
          <cell r="B1436">
            <v>292502</v>
          </cell>
          <cell r="C1436" t="str">
            <v>RET EARN-GAIN/LOSS EARN-YTD</v>
          </cell>
        </row>
        <row r="1437">
          <cell r="A1437">
            <v>9100999</v>
          </cell>
          <cell r="B1437">
            <v>292502</v>
          </cell>
          <cell r="C1437" t="str">
            <v>RET EARN-GAIN/LOSS EARN-YTD</v>
          </cell>
        </row>
        <row r="1438">
          <cell r="A1438" t="str">
            <v>I/C-1510-POST</v>
          </cell>
          <cell r="B1438">
            <v>299100</v>
          </cell>
          <cell r="C1438" t="str">
            <v>ERROR SUSPENSE - NON SPECIFIC</v>
          </cell>
        </row>
        <row r="1439">
          <cell r="A1439" t="str">
            <v>ZONE-0068-POST</v>
          </cell>
          <cell r="B1439">
            <v>299100</v>
          </cell>
          <cell r="C1439" t="str">
            <v>ERROR SUSPENSE - NON SPECIFIC</v>
          </cell>
        </row>
        <row r="1440">
          <cell r="A1440" t="str">
            <v>ZONE-0072-POST</v>
          </cell>
          <cell r="B1440">
            <v>299100</v>
          </cell>
          <cell r="C1440" t="str">
            <v>ERROR SUSPENSE - NON SPECIFIC</v>
          </cell>
        </row>
        <row r="1441">
          <cell r="A1441" t="str">
            <v>ZONE-0102-POST</v>
          </cell>
          <cell r="B1441">
            <v>299100</v>
          </cell>
          <cell r="C1441" t="str">
            <v>ERROR SUSPENSE - NON SPECIFIC</v>
          </cell>
        </row>
        <row r="1442">
          <cell r="A1442" t="str">
            <v>ZONE-0103-POST</v>
          </cell>
          <cell r="B1442">
            <v>299100</v>
          </cell>
          <cell r="C1442" t="str">
            <v>ERROR SUSPENSE - NON SPECIFIC</v>
          </cell>
        </row>
        <row r="1443">
          <cell r="A1443" t="str">
            <v>ZONE-0104-POST</v>
          </cell>
          <cell r="B1443">
            <v>299100</v>
          </cell>
          <cell r="C1443" t="str">
            <v>ERROR SUSPENSE - NON SPECIFIC</v>
          </cell>
        </row>
        <row r="1444">
          <cell r="A1444" t="str">
            <v>ZONE-0105-POST</v>
          </cell>
          <cell r="B1444">
            <v>299100</v>
          </cell>
          <cell r="C1444" t="str">
            <v>ERROR SUSPENSE - NON SPECIFIC</v>
          </cell>
        </row>
        <row r="1445">
          <cell r="A1445" t="str">
            <v>ZONE-0108-POST</v>
          </cell>
          <cell r="B1445">
            <v>299100</v>
          </cell>
          <cell r="C1445" t="str">
            <v>ERROR SUSPENSE - NON SPECIFIC</v>
          </cell>
        </row>
        <row r="1446">
          <cell r="A1446" t="str">
            <v>ZONE-0109-POST</v>
          </cell>
          <cell r="B1446">
            <v>299100</v>
          </cell>
          <cell r="C1446" t="str">
            <v>ERROR SUSPENSE - NON SPECIFIC</v>
          </cell>
        </row>
        <row r="1447">
          <cell r="A1447" t="str">
            <v>ZONE-0110-POST</v>
          </cell>
          <cell r="B1447">
            <v>299100</v>
          </cell>
          <cell r="C1447" t="str">
            <v>ERROR SUSPENSE - NON SPECIFIC</v>
          </cell>
        </row>
        <row r="1448">
          <cell r="A1448" t="str">
            <v>ZONE-0111-POST</v>
          </cell>
          <cell r="B1448">
            <v>299100</v>
          </cell>
          <cell r="C1448" t="str">
            <v>ERROR SUSPENSE - NON SPECIFIC</v>
          </cell>
        </row>
        <row r="1449">
          <cell r="A1449" t="str">
            <v>ZONE-0112-POST</v>
          </cell>
          <cell r="B1449">
            <v>299100</v>
          </cell>
          <cell r="C1449" t="str">
            <v>ERROR SUSPENSE - NON SPECIFIC</v>
          </cell>
        </row>
        <row r="1450">
          <cell r="A1450" t="str">
            <v>ZONE-9998-POST</v>
          </cell>
          <cell r="B1450">
            <v>299100</v>
          </cell>
          <cell r="C1450" t="str">
            <v>ERROR SUSPENSE - NON SPECIFIC</v>
          </cell>
        </row>
        <row r="1451">
          <cell r="A1451" t="str">
            <v>ZONE-9999-POST</v>
          </cell>
          <cell r="B1451">
            <v>299100</v>
          </cell>
          <cell r="C1451" t="str">
            <v>ERROR SUSPENSE - NON SPECIFIC</v>
          </cell>
        </row>
        <row r="1452">
          <cell r="A1452" t="str">
            <v>I/C-1510-POST</v>
          </cell>
          <cell r="B1452">
            <v>299101</v>
          </cell>
          <cell r="C1452" t="str">
            <v>ERROR SUSPENSE - AC - ACTIVITY MGMT</v>
          </cell>
        </row>
        <row r="1453">
          <cell r="A1453" t="str">
            <v>ZONE-0068-POST</v>
          </cell>
          <cell r="B1453">
            <v>299101</v>
          </cell>
          <cell r="C1453" t="str">
            <v>ERROR SUSPENSE - AC - ACTIVITY MGMT</v>
          </cell>
        </row>
        <row r="1454">
          <cell r="A1454" t="str">
            <v>ZONE-0072-POST</v>
          </cell>
          <cell r="B1454">
            <v>299101</v>
          </cell>
          <cell r="C1454" t="str">
            <v>ERROR SUSPENSE - AC - ACTIVITY MGMT</v>
          </cell>
        </row>
        <row r="1455">
          <cell r="A1455" t="str">
            <v>ZONE-0102-POST</v>
          </cell>
          <cell r="B1455">
            <v>299101</v>
          </cell>
          <cell r="C1455" t="str">
            <v>ERROR SUSPENSE - AC - ACTIVITY MGMT</v>
          </cell>
        </row>
        <row r="1456">
          <cell r="A1456" t="str">
            <v>ZONE-0103-POST</v>
          </cell>
          <cell r="B1456">
            <v>299101</v>
          </cell>
          <cell r="C1456" t="str">
            <v>ERROR SUSPENSE - AC - ACTIVITY MGMT</v>
          </cell>
        </row>
        <row r="1457">
          <cell r="A1457" t="str">
            <v>ZONE-0104-POST</v>
          </cell>
          <cell r="B1457">
            <v>299101</v>
          </cell>
          <cell r="C1457" t="str">
            <v>ERROR SUSPENSE - AC - ACTIVITY MGMT</v>
          </cell>
        </row>
        <row r="1458">
          <cell r="A1458" t="str">
            <v>ZONE-0105-POST</v>
          </cell>
          <cell r="B1458">
            <v>299101</v>
          </cell>
          <cell r="C1458" t="str">
            <v>ERROR SUSPENSE - AC - ACTIVITY MGMT</v>
          </cell>
        </row>
        <row r="1459">
          <cell r="A1459" t="str">
            <v>ZONE-0108-POST</v>
          </cell>
          <cell r="B1459">
            <v>299101</v>
          </cell>
          <cell r="C1459" t="str">
            <v>ERROR SUSPENSE - AC - ACTIVITY MGMT</v>
          </cell>
        </row>
        <row r="1460">
          <cell r="A1460" t="str">
            <v>ZONE-0109-POST</v>
          </cell>
          <cell r="B1460">
            <v>299101</v>
          </cell>
          <cell r="C1460" t="str">
            <v>ERROR SUSPENSE - AC - ACTIVITY MGMT</v>
          </cell>
        </row>
        <row r="1461">
          <cell r="A1461" t="str">
            <v>ZONE-0110-POST</v>
          </cell>
          <cell r="B1461">
            <v>299101</v>
          </cell>
          <cell r="C1461" t="str">
            <v>ERROR SUSPENSE - AC - ACTIVITY MGMT</v>
          </cell>
        </row>
        <row r="1462">
          <cell r="A1462" t="str">
            <v>ZONE-0111-POST</v>
          </cell>
          <cell r="B1462">
            <v>299101</v>
          </cell>
          <cell r="C1462" t="str">
            <v>ERROR SUSPENSE - AC - ACTIVITY MGMT</v>
          </cell>
        </row>
        <row r="1463">
          <cell r="A1463" t="str">
            <v>ZONE-0112-POST</v>
          </cell>
          <cell r="B1463">
            <v>299101</v>
          </cell>
          <cell r="C1463" t="str">
            <v>ERROR SUSPENSE - AC - ACTIVITY MGMT</v>
          </cell>
        </row>
        <row r="1464">
          <cell r="A1464" t="str">
            <v>ZONE-9998-POST</v>
          </cell>
          <cell r="B1464">
            <v>299101</v>
          </cell>
          <cell r="C1464" t="str">
            <v>ERROR SUSPENSE - AC - ACTIVITY MGMT</v>
          </cell>
        </row>
        <row r="1465">
          <cell r="A1465" t="str">
            <v>ZONE-9999-POST</v>
          </cell>
          <cell r="B1465">
            <v>299101</v>
          </cell>
          <cell r="C1465" t="str">
            <v>ERROR SUSPENSE - AC - ACTIVITY MGMT</v>
          </cell>
        </row>
        <row r="1466">
          <cell r="A1466" t="str">
            <v>I/C-1510-POST</v>
          </cell>
          <cell r="B1466">
            <v>299102</v>
          </cell>
          <cell r="C1466" t="str">
            <v>ERROR SUSPENSE - AM - ASSET MGMT</v>
          </cell>
        </row>
        <row r="1467">
          <cell r="A1467" t="str">
            <v>ZONE-0068-POST</v>
          </cell>
          <cell r="B1467">
            <v>299102</v>
          </cell>
          <cell r="C1467" t="str">
            <v>ERROR SUSPENSE - AM - ASSET MGMT</v>
          </cell>
        </row>
        <row r="1468">
          <cell r="A1468" t="str">
            <v>ZONE-0072-POST</v>
          </cell>
          <cell r="B1468">
            <v>299102</v>
          </cell>
          <cell r="C1468" t="str">
            <v>ERROR SUSPENSE - AM - ASSET MGMT</v>
          </cell>
        </row>
        <row r="1469">
          <cell r="A1469" t="str">
            <v>ZONE-0102-POST</v>
          </cell>
          <cell r="B1469">
            <v>299102</v>
          </cell>
          <cell r="C1469" t="str">
            <v>ERROR SUSPENSE - AM - ASSET MGMT</v>
          </cell>
        </row>
        <row r="1470">
          <cell r="A1470" t="str">
            <v>ZONE-0103-POST</v>
          </cell>
          <cell r="B1470">
            <v>299102</v>
          </cell>
          <cell r="C1470" t="str">
            <v>ERROR SUSPENSE - AM - ASSET MGMT</v>
          </cell>
        </row>
        <row r="1471">
          <cell r="A1471" t="str">
            <v>ZONE-0104-POST</v>
          </cell>
          <cell r="B1471">
            <v>299102</v>
          </cell>
          <cell r="C1471" t="str">
            <v>ERROR SUSPENSE - AM - ASSET MGMT</v>
          </cell>
        </row>
        <row r="1472">
          <cell r="A1472" t="str">
            <v>ZONE-0105-POST</v>
          </cell>
          <cell r="B1472">
            <v>299102</v>
          </cell>
          <cell r="C1472" t="str">
            <v>ERROR SUSPENSE - AM - ASSET MGMT</v>
          </cell>
        </row>
        <row r="1473">
          <cell r="A1473" t="str">
            <v>ZONE-0108-POST</v>
          </cell>
          <cell r="B1473">
            <v>299102</v>
          </cell>
          <cell r="C1473" t="str">
            <v>ERROR SUSPENSE - AM - ASSET MGMT</v>
          </cell>
        </row>
        <row r="1474">
          <cell r="A1474" t="str">
            <v>ZONE-0109-POST</v>
          </cell>
          <cell r="B1474">
            <v>299102</v>
          </cell>
          <cell r="C1474" t="str">
            <v>ERROR SUSPENSE - AM - ASSET MGMT</v>
          </cell>
        </row>
        <row r="1475">
          <cell r="A1475" t="str">
            <v>ZONE-0110-POST</v>
          </cell>
          <cell r="B1475">
            <v>299102</v>
          </cell>
          <cell r="C1475" t="str">
            <v>ERROR SUSPENSE - AM - ASSET MGMT</v>
          </cell>
        </row>
        <row r="1476">
          <cell r="A1476" t="str">
            <v>ZONE-0111-POST</v>
          </cell>
          <cell r="B1476">
            <v>299102</v>
          </cell>
          <cell r="C1476" t="str">
            <v>ERROR SUSPENSE - AM - ASSET MGMT</v>
          </cell>
        </row>
        <row r="1477">
          <cell r="A1477" t="str">
            <v>ZONE-0112-POST</v>
          </cell>
          <cell r="B1477">
            <v>299102</v>
          </cell>
          <cell r="C1477" t="str">
            <v>ERROR SUSPENSE - AM - ASSET MGMT</v>
          </cell>
        </row>
        <row r="1478">
          <cell r="A1478" t="str">
            <v>ZONE-9998-POST</v>
          </cell>
          <cell r="B1478">
            <v>299102</v>
          </cell>
          <cell r="C1478" t="str">
            <v>ERROR SUSPENSE - AM - ASSET MGMT</v>
          </cell>
        </row>
        <row r="1479">
          <cell r="A1479" t="str">
            <v>ZONE-9999-POST</v>
          </cell>
          <cell r="B1479">
            <v>299102</v>
          </cell>
          <cell r="C1479" t="str">
            <v>ERROR SUSPENSE - AM - ASSET MGMT</v>
          </cell>
        </row>
        <row r="1480">
          <cell r="A1480" t="str">
            <v>I/C-1510-POST</v>
          </cell>
          <cell r="B1480">
            <v>299103</v>
          </cell>
          <cell r="C1480" t="str">
            <v>ERROR SUSPENSE - AP - ACCOUNTS PAYABLE</v>
          </cell>
        </row>
        <row r="1481">
          <cell r="A1481" t="str">
            <v>ZONE-0068-POST</v>
          </cell>
          <cell r="B1481">
            <v>299103</v>
          </cell>
          <cell r="C1481" t="str">
            <v>ERROR SUSPENSE - AP - ACCOUNTS PAYABLE</v>
          </cell>
        </row>
        <row r="1482">
          <cell r="A1482" t="str">
            <v>ZONE-0072-POST</v>
          </cell>
          <cell r="B1482">
            <v>299103</v>
          </cell>
          <cell r="C1482" t="str">
            <v>ERROR SUSPENSE - AP - ACCOUNTS PAYABLE</v>
          </cell>
        </row>
        <row r="1483">
          <cell r="A1483" t="str">
            <v>ZONE-0102-POST</v>
          </cell>
          <cell r="B1483">
            <v>299103</v>
          </cell>
          <cell r="C1483" t="str">
            <v>ERROR SUSPENSE - AP - ACCOUNTS PAYABLE</v>
          </cell>
        </row>
        <row r="1484">
          <cell r="A1484" t="str">
            <v>ZONE-0103-POST</v>
          </cell>
          <cell r="B1484">
            <v>299103</v>
          </cell>
          <cell r="C1484" t="str">
            <v>ERROR SUSPENSE - AP - ACCOUNTS PAYABLE</v>
          </cell>
        </row>
        <row r="1485">
          <cell r="A1485" t="str">
            <v>ZONE-0104-POST</v>
          </cell>
          <cell r="B1485">
            <v>299103</v>
          </cell>
          <cell r="C1485" t="str">
            <v>ERROR SUSPENSE - AP - ACCOUNTS PAYABLE</v>
          </cell>
        </row>
        <row r="1486">
          <cell r="A1486" t="str">
            <v>ZONE-0105-POST</v>
          </cell>
          <cell r="B1486">
            <v>299103</v>
          </cell>
          <cell r="C1486" t="str">
            <v>ERROR SUSPENSE - AP - ACCOUNTS PAYABLE</v>
          </cell>
        </row>
        <row r="1487">
          <cell r="A1487" t="str">
            <v>ZONE-0108-POST</v>
          </cell>
          <cell r="B1487">
            <v>299103</v>
          </cell>
          <cell r="C1487" t="str">
            <v>ERROR SUSPENSE - AP - ACCOUNTS PAYABLE</v>
          </cell>
        </row>
        <row r="1488">
          <cell r="A1488" t="str">
            <v>ZONE-0109-POST</v>
          </cell>
          <cell r="B1488">
            <v>299103</v>
          </cell>
          <cell r="C1488" t="str">
            <v>ERROR SUSPENSE - AP - ACCOUNTS PAYABLE</v>
          </cell>
        </row>
        <row r="1489">
          <cell r="A1489" t="str">
            <v>ZONE-0110-POST</v>
          </cell>
          <cell r="B1489">
            <v>299103</v>
          </cell>
          <cell r="C1489" t="str">
            <v>ERROR SUSPENSE - AP - ACCOUNTS PAYABLE</v>
          </cell>
        </row>
        <row r="1490">
          <cell r="A1490" t="str">
            <v>ZONE-0111-POST</v>
          </cell>
          <cell r="B1490">
            <v>299103</v>
          </cell>
          <cell r="C1490" t="str">
            <v>ERROR SUSPENSE - AP - ACCOUNTS PAYABLE</v>
          </cell>
        </row>
        <row r="1491">
          <cell r="A1491" t="str">
            <v>ZONE-0112-POST</v>
          </cell>
          <cell r="B1491">
            <v>299103</v>
          </cell>
          <cell r="C1491" t="str">
            <v>ERROR SUSPENSE - AP - ACCOUNTS PAYABLE</v>
          </cell>
        </row>
        <row r="1492">
          <cell r="A1492" t="str">
            <v>ZONE-9998-POST</v>
          </cell>
          <cell r="B1492">
            <v>299103</v>
          </cell>
          <cell r="C1492" t="str">
            <v>ERROR SUSPENSE - AP - ACCOUNTS PAYABLE</v>
          </cell>
        </row>
        <row r="1493">
          <cell r="A1493" t="str">
            <v>ZONE-9999-POST</v>
          </cell>
          <cell r="B1493">
            <v>299103</v>
          </cell>
          <cell r="C1493" t="str">
            <v>ERROR SUSPENSE - AP - ACCOUNTS PAYABLE</v>
          </cell>
        </row>
        <row r="1494">
          <cell r="A1494" t="str">
            <v>I/C-1510-POST</v>
          </cell>
          <cell r="B1494">
            <v>299104</v>
          </cell>
          <cell r="C1494" t="str">
            <v>ERROR SUSPENSE - AR - ACCOUNTS REC</v>
          </cell>
        </row>
        <row r="1495">
          <cell r="A1495" t="str">
            <v>ZONE-0068-POST</v>
          </cell>
          <cell r="B1495">
            <v>299104</v>
          </cell>
          <cell r="C1495" t="str">
            <v>ERROR SUSPENSE - AR - ACCOUNTS REC</v>
          </cell>
        </row>
        <row r="1496">
          <cell r="A1496" t="str">
            <v>ZONE-0072-POST</v>
          </cell>
          <cell r="B1496">
            <v>299104</v>
          </cell>
          <cell r="C1496" t="str">
            <v>ERROR SUSPENSE - AR - ACCOUNTS REC</v>
          </cell>
        </row>
        <row r="1497">
          <cell r="A1497" t="str">
            <v>ZONE-0102-POST</v>
          </cell>
          <cell r="B1497">
            <v>299104</v>
          </cell>
          <cell r="C1497" t="str">
            <v>ERROR SUSPENSE - AR - ACCOUNTS REC</v>
          </cell>
        </row>
        <row r="1498">
          <cell r="A1498" t="str">
            <v>ZONE-0103-POST</v>
          </cell>
          <cell r="B1498">
            <v>299104</v>
          </cell>
          <cell r="C1498" t="str">
            <v>ERROR SUSPENSE - AR - ACCOUNTS REC</v>
          </cell>
        </row>
        <row r="1499">
          <cell r="A1499" t="str">
            <v>ZONE-0104-POST</v>
          </cell>
          <cell r="B1499">
            <v>299104</v>
          </cell>
          <cell r="C1499" t="str">
            <v>ERROR SUSPENSE - AR - ACCOUNTS REC</v>
          </cell>
        </row>
        <row r="1500">
          <cell r="A1500" t="str">
            <v>ZONE-0105-POST</v>
          </cell>
          <cell r="B1500">
            <v>299104</v>
          </cell>
          <cell r="C1500" t="str">
            <v>ERROR SUSPENSE - AR - ACCOUNTS REC</v>
          </cell>
        </row>
        <row r="1501">
          <cell r="A1501" t="str">
            <v>ZONE-0108-POST</v>
          </cell>
          <cell r="B1501">
            <v>299104</v>
          </cell>
          <cell r="C1501" t="str">
            <v>ERROR SUSPENSE - AR - ACCOUNTS REC</v>
          </cell>
        </row>
        <row r="1502">
          <cell r="A1502" t="str">
            <v>ZONE-0109-POST</v>
          </cell>
          <cell r="B1502">
            <v>299104</v>
          </cell>
          <cell r="C1502" t="str">
            <v>ERROR SUSPENSE - AR - ACCOUNTS REC</v>
          </cell>
        </row>
        <row r="1503">
          <cell r="A1503" t="str">
            <v>ZONE-0110-POST</v>
          </cell>
          <cell r="B1503">
            <v>299104</v>
          </cell>
          <cell r="C1503" t="str">
            <v>ERROR SUSPENSE - AR - ACCOUNTS REC</v>
          </cell>
        </row>
        <row r="1504">
          <cell r="A1504" t="str">
            <v>ZONE-0111-POST</v>
          </cell>
          <cell r="B1504">
            <v>299104</v>
          </cell>
          <cell r="C1504" t="str">
            <v>ERROR SUSPENSE - AR - ACCOUNTS REC</v>
          </cell>
        </row>
        <row r="1505">
          <cell r="A1505" t="str">
            <v>ZONE-0112-POST</v>
          </cell>
          <cell r="B1505">
            <v>299104</v>
          </cell>
          <cell r="C1505" t="str">
            <v>ERROR SUSPENSE - AR - ACCOUNTS REC</v>
          </cell>
        </row>
        <row r="1506">
          <cell r="A1506" t="str">
            <v>ZONE-9998-POST</v>
          </cell>
          <cell r="B1506">
            <v>299104</v>
          </cell>
          <cell r="C1506" t="str">
            <v>ERROR SUSPENSE - AR - ACCOUNTS REC</v>
          </cell>
        </row>
        <row r="1507">
          <cell r="A1507" t="str">
            <v>ZONE-9999-POST</v>
          </cell>
          <cell r="B1507">
            <v>299104</v>
          </cell>
          <cell r="C1507" t="str">
            <v>ERROR SUSPENSE - AR - ACCOUNTS REC</v>
          </cell>
        </row>
        <row r="1508">
          <cell r="A1508" t="str">
            <v>I/C-1510-POST</v>
          </cell>
          <cell r="B1508">
            <v>299105</v>
          </cell>
          <cell r="C1508" t="str">
            <v>ERROR SUSPENSE - BL - BILLING</v>
          </cell>
        </row>
        <row r="1509">
          <cell r="A1509" t="str">
            <v>ZONE-0068-POST</v>
          </cell>
          <cell r="B1509">
            <v>299105</v>
          </cell>
          <cell r="C1509" t="str">
            <v>ERROR SUSPENSE - BL - BILLING</v>
          </cell>
        </row>
        <row r="1510">
          <cell r="A1510" t="str">
            <v>ZONE-0072-POST</v>
          </cell>
          <cell r="B1510">
            <v>299105</v>
          </cell>
          <cell r="C1510" t="str">
            <v>ERROR SUSPENSE - BL - BILLING</v>
          </cell>
        </row>
        <row r="1511">
          <cell r="A1511" t="str">
            <v>ZONE-0102-POST</v>
          </cell>
          <cell r="B1511">
            <v>299105</v>
          </cell>
          <cell r="C1511" t="str">
            <v>ERROR SUSPENSE - BL - BILLING</v>
          </cell>
        </row>
        <row r="1512">
          <cell r="A1512" t="str">
            <v>ZONE-0103-POST</v>
          </cell>
          <cell r="B1512">
            <v>299105</v>
          </cell>
          <cell r="C1512" t="str">
            <v>ERROR SUSPENSE - BL - BILLING</v>
          </cell>
        </row>
        <row r="1513">
          <cell r="A1513" t="str">
            <v>ZONE-0104-POST</v>
          </cell>
          <cell r="B1513">
            <v>299105</v>
          </cell>
          <cell r="C1513" t="str">
            <v>ERROR SUSPENSE - BL - BILLING</v>
          </cell>
        </row>
        <row r="1514">
          <cell r="A1514" t="str">
            <v>ZONE-0105-POST</v>
          </cell>
          <cell r="B1514">
            <v>299105</v>
          </cell>
          <cell r="C1514" t="str">
            <v>ERROR SUSPENSE - BL - BILLING</v>
          </cell>
        </row>
        <row r="1515">
          <cell r="A1515" t="str">
            <v>ZONE-0108-POST</v>
          </cell>
          <cell r="B1515">
            <v>299105</v>
          </cell>
          <cell r="C1515" t="str">
            <v>ERROR SUSPENSE - BL - BILLING</v>
          </cell>
        </row>
        <row r="1516">
          <cell r="A1516" t="str">
            <v>ZONE-0109-POST</v>
          </cell>
          <cell r="B1516">
            <v>299105</v>
          </cell>
          <cell r="C1516" t="str">
            <v>ERROR SUSPENSE - BL - BILLING</v>
          </cell>
        </row>
        <row r="1517">
          <cell r="A1517" t="str">
            <v>ZONE-0110-POST</v>
          </cell>
          <cell r="B1517">
            <v>299105</v>
          </cell>
          <cell r="C1517" t="str">
            <v>ERROR SUSPENSE - BL - BILLING</v>
          </cell>
        </row>
        <row r="1518">
          <cell r="A1518" t="str">
            <v>ZONE-0111-POST</v>
          </cell>
          <cell r="B1518">
            <v>299105</v>
          </cell>
          <cell r="C1518" t="str">
            <v>ERROR SUSPENSE - BL - BILLING</v>
          </cell>
        </row>
        <row r="1519">
          <cell r="A1519" t="str">
            <v>ZONE-0112-POST</v>
          </cell>
          <cell r="B1519">
            <v>299105</v>
          </cell>
          <cell r="C1519" t="str">
            <v>ERROR SUSPENSE - BL - BILLING</v>
          </cell>
        </row>
        <row r="1520">
          <cell r="A1520" t="str">
            <v>ZONE-9998-POST</v>
          </cell>
          <cell r="B1520">
            <v>299105</v>
          </cell>
          <cell r="C1520" t="str">
            <v>ERROR SUSPENSE - BL - BILLING</v>
          </cell>
        </row>
        <row r="1521">
          <cell r="A1521" t="str">
            <v>ZONE-9999-POST</v>
          </cell>
          <cell r="B1521">
            <v>299105</v>
          </cell>
          <cell r="C1521" t="str">
            <v>ERROR SUSPENSE - BL - BILLING</v>
          </cell>
        </row>
        <row r="1522">
          <cell r="A1522" t="str">
            <v>I/C-1510-POST</v>
          </cell>
          <cell r="B1522">
            <v>299107</v>
          </cell>
          <cell r="C1522" t="str">
            <v>ERROR SUSPENSE - BR - BILLING &amp; REVIEW</v>
          </cell>
        </row>
        <row r="1523">
          <cell r="A1523" t="str">
            <v>ZONE-0068-POST</v>
          </cell>
          <cell r="B1523">
            <v>299107</v>
          </cell>
          <cell r="C1523" t="str">
            <v>ERROR SUSPENSE - BR - BILLING &amp; REVIEW</v>
          </cell>
        </row>
        <row r="1524">
          <cell r="A1524" t="str">
            <v>ZONE-0072-POST</v>
          </cell>
          <cell r="B1524">
            <v>299107</v>
          </cell>
          <cell r="C1524" t="str">
            <v>ERROR SUSPENSE - BR - BILLING &amp; REVIEW</v>
          </cell>
        </row>
        <row r="1525">
          <cell r="A1525" t="str">
            <v>ZONE-0102-POST</v>
          </cell>
          <cell r="B1525">
            <v>299107</v>
          </cell>
          <cell r="C1525" t="str">
            <v>ERROR SUSPENSE - BR - BILLING &amp; REVIEW</v>
          </cell>
        </row>
        <row r="1526">
          <cell r="A1526" t="str">
            <v>ZONE-0103-POST</v>
          </cell>
          <cell r="B1526">
            <v>299107</v>
          </cell>
          <cell r="C1526" t="str">
            <v>ERROR SUSPENSE - BR - BILLING &amp; REVIEW</v>
          </cell>
        </row>
        <row r="1527">
          <cell r="A1527" t="str">
            <v>ZONE-0104-POST</v>
          </cell>
          <cell r="B1527">
            <v>299107</v>
          </cell>
          <cell r="C1527" t="str">
            <v>ERROR SUSPENSE - BR - BILLING &amp; REVIEW</v>
          </cell>
        </row>
        <row r="1528">
          <cell r="A1528" t="str">
            <v>ZONE-0105-POST</v>
          </cell>
          <cell r="B1528">
            <v>299107</v>
          </cell>
          <cell r="C1528" t="str">
            <v>ERROR SUSPENSE - BR - BILLING &amp; REVIEW</v>
          </cell>
        </row>
        <row r="1529">
          <cell r="A1529" t="str">
            <v>ZONE-0108-POST</v>
          </cell>
          <cell r="B1529">
            <v>299107</v>
          </cell>
          <cell r="C1529" t="str">
            <v>ERROR SUSPENSE - BR - BILLING &amp; REVIEW</v>
          </cell>
        </row>
        <row r="1530">
          <cell r="A1530" t="str">
            <v>ZONE-0109-POST</v>
          </cell>
          <cell r="B1530">
            <v>299107</v>
          </cell>
          <cell r="C1530" t="str">
            <v>ERROR SUSPENSE - BR - BILLING &amp; REVIEW</v>
          </cell>
        </row>
        <row r="1531">
          <cell r="A1531" t="str">
            <v>ZONE-0110-POST</v>
          </cell>
          <cell r="B1531">
            <v>299107</v>
          </cell>
          <cell r="C1531" t="str">
            <v>ERROR SUSPENSE - BR - BILLING &amp; REVIEW</v>
          </cell>
        </row>
        <row r="1532">
          <cell r="A1532" t="str">
            <v>ZONE-0111-POST</v>
          </cell>
          <cell r="B1532">
            <v>299107</v>
          </cell>
          <cell r="C1532" t="str">
            <v>ERROR SUSPENSE - BR - BILLING &amp; REVIEW</v>
          </cell>
        </row>
        <row r="1533">
          <cell r="A1533" t="str">
            <v>ZONE-0112-POST</v>
          </cell>
          <cell r="B1533">
            <v>299107</v>
          </cell>
          <cell r="C1533" t="str">
            <v>ERROR SUSPENSE - BR - BILLING &amp; REVIEW</v>
          </cell>
        </row>
        <row r="1534">
          <cell r="A1534" t="str">
            <v>ZONE-9998-POST</v>
          </cell>
          <cell r="B1534">
            <v>299107</v>
          </cell>
          <cell r="C1534" t="str">
            <v>ERROR SUSPENSE - BR - BILLING &amp; REVIEW</v>
          </cell>
        </row>
        <row r="1535">
          <cell r="A1535" t="str">
            <v>ZONE-9999-POST</v>
          </cell>
          <cell r="B1535">
            <v>299107</v>
          </cell>
          <cell r="C1535" t="str">
            <v>ERROR SUSPENSE - BR - BILLING &amp; REVIEW</v>
          </cell>
        </row>
        <row r="1536">
          <cell r="A1536" t="str">
            <v>I/C-1510-POST</v>
          </cell>
          <cell r="B1536">
            <v>299108</v>
          </cell>
          <cell r="C1536" t="str">
            <v>ERROR SUSPENSE - CA - COST ALLOCATION</v>
          </cell>
        </row>
        <row r="1537">
          <cell r="A1537" t="str">
            <v>ZONE-0068-POST</v>
          </cell>
          <cell r="B1537">
            <v>299108</v>
          </cell>
          <cell r="C1537" t="str">
            <v>ERROR SUSPENSE - CA - COST ALLOCATION</v>
          </cell>
        </row>
        <row r="1538">
          <cell r="A1538" t="str">
            <v>ZONE-0072-POST</v>
          </cell>
          <cell r="B1538">
            <v>299108</v>
          </cell>
          <cell r="C1538" t="str">
            <v>ERROR SUSPENSE - CA - COST ALLOCATION</v>
          </cell>
        </row>
        <row r="1539">
          <cell r="A1539" t="str">
            <v>ZONE-0102-POST</v>
          </cell>
          <cell r="B1539">
            <v>299108</v>
          </cell>
          <cell r="C1539" t="str">
            <v>ERROR SUSPENSE - CA - COST ALLOCATION</v>
          </cell>
        </row>
        <row r="1540">
          <cell r="A1540" t="str">
            <v>ZONE-0103-POST</v>
          </cell>
          <cell r="B1540">
            <v>299108</v>
          </cell>
          <cell r="C1540" t="str">
            <v>ERROR SUSPENSE - CA - COST ALLOCATION</v>
          </cell>
        </row>
        <row r="1541">
          <cell r="A1541" t="str">
            <v>ZONE-0104-POST</v>
          </cell>
          <cell r="B1541">
            <v>299108</v>
          </cell>
          <cell r="C1541" t="str">
            <v>ERROR SUSPENSE - CA - COST ALLOCATION</v>
          </cell>
        </row>
        <row r="1542">
          <cell r="A1542" t="str">
            <v>ZONE-0105-POST</v>
          </cell>
          <cell r="B1542">
            <v>299108</v>
          </cell>
          <cell r="C1542" t="str">
            <v>ERROR SUSPENSE - CA - COST ALLOCATION</v>
          </cell>
        </row>
        <row r="1543">
          <cell r="A1543" t="str">
            <v>ZONE-0108-POST</v>
          </cell>
          <cell r="B1543">
            <v>299108</v>
          </cell>
          <cell r="C1543" t="str">
            <v>ERROR SUSPENSE - CA - COST ALLOCATION</v>
          </cell>
        </row>
        <row r="1544">
          <cell r="A1544" t="str">
            <v>ZONE-0109-POST</v>
          </cell>
          <cell r="B1544">
            <v>299108</v>
          </cell>
          <cell r="C1544" t="str">
            <v>ERROR SUSPENSE - CA - COST ALLOCATION</v>
          </cell>
        </row>
        <row r="1545">
          <cell r="A1545" t="str">
            <v>ZONE-0110-POST</v>
          </cell>
          <cell r="B1545">
            <v>299108</v>
          </cell>
          <cell r="C1545" t="str">
            <v>ERROR SUSPENSE - CA - COST ALLOCATION</v>
          </cell>
        </row>
        <row r="1546">
          <cell r="A1546" t="str">
            <v>ZONE-0111-POST</v>
          </cell>
          <cell r="B1546">
            <v>299108</v>
          </cell>
          <cell r="C1546" t="str">
            <v>ERROR SUSPENSE - CA - COST ALLOCATION</v>
          </cell>
        </row>
        <row r="1547">
          <cell r="A1547" t="str">
            <v>ZONE-0112-POST</v>
          </cell>
          <cell r="B1547">
            <v>299108</v>
          </cell>
          <cell r="C1547" t="str">
            <v>ERROR SUSPENSE - CA - COST ALLOCATION</v>
          </cell>
        </row>
        <row r="1548">
          <cell r="A1548" t="str">
            <v>ZONE-9998-POST</v>
          </cell>
          <cell r="B1548">
            <v>299108</v>
          </cell>
          <cell r="C1548" t="str">
            <v>ERROR SUSPENSE - CA - COST ALLOCATION</v>
          </cell>
        </row>
        <row r="1549">
          <cell r="A1549" t="str">
            <v>ZONE-9999-POST</v>
          </cell>
          <cell r="B1549">
            <v>299108</v>
          </cell>
          <cell r="C1549" t="str">
            <v>ERROR SUSPENSE - CA - COST ALLOCATION</v>
          </cell>
        </row>
        <row r="1550">
          <cell r="A1550" t="str">
            <v>I/C-1510-POST</v>
          </cell>
          <cell r="B1550">
            <v>299109</v>
          </cell>
          <cell r="C1550" t="str">
            <v>ERROR SUSPENSE - CB - CASH LEDGER</v>
          </cell>
        </row>
        <row r="1551">
          <cell r="A1551" t="str">
            <v>ZONE-0068-POST</v>
          </cell>
          <cell r="B1551">
            <v>299109</v>
          </cell>
          <cell r="C1551" t="str">
            <v>ERROR SUSPENSE - CB - CASH LEDGER</v>
          </cell>
        </row>
        <row r="1552">
          <cell r="A1552" t="str">
            <v>ZONE-0072-POST</v>
          </cell>
          <cell r="B1552">
            <v>299109</v>
          </cell>
          <cell r="C1552" t="str">
            <v>ERROR SUSPENSE - CB - CASH LEDGER</v>
          </cell>
        </row>
        <row r="1553">
          <cell r="A1553" t="str">
            <v>ZONE-0102-POST</v>
          </cell>
          <cell r="B1553">
            <v>299109</v>
          </cell>
          <cell r="C1553" t="str">
            <v>ERROR SUSPENSE - CB - CASH LEDGER</v>
          </cell>
        </row>
        <row r="1554">
          <cell r="A1554" t="str">
            <v>ZONE-0103-POST</v>
          </cell>
          <cell r="B1554">
            <v>299109</v>
          </cell>
          <cell r="C1554" t="str">
            <v>ERROR SUSPENSE - CB - CASH LEDGER</v>
          </cell>
        </row>
        <row r="1555">
          <cell r="A1555" t="str">
            <v>ZONE-0104-POST</v>
          </cell>
          <cell r="B1555">
            <v>299109</v>
          </cell>
          <cell r="C1555" t="str">
            <v>ERROR SUSPENSE - CB - CASH LEDGER</v>
          </cell>
        </row>
        <row r="1556">
          <cell r="A1556" t="str">
            <v>ZONE-0105-POST</v>
          </cell>
          <cell r="B1556">
            <v>299109</v>
          </cell>
          <cell r="C1556" t="str">
            <v>ERROR SUSPENSE - CB - CASH LEDGER</v>
          </cell>
        </row>
        <row r="1557">
          <cell r="A1557" t="str">
            <v>ZONE-0108-POST</v>
          </cell>
          <cell r="B1557">
            <v>299109</v>
          </cell>
          <cell r="C1557" t="str">
            <v>ERROR SUSPENSE - CB - CASH LEDGER</v>
          </cell>
        </row>
        <row r="1558">
          <cell r="A1558" t="str">
            <v>ZONE-0109-POST</v>
          </cell>
          <cell r="B1558">
            <v>299109</v>
          </cell>
          <cell r="C1558" t="str">
            <v>ERROR SUSPENSE - CB - CASH LEDGER</v>
          </cell>
        </row>
        <row r="1559">
          <cell r="A1559" t="str">
            <v>ZONE-0110-POST</v>
          </cell>
          <cell r="B1559">
            <v>299109</v>
          </cell>
          <cell r="C1559" t="str">
            <v>ERROR SUSPENSE - CB - CASH LEDGER</v>
          </cell>
        </row>
        <row r="1560">
          <cell r="A1560" t="str">
            <v>ZONE-0111-POST</v>
          </cell>
          <cell r="B1560">
            <v>299109</v>
          </cell>
          <cell r="C1560" t="str">
            <v>ERROR SUSPENSE - CB - CASH LEDGER</v>
          </cell>
        </row>
        <row r="1561">
          <cell r="A1561" t="str">
            <v>ZONE-0112-POST</v>
          </cell>
          <cell r="B1561">
            <v>299109</v>
          </cell>
          <cell r="C1561" t="str">
            <v>ERROR SUSPENSE - CB - CASH LEDGER</v>
          </cell>
        </row>
        <row r="1562">
          <cell r="A1562" t="str">
            <v>ZONE-9998-POST</v>
          </cell>
          <cell r="B1562">
            <v>299109</v>
          </cell>
          <cell r="C1562" t="str">
            <v>ERROR SUSPENSE - CB - CASH LEDGER</v>
          </cell>
        </row>
        <row r="1563">
          <cell r="A1563" t="str">
            <v>ZONE-9999-POST</v>
          </cell>
          <cell r="B1563">
            <v>299109</v>
          </cell>
          <cell r="C1563" t="str">
            <v>ERROR SUSPENSE - CB - CASH LEDGER</v>
          </cell>
        </row>
        <row r="1564">
          <cell r="A1564" t="str">
            <v>I/C-1510-POST</v>
          </cell>
          <cell r="B1564">
            <v>299111</v>
          </cell>
          <cell r="C1564" t="str">
            <v>ERROR SUSPENSE - EE - EMPLOYEE EXPENSE</v>
          </cell>
        </row>
        <row r="1565">
          <cell r="A1565" t="str">
            <v>ZONE-0068-POST</v>
          </cell>
          <cell r="B1565">
            <v>299111</v>
          </cell>
          <cell r="C1565" t="str">
            <v>ERROR SUSPENSE - EE - EMPLOYEE EXPENSE</v>
          </cell>
        </row>
        <row r="1566">
          <cell r="A1566" t="str">
            <v>ZONE-0072-POST</v>
          </cell>
          <cell r="B1566">
            <v>299111</v>
          </cell>
          <cell r="C1566" t="str">
            <v>ERROR SUSPENSE - EE - EMPLOYEE EXPENSE</v>
          </cell>
        </row>
        <row r="1567">
          <cell r="A1567" t="str">
            <v>ZONE-0102-POST</v>
          </cell>
          <cell r="B1567">
            <v>299111</v>
          </cell>
          <cell r="C1567" t="str">
            <v>ERROR SUSPENSE - EE - EMPLOYEE EXPENSE</v>
          </cell>
        </row>
        <row r="1568">
          <cell r="A1568" t="str">
            <v>ZONE-0103-POST</v>
          </cell>
          <cell r="B1568">
            <v>299111</v>
          </cell>
          <cell r="C1568" t="str">
            <v>ERROR SUSPENSE - EE - EMPLOYEE EXPENSE</v>
          </cell>
        </row>
        <row r="1569">
          <cell r="A1569" t="str">
            <v>ZONE-0104-POST</v>
          </cell>
          <cell r="B1569">
            <v>299111</v>
          </cell>
          <cell r="C1569" t="str">
            <v>ERROR SUSPENSE - EE - EMPLOYEE EXPENSE</v>
          </cell>
        </row>
        <row r="1570">
          <cell r="A1570" t="str">
            <v>ZONE-0105-POST</v>
          </cell>
          <cell r="B1570">
            <v>299111</v>
          </cell>
          <cell r="C1570" t="str">
            <v>ERROR SUSPENSE - EE - EMPLOYEE EXPENSE</v>
          </cell>
        </row>
        <row r="1571">
          <cell r="A1571" t="str">
            <v>ZONE-0108-POST</v>
          </cell>
          <cell r="B1571">
            <v>299111</v>
          </cell>
          <cell r="C1571" t="str">
            <v>ERROR SUSPENSE - EE - EMPLOYEE EXPENSE</v>
          </cell>
        </row>
        <row r="1572">
          <cell r="A1572" t="str">
            <v>ZONE-0109-POST</v>
          </cell>
          <cell r="B1572">
            <v>299111</v>
          </cell>
          <cell r="C1572" t="str">
            <v>ERROR SUSPENSE - EE - EMPLOYEE EXPENSE</v>
          </cell>
        </row>
        <row r="1573">
          <cell r="A1573" t="str">
            <v>ZONE-0110-POST</v>
          </cell>
          <cell r="B1573">
            <v>299111</v>
          </cell>
          <cell r="C1573" t="str">
            <v>ERROR SUSPENSE - EE - EMPLOYEE EXPENSE</v>
          </cell>
        </row>
        <row r="1574">
          <cell r="A1574" t="str">
            <v>ZONE-0111-POST</v>
          </cell>
          <cell r="B1574">
            <v>299111</v>
          </cell>
          <cell r="C1574" t="str">
            <v>ERROR SUSPENSE - EE - EMPLOYEE EXPENSE</v>
          </cell>
        </row>
        <row r="1575">
          <cell r="A1575" t="str">
            <v>ZONE-0112-POST</v>
          </cell>
          <cell r="B1575">
            <v>299111</v>
          </cell>
          <cell r="C1575" t="str">
            <v>ERROR SUSPENSE - EE - EMPLOYEE EXPENSE</v>
          </cell>
        </row>
        <row r="1576">
          <cell r="A1576" t="str">
            <v>ZONE-9998-POST</v>
          </cell>
          <cell r="B1576">
            <v>299111</v>
          </cell>
          <cell r="C1576" t="str">
            <v>ERROR SUSPENSE - EE - EMPLOYEE EXPENSE</v>
          </cell>
        </row>
        <row r="1577">
          <cell r="A1577" t="str">
            <v>ZONE-9999-POST</v>
          </cell>
          <cell r="B1577">
            <v>299111</v>
          </cell>
          <cell r="C1577" t="str">
            <v>ERROR SUSPENSE - EE - EMPLOYEE EXPENSE</v>
          </cell>
        </row>
        <row r="1578">
          <cell r="A1578" t="str">
            <v>I/C-1510-POST</v>
          </cell>
          <cell r="B1578">
            <v>299113</v>
          </cell>
          <cell r="C1578" t="str">
            <v>ERROR SUSPENSE - GL - GENERAL LEDGER</v>
          </cell>
        </row>
        <row r="1579">
          <cell r="A1579" t="str">
            <v>ZONE-0068-POST</v>
          </cell>
          <cell r="B1579">
            <v>299113</v>
          </cell>
          <cell r="C1579" t="str">
            <v>ERROR SUSPENSE - GL - GENERAL LEDGER</v>
          </cell>
        </row>
        <row r="1580">
          <cell r="A1580" t="str">
            <v>ZONE-0072-POST</v>
          </cell>
          <cell r="B1580">
            <v>299113</v>
          </cell>
          <cell r="C1580" t="str">
            <v>ERROR SUSPENSE - GL - GENERAL LEDGER</v>
          </cell>
        </row>
        <row r="1581">
          <cell r="A1581" t="str">
            <v>ZONE-0102-POST</v>
          </cell>
          <cell r="B1581">
            <v>299113</v>
          </cell>
          <cell r="C1581" t="str">
            <v>ERROR SUSPENSE - GL - GENERAL LEDGER</v>
          </cell>
        </row>
        <row r="1582">
          <cell r="A1582" t="str">
            <v>ZONE-0103-POST</v>
          </cell>
          <cell r="B1582">
            <v>299113</v>
          </cell>
          <cell r="C1582" t="str">
            <v>ERROR SUSPENSE - GL - GENERAL LEDGER</v>
          </cell>
        </row>
        <row r="1583">
          <cell r="A1583" t="str">
            <v>ZONE-0104-POST</v>
          </cell>
          <cell r="B1583">
            <v>299113</v>
          </cell>
          <cell r="C1583" t="str">
            <v>ERROR SUSPENSE - GL - GENERAL LEDGER</v>
          </cell>
        </row>
        <row r="1584">
          <cell r="A1584" t="str">
            <v>ZONE-0105-POST</v>
          </cell>
          <cell r="B1584">
            <v>299113</v>
          </cell>
          <cell r="C1584" t="str">
            <v>ERROR SUSPENSE - GL - GENERAL LEDGER</v>
          </cell>
        </row>
        <row r="1585">
          <cell r="A1585" t="str">
            <v>ZONE-0108-POST</v>
          </cell>
          <cell r="B1585">
            <v>299113</v>
          </cell>
          <cell r="C1585" t="str">
            <v>ERROR SUSPENSE - GL - GENERAL LEDGER</v>
          </cell>
        </row>
        <row r="1586">
          <cell r="A1586" t="str">
            <v>ZONE-0109-POST</v>
          </cell>
          <cell r="B1586">
            <v>299113</v>
          </cell>
          <cell r="C1586" t="str">
            <v>ERROR SUSPENSE - GL - GENERAL LEDGER</v>
          </cell>
        </row>
        <row r="1587">
          <cell r="A1587" t="str">
            <v>ZONE-0110-POST</v>
          </cell>
          <cell r="B1587">
            <v>299113</v>
          </cell>
          <cell r="C1587" t="str">
            <v>ERROR SUSPENSE - GL - GENERAL LEDGER</v>
          </cell>
        </row>
        <row r="1588">
          <cell r="A1588" t="str">
            <v>ZONE-0111-POST</v>
          </cell>
          <cell r="B1588">
            <v>299113</v>
          </cell>
          <cell r="C1588" t="str">
            <v>ERROR SUSPENSE - GL - GENERAL LEDGER</v>
          </cell>
        </row>
        <row r="1589">
          <cell r="A1589" t="str">
            <v>ZONE-0112-POST</v>
          </cell>
          <cell r="B1589">
            <v>299113</v>
          </cell>
          <cell r="C1589" t="str">
            <v>ERROR SUSPENSE - GL - GENERAL LEDGER</v>
          </cell>
        </row>
        <row r="1590">
          <cell r="A1590" t="str">
            <v>ZONE-9998-POST</v>
          </cell>
          <cell r="B1590">
            <v>299113</v>
          </cell>
          <cell r="C1590" t="str">
            <v>ERROR SUSPENSE - GL - GENERAL LEDGER</v>
          </cell>
        </row>
        <row r="1591">
          <cell r="A1591" t="str">
            <v>ZONE-9999-POST</v>
          </cell>
          <cell r="B1591">
            <v>299113</v>
          </cell>
          <cell r="C1591" t="str">
            <v>ERROR SUSPENSE - GL - GENERAL LEDGER</v>
          </cell>
        </row>
        <row r="1592">
          <cell r="A1592" t="str">
            <v>I/C-1510-POST</v>
          </cell>
          <cell r="B1592">
            <v>299114</v>
          </cell>
          <cell r="C1592" t="str">
            <v>ERROR SUSPENSE - I0 - COST INVENTORIES</v>
          </cell>
        </row>
        <row r="1593">
          <cell r="A1593" t="str">
            <v>ZONE-0068-POST</v>
          </cell>
          <cell r="B1593">
            <v>299114</v>
          </cell>
          <cell r="C1593" t="str">
            <v>ERROR SUSPENSE - I0 - COST INVENTORIES</v>
          </cell>
        </row>
        <row r="1594">
          <cell r="A1594" t="str">
            <v>ZONE-0072-POST</v>
          </cell>
          <cell r="B1594">
            <v>299114</v>
          </cell>
          <cell r="C1594" t="str">
            <v>ERROR SUSPENSE - I0 - COST INVENTORIES</v>
          </cell>
        </row>
        <row r="1595">
          <cell r="A1595" t="str">
            <v>ZONE-0102-POST</v>
          </cell>
          <cell r="B1595">
            <v>299114</v>
          </cell>
          <cell r="C1595" t="str">
            <v>ERROR SUSPENSE - I0 - COST INVENTORIES</v>
          </cell>
        </row>
        <row r="1596">
          <cell r="A1596" t="str">
            <v>ZONE-0103-POST</v>
          </cell>
          <cell r="B1596">
            <v>299114</v>
          </cell>
          <cell r="C1596" t="str">
            <v>ERROR SUSPENSE - I0 - COST INVENTORIES</v>
          </cell>
        </row>
        <row r="1597">
          <cell r="A1597" t="str">
            <v>ZONE-0104-POST</v>
          </cell>
          <cell r="B1597">
            <v>299114</v>
          </cell>
          <cell r="C1597" t="str">
            <v>ERROR SUSPENSE - I0 - COST INVENTORIES</v>
          </cell>
        </row>
        <row r="1598">
          <cell r="A1598" t="str">
            <v>ZONE-0105-POST</v>
          </cell>
          <cell r="B1598">
            <v>299114</v>
          </cell>
          <cell r="C1598" t="str">
            <v>ERROR SUSPENSE - I0 - COST INVENTORIES</v>
          </cell>
        </row>
        <row r="1599">
          <cell r="A1599" t="str">
            <v>ZONE-0108-POST</v>
          </cell>
          <cell r="B1599">
            <v>299114</v>
          </cell>
          <cell r="C1599" t="str">
            <v>ERROR SUSPENSE - I0 - COST INVENTORIES</v>
          </cell>
        </row>
        <row r="1600">
          <cell r="A1600" t="str">
            <v>ZONE-0109-POST</v>
          </cell>
          <cell r="B1600">
            <v>299114</v>
          </cell>
          <cell r="C1600" t="str">
            <v>ERROR SUSPENSE - I0 - COST INVENTORIES</v>
          </cell>
        </row>
        <row r="1601">
          <cell r="A1601" t="str">
            <v>ZONE-0110-POST</v>
          </cell>
          <cell r="B1601">
            <v>299114</v>
          </cell>
          <cell r="C1601" t="str">
            <v>ERROR SUSPENSE - I0 - COST INVENTORIES</v>
          </cell>
        </row>
        <row r="1602">
          <cell r="A1602" t="str">
            <v>ZONE-0111-POST</v>
          </cell>
          <cell r="B1602">
            <v>299114</v>
          </cell>
          <cell r="C1602" t="str">
            <v>ERROR SUSPENSE - I0 - COST INVENTORIES</v>
          </cell>
        </row>
        <row r="1603">
          <cell r="A1603" t="str">
            <v>ZONE-0112-POST</v>
          </cell>
          <cell r="B1603">
            <v>299114</v>
          </cell>
          <cell r="C1603" t="str">
            <v>ERROR SUSPENSE - I0 - COST INVENTORIES</v>
          </cell>
        </row>
        <row r="1604">
          <cell r="A1604" t="str">
            <v>ZONE-9998-POST</v>
          </cell>
          <cell r="B1604">
            <v>299114</v>
          </cell>
          <cell r="C1604" t="str">
            <v>ERROR SUSPENSE - I0 - COST INVENTORIES</v>
          </cell>
        </row>
        <row r="1605">
          <cell r="A1605" t="str">
            <v>ZONE-9999-POST</v>
          </cell>
          <cell r="B1605">
            <v>299114</v>
          </cell>
          <cell r="C1605" t="str">
            <v>ERROR SUSPENSE - I0 - COST INVENTORIES</v>
          </cell>
        </row>
        <row r="1606">
          <cell r="A1606" t="str">
            <v>I/C-1510-POST</v>
          </cell>
          <cell r="B1606">
            <v>299116</v>
          </cell>
          <cell r="C1606" t="str">
            <v>ERROR SUSPENSE - ML - MULTI LEDGER</v>
          </cell>
        </row>
        <row r="1607">
          <cell r="A1607" t="str">
            <v>ZONE-0068-POST</v>
          </cell>
          <cell r="B1607">
            <v>299116</v>
          </cell>
          <cell r="C1607" t="str">
            <v>ERROR SUSPENSE - ML - MULTI LEDGER</v>
          </cell>
        </row>
        <row r="1608">
          <cell r="A1608" t="str">
            <v>ZONE-0072-POST</v>
          </cell>
          <cell r="B1608">
            <v>299116</v>
          </cell>
          <cell r="C1608" t="str">
            <v>ERROR SUSPENSE - ML - MULTI LEDGER</v>
          </cell>
        </row>
        <row r="1609">
          <cell r="A1609" t="str">
            <v>ZONE-0102-POST</v>
          </cell>
          <cell r="B1609">
            <v>299116</v>
          </cell>
          <cell r="C1609" t="str">
            <v>ERROR SUSPENSE - ML - MULTI LEDGER</v>
          </cell>
        </row>
        <row r="1610">
          <cell r="A1610" t="str">
            <v>ZONE-0103-POST</v>
          </cell>
          <cell r="B1610">
            <v>299116</v>
          </cell>
          <cell r="C1610" t="str">
            <v>ERROR SUSPENSE - ML - MULTI LEDGER</v>
          </cell>
        </row>
        <row r="1611">
          <cell r="A1611" t="str">
            <v>ZONE-0104-POST</v>
          </cell>
          <cell r="B1611">
            <v>299116</v>
          </cell>
          <cell r="C1611" t="str">
            <v>ERROR SUSPENSE - ML - MULTI LEDGER</v>
          </cell>
        </row>
        <row r="1612">
          <cell r="A1612" t="str">
            <v>ZONE-0105-POST</v>
          </cell>
          <cell r="B1612">
            <v>299116</v>
          </cell>
          <cell r="C1612" t="str">
            <v>ERROR SUSPENSE - ML - MULTI LEDGER</v>
          </cell>
        </row>
        <row r="1613">
          <cell r="A1613" t="str">
            <v>ZONE-0108-POST</v>
          </cell>
          <cell r="B1613">
            <v>299116</v>
          </cell>
          <cell r="C1613" t="str">
            <v>ERROR SUSPENSE - ML - MULTI LEDGER</v>
          </cell>
        </row>
        <row r="1614">
          <cell r="A1614" t="str">
            <v>ZONE-0109-POST</v>
          </cell>
          <cell r="B1614">
            <v>299116</v>
          </cell>
          <cell r="C1614" t="str">
            <v>ERROR SUSPENSE - ML - MULTI LEDGER</v>
          </cell>
        </row>
        <row r="1615">
          <cell r="A1615" t="str">
            <v>ZONE-0110-POST</v>
          </cell>
          <cell r="B1615">
            <v>299116</v>
          </cell>
          <cell r="C1615" t="str">
            <v>ERROR SUSPENSE - ML - MULTI LEDGER</v>
          </cell>
        </row>
        <row r="1616">
          <cell r="A1616" t="str">
            <v>ZONE-0111-POST</v>
          </cell>
          <cell r="B1616">
            <v>299116</v>
          </cell>
          <cell r="C1616" t="str">
            <v>ERROR SUSPENSE - ML - MULTI LEDGER</v>
          </cell>
        </row>
        <row r="1617">
          <cell r="A1617" t="str">
            <v>ZONE-0112-POST</v>
          </cell>
          <cell r="B1617">
            <v>299116</v>
          </cell>
          <cell r="C1617" t="str">
            <v>ERROR SUSPENSE - ML - MULTI LEDGER</v>
          </cell>
        </row>
        <row r="1618">
          <cell r="A1618" t="str">
            <v>ZONE-9998-POST</v>
          </cell>
          <cell r="B1618">
            <v>299116</v>
          </cell>
          <cell r="C1618" t="str">
            <v>ERROR SUSPENSE - ML - MULTI LEDGER</v>
          </cell>
        </row>
        <row r="1619">
          <cell r="A1619" t="str">
            <v>ZONE-9999-POST</v>
          </cell>
          <cell r="B1619">
            <v>299116</v>
          </cell>
          <cell r="C1619" t="str">
            <v>ERROR SUSPENSE - ML - MULTI LEDGER</v>
          </cell>
        </row>
        <row r="1620">
          <cell r="A1620" t="str">
            <v>I/C-1510-POST</v>
          </cell>
          <cell r="B1620">
            <v>299119</v>
          </cell>
          <cell r="C1620" t="str">
            <v>ERROR SUSPENSE - PO - PURCHASE ORDER</v>
          </cell>
        </row>
        <row r="1621">
          <cell r="A1621" t="str">
            <v>ZONE-0068-POST</v>
          </cell>
          <cell r="B1621">
            <v>299119</v>
          </cell>
          <cell r="C1621" t="str">
            <v>ERROR SUSPENSE - PO - PURCHASE ORDER</v>
          </cell>
        </row>
        <row r="1622">
          <cell r="A1622" t="str">
            <v>ZONE-0072-POST</v>
          </cell>
          <cell r="B1622">
            <v>299119</v>
          </cell>
          <cell r="C1622" t="str">
            <v>ERROR SUSPENSE - PO - PURCHASE ORDER</v>
          </cell>
        </row>
        <row r="1623">
          <cell r="A1623" t="str">
            <v>ZONE-0102-POST</v>
          </cell>
          <cell r="B1623">
            <v>299119</v>
          </cell>
          <cell r="C1623" t="str">
            <v>ERROR SUSPENSE - PO - PURCHASE ORDER</v>
          </cell>
        </row>
        <row r="1624">
          <cell r="A1624" t="str">
            <v>ZONE-0103-POST</v>
          </cell>
          <cell r="B1624">
            <v>299119</v>
          </cell>
          <cell r="C1624" t="str">
            <v>ERROR SUSPENSE - PO - PURCHASE ORDER</v>
          </cell>
        </row>
        <row r="1625">
          <cell r="A1625" t="str">
            <v>ZONE-0104-POST</v>
          </cell>
          <cell r="B1625">
            <v>299119</v>
          </cell>
          <cell r="C1625" t="str">
            <v>ERROR SUSPENSE - PO - PURCHASE ORDER</v>
          </cell>
        </row>
        <row r="1626">
          <cell r="A1626" t="str">
            <v>ZONE-0105-POST</v>
          </cell>
          <cell r="B1626">
            <v>299119</v>
          </cell>
          <cell r="C1626" t="str">
            <v>ERROR SUSPENSE - PO - PURCHASE ORDER</v>
          </cell>
        </row>
        <row r="1627">
          <cell r="A1627" t="str">
            <v>ZONE-0108-POST</v>
          </cell>
          <cell r="B1627">
            <v>299119</v>
          </cell>
          <cell r="C1627" t="str">
            <v>ERROR SUSPENSE - PO - PURCHASE ORDER</v>
          </cell>
        </row>
        <row r="1628">
          <cell r="A1628" t="str">
            <v>ZONE-0109-POST</v>
          </cell>
          <cell r="B1628">
            <v>299119</v>
          </cell>
          <cell r="C1628" t="str">
            <v>ERROR SUSPENSE - PO - PURCHASE ORDER</v>
          </cell>
        </row>
        <row r="1629">
          <cell r="A1629" t="str">
            <v>ZONE-0110-POST</v>
          </cell>
          <cell r="B1629">
            <v>299119</v>
          </cell>
          <cell r="C1629" t="str">
            <v>ERROR SUSPENSE - PO - PURCHASE ORDER</v>
          </cell>
        </row>
        <row r="1630">
          <cell r="A1630" t="str">
            <v>ZONE-0111-POST</v>
          </cell>
          <cell r="B1630">
            <v>299119</v>
          </cell>
          <cell r="C1630" t="str">
            <v>ERROR SUSPENSE - PO - PURCHASE ORDER</v>
          </cell>
        </row>
        <row r="1631">
          <cell r="A1631" t="str">
            <v>ZONE-0112-POST</v>
          </cell>
          <cell r="B1631">
            <v>299119</v>
          </cell>
          <cell r="C1631" t="str">
            <v>ERROR SUSPENSE - PO - PURCHASE ORDER</v>
          </cell>
        </row>
        <row r="1632">
          <cell r="A1632" t="str">
            <v>ZONE-9998-POST</v>
          </cell>
          <cell r="B1632">
            <v>299119</v>
          </cell>
          <cell r="C1632" t="str">
            <v>ERROR SUSPENSE - PO - PURCHASE ORDER</v>
          </cell>
        </row>
        <row r="1633">
          <cell r="A1633" t="str">
            <v>ZONE-9999-POST</v>
          </cell>
          <cell r="B1633">
            <v>299119</v>
          </cell>
          <cell r="C1633" t="str">
            <v>ERROR SUSPENSE - PO - PURCHASE ORDER</v>
          </cell>
        </row>
        <row r="1634">
          <cell r="A1634" t="str">
            <v>I/C-1510-POST</v>
          </cell>
          <cell r="B1634">
            <v>299121</v>
          </cell>
          <cell r="C1634" t="str">
            <v>ERROR SUSPENSE - RJ - RECURRING JOURNAL</v>
          </cell>
        </row>
        <row r="1635">
          <cell r="A1635" t="str">
            <v>ZONE-0068-POST</v>
          </cell>
          <cell r="B1635">
            <v>299121</v>
          </cell>
          <cell r="C1635" t="str">
            <v>ERROR SUSPENSE - RJ - RECURRING JOURNAL</v>
          </cell>
        </row>
        <row r="1636">
          <cell r="A1636" t="str">
            <v>ZONE-0072-POST</v>
          </cell>
          <cell r="B1636">
            <v>299121</v>
          </cell>
          <cell r="C1636" t="str">
            <v>ERROR SUSPENSE - RJ - RECURRING JOURNAL</v>
          </cell>
        </row>
        <row r="1637">
          <cell r="A1637" t="str">
            <v>ZONE-0102-POST</v>
          </cell>
          <cell r="B1637">
            <v>299121</v>
          </cell>
          <cell r="C1637" t="str">
            <v>ERROR SUSPENSE - RJ - RECURRING JOURNAL</v>
          </cell>
        </row>
        <row r="1638">
          <cell r="A1638" t="str">
            <v>ZONE-0103-POST</v>
          </cell>
          <cell r="B1638">
            <v>299121</v>
          </cell>
          <cell r="C1638" t="str">
            <v>ERROR SUSPENSE - RJ - RECURRING JOURNAL</v>
          </cell>
        </row>
        <row r="1639">
          <cell r="A1639" t="str">
            <v>ZONE-0104-POST</v>
          </cell>
          <cell r="B1639">
            <v>299121</v>
          </cell>
          <cell r="C1639" t="str">
            <v>ERROR SUSPENSE - RJ - RECURRING JOURNAL</v>
          </cell>
        </row>
        <row r="1640">
          <cell r="A1640" t="str">
            <v>ZONE-0105-POST</v>
          </cell>
          <cell r="B1640">
            <v>299121</v>
          </cell>
          <cell r="C1640" t="str">
            <v>ERROR SUSPENSE - RJ - RECURRING JOURNAL</v>
          </cell>
        </row>
        <row r="1641">
          <cell r="A1641" t="str">
            <v>ZONE-0108-POST</v>
          </cell>
          <cell r="B1641">
            <v>299121</v>
          </cell>
          <cell r="C1641" t="str">
            <v>ERROR SUSPENSE - RJ - RECURRING JOURNAL</v>
          </cell>
        </row>
        <row r="1642">
          <cell r="A1642" t="str">
            <v>ZONE-0109-POST</v>
          </cell>
          <cell r="B1642">
            <v>299121</v>
          </cell>
          <cell r="C1642" t="str">
            <v>ERROR SUSPENSE - RJ - RECURRING JOURNAL</v>
          </cell>
        </row>
        <row r="1643">
          <cell r="A1643" t="str">
            <v>ZONE-0110-POST</v>
          </cell>
          <cell r="B1643">
            <v>299121</v>
          </cell>
          <cell r="C1643" t="str">
            <v>ERROR SUSPENSE - RJ - RECURRING JOURNAL</v>
          </cell>
        </row>
        <row r="1644">
          <cell r="A1644" t="str">
            <v>ZONE-0111-POST</v>
          </cell>
          <cell r="B1644">
            <v>299121</v>
          </cell>
          <cell r="C1644" t="str">
            <v>ERROR SUSPENSE - RJ - RECURRING JOURNAL</v>
          </cell>
        </row>
        <row r="1645">
          <cell r="A1645" t="str">
            <v>ZONE-0112-POST</v>
          </cell>
          <cell r="B1645">
            <v>299121</v>
          </cell>
          <cell r="C1645" t="str">
            <v>ERROR SUSPENSE - RJ - RECURRING JOURNAL</v>
          </cell>
        </row>
        <row r="1646">
          <cell r="A1646" t="str">
            <v>ZONE-9998-POST</v>
          </cell>
          <cell r="B1646">
            <v>299121</v>
          </cell>
          <cell r="C1646" t="str">
            <v>ERROR SUSPENSE - RJ - RECURRING JOURNAL</v>
          </cell>
        </row>
        <row r="1647">
          <cell r="A1647" t="str">
            <v>ZONE-9999-POST</v>
          </cell>
          <cell r="B1647">
            <v>299121</v>
          </cell>
          <cell r="C1647" t="str">
            <v>ERROR SUSPENSE - RJ - RECURRING JOURNAL</v>
          </cell>
        </row>
        <row r="1648">
          <cell r="A1648" t="str">
            <v>I/C-1510-POST</v>
          </cell>
          <cell r="B1648">
            <v>299122</v>
          </cell>
          <cell r="C1648" t="str">
            <v>ERROR SUSPENSE - RL - RECURRING LEDGER</v>
          </cell>
        </row>
        <row r="1649">
          <cell r="A1649" t="str">
            <v>ZONE-0068-POST</v>
          </cell>
          <cell r="B1649">
            <v>299122</v>
          </cell>
          <cell r="C1649" t="str">
            <v>ERROR SUSPENSE - RL - RECURRING LEDGER</v>
          </cell>
        </row>
        <row r="1650">
          <cell r="A1650" t="str">
            <v>ZONE-0072-POST</v>
          </cell>
          <cell r="B1650">
            <v>299122</v>
          </cell>
          <cell r="C1650" t="str">
            <v>ERROR SUSPENSE - RL - RECURRING LEDGER</v>
          </cell>
        </row>
        <row r="1651">
          <cell r="A1651" t="str">
            <v>ZONE-0102-POST</v>
          </cell>
          <cell r="B1651">
            <v>299122</v>
          </cell>
          <cell r="C1651" t="str">
            <v>ERROR SUSPENSE - RL - RECURRING LEDGER</v>
          </cell>
        </row>
        <row r="1652">
          <cell r="A1652" t="str">
            <v>ZONE-0103-POST</v>
          </cell>
          <cell r="B1652">
            <v>299122</v>
          </cell>
          <cell r="C1652" t="str">
            <v>ERROR SUSPENSE - RL - RECURRING LEDGER</v>
          </cell>
        </row>
        <row r="1653">
          <cell r="A1653" t="str">
            <v>ZONE-0104-POST</v>
          </cell>
          <cell r="B1653">
            <v>299122</v>
          </cell>
          <cell r="C1653" t="str">
            <v>ERROR SUSPENSE - RL - RECURRING LEDGER</v>
          </cell>
        </row>
        <row r="1654">
          <cell r="A1654" t="str">
            <v>ZONE-0105-POST</v>
          </cell>
          <cell r="B1654">
            <v>299122</v>
          </cell>
          <cell r="C1654" t="str">
            <v>ERROR SUSPENSE - RL - RECURRING LEDGER</v>
          </cell>
        </row>
        <row r="1655">
          <cell r="A1655" t="str">
            <v>ZONE-0108-POST</v>
          </cell>
          <cell r="B1655">
            <v>299122</v>
          </cell>
          <cell r="C1655" t="str">
            <v>ERROR SUSPENSE - RL - RECURRING LEDGER</v>
          </cell>
        </row>
        <row r="1656">
          <cell r="A1656" t="str">
            <v>ZONE-0109-POST</v>
          </cell>
          <cell r="B1656">
            <v>299122</v>
          </cell>
          <cell r="C1656" t="str">
            <v>ERROR SUSPENSE - RL - RECURRING LEDGER</v>
          </cell>
        </row>
        <row r="1657">
          <cell r="A1657" t="str">
            <v>ZONE-0110-POST</v>
          </cell>
          <cell r="B1657">
            <v>299122</v>
          </cell>
          <cell r="C1657" t="str">
            <v>ERROR SUSPENSE - RL - RECURRING LEDGER</v>
          </cell>
        </row>
        <row r="1658">
          <cell r="A1658" t="str">
            <v>ZONE-0111-POST</v>
          </cell>
          <cell r="B1658">
            <v>299122</v>
          </cell>
          <cell r="C1658" t="str">
            <v>ERROR SUSPENSE - RL - RECURRING LEDGER</v>
          </cell>
        </row>
        <row r="1659">
          <cell r="A1659" t="str">
            <v>ZONE-0112-POST</v>
          </cell>
          <cell r="B1659">
            <v>299122</v>
          </cell>
          <cell r="C1659" t="str">
            <v>ERROR SUSPENSE - RL - RECURRING LEDGER</v>
          </cell>
        </row>
        <row r="1660">
          <cell r="A1660" t="str">
            <v>ZONE-9998-POST</v>
          </cell>
          <cell r="B1660">
            <v>299122</v>
          </cell>
          <cell r="C1660" t="str">
            <v>ERROR SUSPENSE - RL - RECURRING LEDGER</v>
          </cell>
        </row>
        <row r="1661">
          <cell r="A1661" t="str">
            <v>ZONE-9999-POST</v>
          </cell>
          <cell r="B1661">
            <v>299122</v>
          </cell>
          <cell r="C1661" t="str">
            <v>ERROR SUSPENSE - RL - RECURRING LEDGER</v>
          </cell>
        </row>
        <row r="1662">
          <cell r="A1662" t="str">
            <v>I/C-1510-POST</v>
          </cell>
          <cell r="B1662">
            <v>299123</v>
          </cell>
          <cell r="C1662" t="str">
            <v>ERROR SUSPENSE - SL - STRATEGIC LEDGER</v>
          </cell>
        </row>
        <row r="1663">
          <cell r="A1663" t="str">
            <v>ZONE-0068-POST</v>
          </cell>
          <cell r="B1663">
            <v>299123</v>
          </cell>
          <cell r="C1663" t="str">
            <v>ERROR SUSPENSE - SL - STRATEGIC LEDGER</v>
          </cell>
        </row>
        <row r="1664">
          <cell r="A1664" t="str">
            <v>ZONE-0072-POST</v>
          </cell>
          <cell r="B1664">
            <v>299123</v>
          </cell>
          <cell r="C1664" t="str">
            <v>ERROR SUSPENSE - SL - STRATEGIC LEDGER</v>
          </cell>
        </row>
        <row r="1665">
          <cell r="A1665" t="str">
            <v>ZONE-0102-POST</v>
          </cell>
          <cell r="B1665">
            <v>299123</v>
          </cell>
          <cell r="C1665" t="str">
            <v>ERROR SUSPENSE - SL - STRATEGIC LEDGER</v>
          </cell>
        </row>
        <row r="1666">
          <cell r="A1666" t="str">
            <v>ZONE-0103-POST</v>
          </cell>
          <cell r="B1666">
            <v>299123</v>
          </cell>
          <cell r="C1666" t="str">
            <v>ERROR SUSPENSE - SL - STRATEGIC LEDGER</v>
          </cell>
        </row>
        <row r="1667">
          <cell r="A1667" t="str">
            <v>ZONE-0104-POST</v>
          </cell>
          <cell r="B1667">
            <v>299123</v>
          </cell>
          <cell r="C1667" t="str">
            <v>ERROR SUSPENSE - SL - STRATEGIC LEDGER</v>
          </cell>
        </row>
        <row r="1668">
          <cell r="A1668" t="str">
            <v>ZONE-0105-POST</v>
          </cell>
          <cell r="B1668">
            <v>299123</v>
          </cell>
          <cell r="C1668" t="str">
            <v>ERROR SUSPENSE - SL - STRATEGIC LEDGER</v>
          </cell>
        </row>
        <row r="1669">
          <cell r="A1669" t="str">
            <v>ZONE-0108-POST</v>
          </cell>
          <cell r="B1669">
            <v>299123</v>
          </cell>
          <cell r="C1669" t="str">
            <v>ERROR SUSPENSE - SL - STRATEGIC LEDGER</v>
          </cell>
        </row>
        <row r="1670">
          <cell r="A1670" t="str">
            <v>ZONE-0109-POST</v>
          </cell>
          <cell r="B1670">
            <v>299123</v>
          </cell>
          <cell r="C1670" t="str">
            <v>ERROR SUSPENSE - SL - STRATEGIC LEDGER</v>
          </cell>
        </row>
        <row r="1671">
          <cell r="A1671" t="str">
            <v>ZONE-0110-POST</v>
          </cell>
          <cell r="B1671">
            <v>299123</v>
          </cell>
          <cell r="C1671" t="str">
            <v>ERROR SUSPENSE - SL - STRATEGIC LEDGER</v>
          </cell>
        </row>
        <row r="1672">
          <cell r="A1672" t="str">
            <v>ZONE-0111-POST</v>
          </cell>
          <cell r="B1672">
            <v>299123</v>
          </cell>
          <cell r="C1672" t="str">
            <v>ERROR SUSPENSE - SL - STRATEGIC LEDGER</v>
          </cell>
        </row>
        <row r="1673">
          <cell r="A1673" t="str">
            <v>ZONE-0112-POST</v>
          </cell>
          <cell r="B1673">
            <v>299123</v>
          </cell>
          <cell r="C1673" t="str">
            <v>ERROR SUSPENSE - SL - STRATEGIC LEDGER</v>
          </cell>
        </row>
        <row r="1674">
          <cell r="A1674" t="str">
            <v>ZONE-9998-POST</v>
          </cell>
          <cell r="B1674">
            <v>299123</v>
          </cell>
          <cell r="C1674" t="str">
            <v>ERROR SUSPENSE - SL - STRATEGIC LEDGER</v>
          </cell>
        </row>
        <row r="1675">
          <cell r="A1675" t="str">
            <v>ZONE-9999-POST</v>
          </cell>
          <cell r="B1675">
            <v>299123</v>
          </cell>
          <cell r="C1675" t="str">
            <v>ERROR SUSPENSE - SL - STRATEGIC LEDGER</v>
          </cell>
        </row>
        <row r="1676">
          <cell r="A1676" t="str">
            <v>I/C-1510-POST</v>
          </cell>
          <cell r="B1676">
            <v>299126</v>
          </cell>
          <cell r="C1676" t="str">
            <v>ERROR SUSPENSE - AS - ASI ACCTS RECEIVABLE</v>
          </cell>
        </row>
        <row r="1677">
          <cell r="A1677" t="str">
            <v>ZONE-0068-POST</v>
          </cell>
          <cell r="B1677">
            <v>299126</v>
          </cell>
          <cell r="C1677" t="str">
            <v>ERROR SUSPENSE - AS - ASI ACCTS RECEIVABLE</v>
          </cell>
        </row>
        <row r="1678">
          <cell r="A1678" t="str">
            <v>ZONE-0072-POST</v>
          </cell>
          <cell r="B1678">
            <v>299126</v>
          </cell>
          <cell r="C1678" t="str">
            <v>ERROR SUSPENSE - AS - ASI ACCTS RECEIVABLE</v>
          </cell>
        </row>
        <row r="1679">
          <cell r="A1679" t="str">
            <v>ZONE-0102-POST</v>
          </cell>
          <cell r="B1679">
            <v>299126</v>
          </cell>
          <cell r="C1679" t="str">
            <v>ERROR SUSPENSE - AS - ASI ACCTS RECEIVABLE</v>
          </cell>
        </row>
        <row r="1680">
          <cell r="A1680" t="str">
            <v>ZONE-0103-POST</v>
          </cell>
          <cell r="B1680">
            <v>299126</v>
          </cell>
          <cell r="C1680" t="str">
            <v>ERROR SUSPENSE - AS - ASI ACCTS RECEIVABLE</v>
          </cell>
        </row>
        <row r="1681">
          <cell r="A1681" t="str">
            <v>ZONE-0104-POST</v>
          </cell>
          <cell r="B1681">
            <v>299126</v>
          </cell>
          <cell r="C1681" t="str">
            <v>ERROR SUSPENSE - AS - ASI ACCTS RECEIVABLE</v>
          </cell>
        </row>
        <row r="1682">
          <cell r="A1682" t="str">
            <v>ZONE-0105-POST</v>
          </cell>
          <cell r="B1682">
            <v>299126</v>
          </cell>
          <cell r="C1682" t="str">
            <v>ERROR SUSPENSE - AS - ASI ACCTS RECEIVABLE</v>
          </cell>
        </row>
        <row r="1683">
          <cell r="A1683" t="str">
            <v>ZONE-0108-POST</v>
          </cell>
          <cell r="B1683">
            <v>299126</v>
          </cell>
          <cell r="C1683" t="str">
            <v>ERROR SUSPENSE - AS - ASI ACCTS RECEIVABLE</v>
          </cell>
        </row>
        <row r="1684">
          <cell r="A1684" t="str">
            <v>ZONE-0109-POST</v>
          </cell>
          <cell r="B1684">
            <v>299126</v>
          </cell>
          <cell r="C1684" t="str">
            <v>ERROR SUSPENSE - AS - ASI ACCTS RECEIVABLE</v>
          </cell>
        </row>
        <row r="1685">
          <cell r="A1685" t="str">
            <v>ZONE-0110-POST</v>
          </cell>
          <cell r="B1685">
            <v>299126</v>
          </cell>
          <cell r="C1685" t="str">
            <v>ERROR SUSPENSE - AS - ASI ACCTS RECEIVABLE</v>
          </cell>
        </row>
        <row r="1686">
          <cell r="A1686" t="str">
            <v>ZONE-0111-POST</v>
          </cell>
          <cell r="B1686">
            <v>299126</v>
          </cell>
          <cell r="C1686" t="str">
            <v>ERROR SUSPENSE - AS - ASI ACCTS RECEIVABLE</v>
          </cell>
        </row>
        <row r="1687">
          <cell r="A1687" t="str">
            <v>ZONE-0112-POST</v>
          </cell>
          <cell r="B1687">
            <v>299126</v>
          </cell>
          <cell r="C1687" t="str">
            <v>ERROR SUSPENSE - AS - ASI ACCTS RECEIVABLE</v>
          </cell>
        </row>
        <row r="1688">
          <cell r="A1688" t="str">
            <v>ZONE-9998-POST</v>
          </cell>
          <cell r="B1688">
            <v>299126</v>
          </cell>
          <cell r="C1688" t="str">
            <v>ERROR SUSPENSE - AS - ASI ACCTS RECEIVABLE</v>
          </cell>
        </row>
        <row r="1689">
          <cell r="A1689" t="str">
            <v>ZONE-9999-POST</v>
          </cell>
          <cell r="B1689">
            <v>299126</v>
          </cell>
          <cell r="C1689" t="str">
            <v>ERROR SUSPENSE - AS - ASI ACCTS RECEIVABLE</v>
          </cell>
        </row>
        <row r="1690">
          <cell r="A1690" t="str">
            <v>I/C-1510-POST</v>
          </cell>
          <cell r="B1690">
            <v>299127</v>
          </cell>
          <cell r="C1690" t="str">
            <v>ERROR SUSPENSE - CE - CAP EXP</v>
          </cell>
        </row>
        <row r="1691">
          <cell r="A1691" t="str">
            <v>ZONE-0068-POST</v>
          </cell>
          <cell r="B1691">
            <v>299127</v>
          </cell>
          <cell r="C1691" t="str">
            <v>ERROR SUSPENSE - CE - CAP EXP</v>
          </cell>
        </row>
        <row r="1692">
          <cell r="A1692" t="str">
            <v>ZONE-0072-POST</v>
          </cell>
          <cell r="B1692">
            <v>299127</v>
          </cell>
          <cell r="C1692" t="str">
            <v>ERROR SUSPENSE - CE - CAP EXP</v>
          </cell>
        </row>
        <row r="1693">
          <cell r="A1693" t="str">
            <v>ZONE-0102-POST</v>
          </cell>
          <cell r="B1693">
            <v>299127</v>
          </cell>
          <cell r="C1693" t="str">
            <v>ERROR SUSPENSE - CE - CAP EXP</v>
          </cell>
        </row>
        <row r="1694">
          <cell r="A1694" t="str">
            <v>ZONE-0103-POST</v>
          </cell>
          <cell r="B1694">
            <v>299127</v>
          </cell>
          <cell r="C1694" t="str">
            <v>ERROR SUSPENSE - CE - CAP EXP</v>
          </cell>
        </row>
        <row r="1695">
          <cell r="A1695" t="str">
            <v>ZONE-0104-POST</v>
          </cell>
          <cell r="B1695">
            <v>299127</v>
          </cell>
          <cell r="C1695" t="str">
            <v>ERROR SUSPENSE - CE - CAP EXP</v>
          </cell>
        </row>
        <row r="1696">
          <cell r="A1696" t="str">
            <v>ZONE-0105-POST</v>
          </cell>
          <cell r="B1696">
            <v>299127</v>
          </cell>
          <cell r="C1696" t="str">
            <v>ERROR SUSPENSE - CE - CAP EXP</v>
          </cell>
        </row>
        <row r="1697">
          <cell r="A1697" t="str">
            <v>ZONE-0108-POST</v>
          </cell>
          <cell r="B1697">
            <v>299127</v>
          </cell>
          <cell r="C1697" t="str">
            <v>ERROR SUSPENSE - CE - CAP EXP</v>
          </cell>
        </row>
        <row r="1698">
          <cell r="A1698" t="str">
            <v>ZONE-0109-POST</v>
          </cell>
          <cell r="B1698">
            <v>299127</v>
          </cell>
          <cell r="C1698" t="str">
            <v>ERROR SUSPENSE - CE - CAP EXP</v>
          </cell>
        </row>
        <row r="1699">
          <cell r="A1699" t="str">
            <v>ZONE-0110-POST</v>
          </cell>
          <cell r="B1699">
            <v>299127</v>
          </cell>
          <cell r="C1699" t="str">
            <v>ERROR SUSPENSE - CE - CAP EXP</v>
          </cell>
        </row>
        <row r="1700">
          <cell r="A1700" t="str">
            <v>ZONE-0111-POST</v>
          </cell>
          <cell r="B1700">
            <v>299127</v>
          </cell>
          <cell r="C1700" t="str">
            <v>ERROR SUSPENSE - CE - CAP EXP</v>
          </cell>
        </row>
        <row r="1701">
          <cell r="A1701" t="str">
            <v>ZONE-0112-POST</v>
          </cell>
          <cell r="B1701">
            <v>299127</v>
          </cell>
          <cell r="C1701" t="str">
            <v>ERROR SUSPENSE - CE - CAP EXP</v>
          </cell>
        </row>
        <row r="1702">
          <cell r="A1702" t="str">
            <v>ZONE-9998-POST</v>
          </cell>
          <cell r="B1702">
            <v>299127</v>
          </cell>
          <cell r="C1702" t="str">
            <v>ERROR SUSPENSE - CE - CAP EXP</v>
          </cell>
        </row>
        <row r="1703">
          <cell r="A1703" t="str">
            <v>ZONE-9999-POST</v>
          </cell>
          <cell r="B1703">
            <v>299127</v>
          </cell>
          <cell r="C1703" t="str">
            <v>ERROR SUSPENSE - CE - CAP EXP</v>
          </cell>
        </row>
        <row r="1704">
          <cell r="A1704" t="str">
            <v>I/C-1510-POST</v>
          </cell>
          <cell r="B1704">
            <v>299128</v>
          </cell>
          <cell r="C1704" t="str">
            <v>ERROR SUSPENSE - CO - CUST ORDER PROC</v>
          </cell>
        </row>
        <row r="1705">
          <cell r="A1705" t="str">
            <v>ZONE-0068-POST</v>
          </cell>
          <cell r="B1705">
            <v>299128</v>
          </cell>
          <cell r="C1705" t="str">
            <v>ERROR SUSPENSE - CO - CUST ORDER PROC</v>
          </cell>
        </row>
        <row r="1706">
          <cell r="A1706" t="str">
            <v>ZONE-0072-POST</v>
          </cell>
          <cell r="B1706">
            <v>299128</v>
          </cell>
          <cell r="C1706" t="str">
            <v>ERROR SUSPENSE - CO - CUST ORDER PROC</v>
          </cell>
        </row>
        <row r="1707">
          <cell r="A1707" t="str">
            <v>ZONE-0102-POST</v>
          </cell>
          <cell r="B1707">
            <v>299128</v>
          </cell>
          <cell r="C1707" t="str">
            <v>ERROR SUSPENSE - CO - CUST ORDER PROC</v>
          </cell>
        </row>
        <row r="1708">
          <cell r="A1708" t="str">
            <v>ZONE-0103-POST</v>
          </cell>
          <cell r="B1708">
            <v>299128</v>
          </cell>
          <cell r="C1708" t="str">
            <v>ERROR SUSPENSE - CO - CUST ORDER PROC</v>
          </cell>
        </row>
        <row r="1709">
          <cell r="A1709" t="str">
            <v>ZONE-0104-POST</v>
          </cell>
          <cell r="B1709">
            <v>299128</v>
          </cell>
          <cell r="C1709" t="str">
            <v>ERROR SUSPENSE - CO - CUST ORDER PROC</v>
          </cell>
        </row>
        <row r="1710">
          <cell r="A1710" t="str">
            <v>ZONE-0105-POST</v>
          </cell>
          <cell r="B1710">
            <v>299128</v>
          </cell>
          <cell r="C1710" t="str">
            <v>ERROR SUSPENSE - CO - CUST ORDER PROC</v>
          </cell>
        </row>
        <row r="1711">
          <cell r="A1711" t="str">
            <v>ZONE-0108-POST</v>
          </cell>
          <cell r="B1711">
            <v>299128</v>
          </cell>
          <cell r="C1711" t="str">
            <v>ERROR SUSPENSE - CO - CUST ORDER PROC</v>
          </cell>
        </row>
        <row r="1712">
          <cell r="A1712" t="str">
            <v>ZONE-0109-POST</v>
          </cell>
          <cell r="B1712">
            <v>299128</v>
          </cell>
          <cell r="C1712" t="str">
            <v>ERROR SUSPENSE - CO - CUST ORDER PROC</v>
          </cell>
        </row>
        <row r="1713">
          <cell r="A1713" t="str">
            <v>ZONE-0110-POST</v>
          </cell>
          <cell r="B1713">
            <v>299128</v>
          </cell>
          <cell r="C1713" t="str">
            <v>ERROR SUSPENSE - CO - CUST ORDER PROC</v>
          </cell>
        </row>
        <row r="1714">
          <cell r="A1714" t="str">
            <v>ZONE-0111-POST</v>
          </cell>
          <cell r="B1714">
            <v>299128</v>
          </cell>
          <cell r="C1714" t="str">
            <v>ERROR SUSPENSE - CO - CUST ORDER PROC</v>
          </cell>
        </row>
        <row r="1715">
          <cell r="A1715" t="str">
            <v>ZONE-0112-POST</v>
          </cell>
          <cell r="B1715">
            <v>299128</v>
          </cell>
          <cell r="C1715" t="str">
            <v>ERROR SUSPENSE - CO - CUST ORDER PROC</v>
          </cell>
        </row>
        <row r="1716">
          <cell r="A1716" t="str">
            <v>ZONE-9998-POST</v>
          </cell>
          <cell r="B1716">
            <v>299128</v>
          </cell>
          <cell r="C1716" t="str">
            <v>ERROR SUSPENSE - CO - CUST ORDER PROC</v>
          </cell>
        </row>
        <row r="1717">
          <cell r="A1717" t="str">
            <v>ZONE-9999-POST</v>
          </cell>
          <cell r="B1717">
            <v>299128</v>
          </cell>
          <cell r="C1717" t="str">
            <v>ERROR SUSPENSE - CO - CUST ORDER PROC</v>
          </cell>
        </row>
        <row r="1718">
          <cell r="A1718" t="str">
            <v>I/C-1510-POST</v>
          </cell>
          <cell r="B1718">
            <v>299138</v>
          </cell>
          <cell r="C1718" t="str">
            <v>ERROR SUSPENSE - FS - FACILITY SALES MGMT</v>
          </cell>
        </row>
        <row r="1719">
          <cell r="A1719" t="str">
            <v>ZONE-0068-POST</v>
          </cell>
          <cell r="B1719">
            <v>299138</v>
          </cell>
          <cell r="C1719" t="str">
            <v>ERROR SUSPENSE - FS - FACILITY SALES MGMT</v>
          </cell>
        </row>
        <row r="1720">
          <cell r="A1720" t="str">
            <v>ZONE-0072-POST</v>
          </cell>
          <cell r="B1720">
            <v>299138</v>
          </cell>
          <cell r="C1720" t="str">
            <v>ERROR SUSPENSE - FS - FACILITY SALES MGMT</v>
          </cell>
        </row>
        <row r="1721">
          <cell r="A1721" t="str">
            <v>ZONE-0102-POST</v>
          </cell>
          <cell r="B1721">
            <v>299138</v>
          </cell>
          <cell r="C1721" t="str">
            <v>ERROR SUSPENSE - FS - FACILITY SALES MGMT</v>
          </cell>
        </row>
        <row r="1722">
          <cell r="A1722" t="str">
            <v>ZONE-0103-POST</v>
          </cell>
          <cell r="B1722">
            <v>299138</v>
          </cell>
          <cell r="C1722" t="str">
            <v>ERROR SUSPENSE - FS - FACILITY SALES MGMT</v>
          </cell>
        </row>
        <row r="1723">
          <cell r="A1723" t="str">
            <v>ZONE-0104-POST</v>
          </cell>
          <cell r="B1723">
            <v>299138</v>
          </cell>
          <cell r="C1723" t="str">
            <v>ERROR SUSPENSE - FS - FACILITY SALES MGMT</v>
          </cell>
        </row>
        <row r="1724">
          <cell r="A1724" t="str">
            <v>ZONE-0105-POST</v>
          </cell>
          <cell r="B1724">
            <v>299138</v>
          </cell>
          <cell r="C1724" t="str">
            <v>ERROR SUSPENSE - FS - FACILITY SALES MGMT</v>
          </cell>
        </row>
        <row r="1725">
          <cell r="A1725" t="str">
            <v>ZONE-0108-POST</v>
          </cell>
          <cell r="B1725">
            <v>299138</v>
          </cell>
          <cell r="C1725" t="str">
            <v>ERROR SUSPENSE - FS - FACILITY SALES MGMT</v>
          </cell>
        </row>
        <row r="1726">
          <cell r="A1726" t="str">
            <v>ZONE-0109-POST</v>
          </cell>
          <cell r="B1726">
            <v>299138</v>
          </cell>
          <cell r="C1726" t="str">
            <v>ERROR SUSPENSE - FS - FACILITY SALES MGMT</v>
          </cell>
        </row>
        <row r="1727">
          <cell r="A1727" t="str">
            <v>ZONE-0110-POST</v>
          </cell>
          <cell r="B1727">
            <v>299138</v>
          </cell>
          <cell r="C1727" t="str">
            <v>ERROR SUSPENSE - FS - FACILITY SALES MGMT</v>
          </cell>
        </row>
        <row r="1728">
          <cell r="A1728" t="str">
            <v>ZONE-0111-POST</v>
          </cell>
          <cell r="B1728">
            <v>299138</v>
          </cell>
          <cell r="C1728" t="str">
            <v>ERROR SUSPENSE - FS - FACILITY SALES MGMT</v>
          </cell>
        </row>
        <row r="1729">
          <cell r="A1729" t="str">
            <v>ZONE-0112-POST</v>
          </cell>
          <cell r="B1729">
            <v>299138</v>
          </cell>
          <cell r="C1729" t="str">
            <v>ERROR SUSPENSE - FS - FACILITY SALES MGMT</v>
          </cell>
        </row>
        <row r="1730">
          <cell r="A1730" t="str">
            <v>ZONE-9998-POST</v>
          </cell>
          <cell r="B1730">
            <v>299138</v>
          </cell>
          <cell r="C1730" t="str">
            <v>ERROR SUSPENSE - FS - FACILITY SALES MGMT</v>
          </cell>
        </row>
        <row r="1731">
          <cell r="A1731" t="str">
            <v>ZONE-9999-POST</v>
          </cell>
          <cell r="B1731">
            <v>299138</v>
          </cell>
          <cell r="C1731" t="str">
            <v>ERROR SUSPENSE - FS - FACILITY SALES MGMT</v>
          </cell>
        </row>
        <row r="1732">
          <cell r="A1732" t="str">
            <v>I/C-1510-POST</v>
          </cell>
          <cell r="B1732">
            <v>299139</v>
          </cell>
          <cell r="C1732" t="str">
            <v>ERROR SUSPENSE - GC - GIFT CERTIFICATES</v>
          </cell>
        </row>
        <row r="1733">
          <cell r="A1733" t="str">
            <v>ZONE-0068-POST</v>
          </cell>
          <cell r="B1733">
            <v>299139</v>
          </cell>
          <cell r="C1733" t="str">
            <v>ERROR SUSPENSE - GC - GIFT CERTIFICATES</v>
          </cell>
        </row>
        <row r="1734">
          <cell r="A1734" t="str">
            <v>ZONE-0072-POST</v>
          </cell>
          <cell r="B1734">
            <v>299139</v>
          </cell>
          <cell r="C1734" t="str">
            <v>ERROR SUSPENSE - GC - GIFT CERTIFICATES</v>
          </cell>
        </row>
        <row r="1735">
          <cell r="A1735" t="str">
            <v>ZONE-0102-POST</v>
          </cell>
          <cell r="B1735">
            <v>299139</v>
          </cell>
          <cell r="C1735" t="str">
            <v>ERROR SUSPENSE - GC - GIFT CERTIFICATES</v>
          </cell>
        </row>
        <row r="1736">
          <cell r="A1736" t="str">
            <v>ZONE-0103-POST</v>
          </cell>
          <cell r="B1736">
            <v>299139</v>
          </cell>
          <cell r="C1736" t="str">
            <v>ERROR SUSPENSE - GC - GIFT CERTIFICATES</v>
          </cell>
        </row>
        <row r="1737">
          <cell r="A1737" t="str">
            <v>ZONE-0104-POST</v>
          </cell>
          <cell r="B1737">
            <v>299139</v>
          </cell>
          <cell r="C1737" t="str">
            <v>ERROR SUSPENSE - GC - GIFT CERTIFICATES</v>
          </cell>
        </row>
        <row r="1738">
          <cell r="A1738" t="str">
            <v>ZONE-0105-POST</v>
          </cell>
          <cell r="B1738">
            <v>299139</v>
          </cell>
          <cell r="C1738" t="str">
            <v>ERROR SUSPENSE - GC - GIFT CERTIFICATES</v>
          </cell>
        </row>
        <row r="1739">
          <cell r="A1739" t="str">
            <v>ZONE-0108-POST</v>
          </cell>
          <cell r="B1739">
            <v>299139</v>
          </cell>
          <cell r="C1739" t="str">
            <v>ERROR SUSPENSE - GC - GIFT CERTIFICATES</v>
          </cell>
        </row>
        <row r="1740">
          <cell r="A1740" t="str">
            <v>ZONE-0109-POST</v>
          </cell>
          <cell r="B1740">
            <v>299139</v>
          </cell>
          <cell r="C1740" t="str">
            <v>ERROR SUSPENSE - GC - GIFT CERTIFICATES</v>
          </cell>
        </row>
        <row r="1741">
          <cell r="A1741" t="str">
            <v>ZONE-0110-POST</v>
          </cell>
          <cell r="B1741">
            <v>299139</v>
          </cell>
          <cell r="C1741" t="str">
            <v>ERROR SUSPENSE - GC - GIFT CERTIFICATES</v>
          </cell>
        </row>
        <row r="1742">
          <cell r="A1742" t="str">
            <v>ZONE-0111-POST</v>
          </cell>
          <cell r="B1742">
            <v>299139</v>
          </cell>
          <cell r="C1742" t="str">
            <v>ERROR SUSPENSE - GC - GIFT CERTIFICATES</v>
          </cell>
        </row>
        <row r="1743">
          <cell r="A1743" t="str">
            <v>ZONE-0112-POST</v>
          </cell>
          <cell r="B1743">
            <v>299139</v>
          </cell>
          <cell r="C1743" t="str">
            <v>ERROR SUSPENSE - GC - GIFT CERTIFICATES</v>
          </cell>
        </row>
        <row r="1744">
          <cell r="A1744" t="str">
            <v>ZONE-9998-POST</v>
          </cell>
          <cell r="B1744">
            <v>299139</v>
          </cell>
          <cell r="C1744" t="str">
            <v>ERROR SUSPENSE - GC - GIFT CERTIFICATES</v>
          </cell>
        </row>
        <row r="1745">
          <cell r="A1745" t="str">
            <v>ZONE-9999-POST</v>
          </cell>
          <cell r="B1745">
            <v>299139</v>
          </cell>
          <cell r="C1745" t="str">
            <v>ERROR SUSPENSE - GC - GIFT CERTIFICATES</v>
          </cell>
        </row>
        <row r="1746">
          <cell r="A1746" t="str">
            <v>I/C-1510-POST</v>
          </cell>
          <cell r="B1746">
            <v>299140</v>
          </cell>
          <cell r="C1746" t="str">
            <v>ERROR SUSPENSE - D0 - RETAIL INVENTORIES</v>
          </cell>
        </row>
        <row r="1747">
          <cell r="A1747" t="str">
            <v>ZONE-0068-POST</v>
          </cell>
          <cell r="B1747">
            <v>299140</v>
          </cell>
          <cell r="C1747" t="str">
            <v>ERROR SUSPENSE - D0 - RETAIL INVENTORIES</v>
          </cell>
        </row>
        <row r="1748">
          <cell r="A1748" t="str">
            <v>ZONE-0072-POST</v>
          </cell>
          <cell r="B1748">
            <v>299140</v>
          </cell>
          <cell r="C1748" t="str">
            <v>ERROR SUSPENSE - D0 - RETAIL INVENTORIES</v>
          </cell>
        </row>
        <row r="1749">
          <cell r="A1749" t="str">
            <v>ZONE-0102-POST</v>
          </cell>
          <cell r="B1749">
            <v>299140</v>
          </cell>
          <cell r="C1749" t="str">
            <v>ERROR SUSPENSE - D0 - RETAIL INVENTORIES</v>
          </cell>
        </row>
        <row r="1750">
          <cell r="A1750" t="str">
            <v>ZONE-0103-POST</v>
          </cell>
          <cell r="B1750">
            <v>299140</v>
          </cell>
          <cell r="C1750" t="str">
            <v>ERROR SUSPENSE - D0 - RETAIL INVENTORIES</v>
          </cell>
        </row>
        <row r="1751">
          <cell r="A1751" t="str">
            <v>ZONE-0104-POST</v>
          </cell>
          <cell r="B1751">
            <v>299140</v>
          </cell>
          <cell r="C1751" t="str">
            <v>ERROR SUSPENSE - D0 - RETAIL INVENTORIES</v>
          </cell>
        </row>
        <row r="1752">
          <cell r="A1752" t="str">
            <v>ZONE-0105-POST</v>
          </cell>
          <cell r="B1752">
            <v>299140</v>
          </cell>
          <cell r="C1752" t="str">
            <v>ERROR SUSPENSE - D0 - RETAIL INVENTORIES</v>
          </cell>
        </row>
        <row r="1753">
          <cell r="A1753" t="str">
            <v>ZONE-0108-POST</v>
          </cell>
          <cell r="B1753">
            <v>299140</v>
          </cell>
          <cell r="C1753" t="str">
            <v>ERROR SUSPENSE - D0 - RETAIL INVENTORIES</v>
          </cell>
        </row>
        <row r="1754">
          <cell r="A1754" t="str">
            <v>ZONE-0109-POST</v>
          </cell>
          <cell r="B1754">
            <v>299140</v>
          </cell>
          <cell r="C1754" t="str">
            <v>ERROR SUSPENSE - D0 - RETAIL INVENTORIES</v>
          </cell>
        </row>
        <row r="1755">
          <cell r="A1755" t="str">
            <v>ZONE-0110-POST</v>
          </cell>
          <cell r="B1755">
            <v>299140</v>
          </cell>
          <cell r="C1755" t="str">
            <v>ERROR SUSPENSE - D0 - RETAIL INVENTORIES</v>
          </cell>
        </row>
        <row r="1756">
          <cell r="A1756" t="str">
            <v>ZONE-0111-POST</v>
          </cell>
          <cell r="B1756">
            <v>299140</v>
          </cell>
          <cell r="C1756" t="str">
            <v>ERROR SUSPENSE - D0 - RETAIL INVENTORIES</v>
          </cell>
        </row>
        <row r="1757">
          <cell r="A1757" t="str">
            <v>ZONE-0112-POST</v>
          </cell>
          <cell r="B1757">
            <v>299140</v>
          </cell>
          <cell r="C1757" t="str">
            <v>ERROR SUSPENSE - D0 - RETAIL INVENTORIES</v>
          </cell>
        </row>
        <row r="1758">
          <cell r="A1758" t="str">
            <v>ZONE-9998-POST</v>
          </cell>
          <cell r="B1758">
            <v>299140</v>
          </cell>
          <cell r="C1758" t="str">
            <v>ERROR SUSPENSE - D0 - RETAIL INVENTORIES</v>
          </cell>
        </row>
        <row r="1759">
          <cell r="A1759" t="str">
            <v>ZONE-9999-POST</v>
          </cell>
          <cell r="B1759">
            <v>299140</v>
          </cell>
          <cell r="C1759" t="str">
            <v>ERROR SUSPENSE - D0 - RETAIL INVENTORIES</v>
          </cell>
        </row>
        <row r="1760">
          <cell r="A1760" t="str">
            <v>I/C-1510-POST</v>
          </cell>
          <cell r="B1760">
            <v>299141</v>
          </cell>
          <cell r="C1760" t="str">
            <v>ERROR SUSPENSE - E0 - EXPRESS</v>
          </cell>
        </row>
        <row r="1761">
          <cell r="A1761" t="str">
            <v>ZONE-0068-POST</v>
          </cell>
          <cell r="B1761">
            <v>299141</v>
          </cell>
          <cell r="C1761" t="str">
            <v>ERROR SUSPENSE - E0 - EXPRESS</v>
          </cell>
        </row>
        <row r="1762">
          <cell r="A1762" t="str">
            <v>ZONE-0072-POST</v>
          </cell>
          <cell r="B1762">
            <v>299141</v>
          </cell>
          <cell r="C1762" t="str">
            <v>ERROR SUSPENSE - E0 - EXPRESS</v>
          </cell>
        </row>
        <row r="1763">
          <cell r="A1763" t="str">
            <v>ZONE-0102-POST</v>
          </cell>
          <cell r="B1763">
            <v>299141</v>
          </cell>
          <cell r="C1763" t="str">
            <v>ERROR SUSPENSE - E0 - EXPRESS</v>
          </cell>
        </row>
        <row r="1764">
          <cell r="A1764" t="str">
            <v>ZONE-0103-POST</v>
          </cell>
          <cell r="B1764">
            <v>299141</v>
          </cell>
          <cell r="C1764" t="str">
            <v>ERROR SUSPENSE - E0 - EXPRESS</v>
          </cell>
        </row>
        <row r="1765">
          <cell r="A1765" t="str">
            <v>ZONE-0104-POST</v>
          </cell>
          <cell r="B1765">
            <v>299141</v>
          </cell>
          <cell r="C1765" t="str">
            <v>ERROR SUSPENSE - E0 - EXPRESS</v>
          </cell>
        </row>
        <row r="1766">
          <cell r="A1766" t="str">
            <v>ZONE-0105-POST</v>
          </cell>
          <cell r="B1766">
            <v>299141</v>
          </cell>
          <cell r="C1766" t="str">
            <v>ERROR SUSPENSE - E0 - EXPRESS</v>
          </cell>
        </row>
        <row r="1767">
          <cell r="A1767" t="str">
            <v>ZONE-0108-POST</v>
          </cell>
          <cell r="B1767">
            <v>299141</v>
          </cell>
          <cell r="C1767" t="str">
            <v>ERROR SUSPENSE - E0 - EXPRESS</v>
          </cell>
        </row>
        <row r="1768">
          <cell r="A1768" t="str">
            <v>ZONE-0109-POST</v>
          </cell>
          <cell r="B1768">
            <v>299141</v>
          </cell>
          <cell r="C1768" t="str">
            <v>ERROR SUSPENSE - E0 - EXPRESS</v>
          </cell>
        </row>
        <row r="1769">
          <cell r="A1769" t="str">
            <v>ZONE-0110-POST</v>
          </cell>
          <cell r="B1769">
            <v>299141</v>
          </cell>
          <cell r="C1769" t="str">
            <v>ERROR SUSPENSE - E0 - EXPRESS</v>
          </cell>
        </row>
        <row r="1770">
          <cell r="A1770" t="str">
            <v>ZONE-0111-POST</v>
          </cell>
          <cell r="B1770">
            <v>299141</v>
          </cell>
          <cell r="C1770" t="str">
            <v>ERROR SUSPENSE - E0 - EXPRESS</v>
          </cell>
        </row>
        <row r="1771">
          <cell r="A1771" t="str">
            <v>ZONE-0112-POST</v>
          </cell>
          <cell r="B1771">
            <v>299141</v>
          </cell>
          <cell r="C1771" t="str">
            <v>ERROR SUSPENSE - E0 - EXPRESS</v>
          </cell>
        </row>
        <row r="1772">
          <cell r="A1772" t="str">
            <v>ZONE-9998-POST</v>
          </cell>
          <cell r="B1772">
            <v>299141</v>
          </cell>
          <cell r="C1772" t="str">
            <v>ERROR SUSPENSE - E0 - EXPRESS</v>
          </cell>
        </row>
        <row r="1773">
          <cell r="A1773" t="str">
            <v>ZONE-9999-POST</v>
          </cell>
          <cell r="B1773">
            <v>299141</v>
          </cell>
          <cell r="C1773" t="str">
            <v>ERROR SUSPENSE - E0 - EXPRESS</v>
          </cell>
        </row>
        <row r="1774">
          <cell r="A1774" t="str">
            <v>I/C-1510-POST</v>
          </cell>
          <cell r="B1774">
            <v>299145</v>
          </cell>
          <cell r="C1774" t="str">
            <v>ERROR SUSPENSE - MD - MARKDOWNS</v>
          </cell>
        </row>
        <row r="1775">
          <cell r="A1775" t="str">
            <v>ZONE-0068-POST</v>
          </cell>
          <cell r="B1775">
            <v>299145</v>
          </cell>
          <cell r="C1775" t="str">
            <v>ERROR SUSPENSE - MD - MARKDOWNS</v>
          </cell>
        </row>
        <row r="1776">
          <cell r="A1776" t="str">
            <v>ZONE-0072-POST</v>
          </cell>
          <cell r="B1776">
            <v>299145</v>
          </cell>
          <cell r="C1776" t="str">
            <v>ERROR SUSPENSE - MD - MARKDOWNS</v>
          </cell>
        </row>
        <row r="1777">
          <cell r="A1777" t="str">
            <v>ZONE-0102-POST</v>
          </cell>
          <cell r="B1777">
            <v>299145</v>
          </cell>
          <cell r="C1777" t="str">
            <v>ERROR SUSPENSE - MD - MARKDOWNS</v>
          </cell>
        </row>
        <row r="1778">
          <cell r="A1778" t="str">
            <v>ZONE-0103-POST</v>
          </cell>
          <cell r="B1778">
            <v>299145</v>
          </cell>
          <cell r="C1778" t="str">
            <v>ERROR SUSPENSE - MD - MARKDOWNS</v>
          </cell>
        </row>
        <row r="1779">
          <cell r="A1779" t="str">
            <v>ZONE-0104-POST</v>
          </cell>
          <cell r="B1779">
            <v>299145</v>
          </cell>
          <cell r="C1779" t="str">
            <v>ERROR SUSPENSE - MD - MARKDOWNS</v>
          </cell>
        </row>
        <row r="1780">
          <cell r="A1780" t="str">
            <v>ZONE-0105-POST</v>
          </cell>
          <cell r="B1780">
            <v>299145</v>
          </cell>
          <cell r="C1780" t="str">
            <v>ERROR SUSPENSE - MD - MARKDOWNS</v>
          </cell>
        </row>
        <row r="1781">
          <cell r="A1781" t="str">
            <v>ZONE-0108-POST</v>
          </cell>
          <cell r="B1781">
            <v>299145</v>
          </cell>
          <cell r="C1781" t="str">
            <v>ERROR SUSPENSE - MD - MARKDOWNS</v>
          </cell>
        </row>
        <row r="1782">
          <cell r="A1782" t="str">
            <v>ZONE-0109-POST</v>
          </cell>
          <cell r="B1782">
            <v>299145</v>
          </cell>
          <cell r="C1782" t="str">
            <v>ERROR SUSPENSE - MD - MARKDOWNS</v>
          </cell>
        </row>
        <row r="1783">
          <cell r="A1783" t="str">
            <v>ZONE-0110-POST</v>
          </cell>
          <cell r="B1783">
            <v>299145</v>
          </cell>
          <cell r="C1783" t="str">
            <v>ERROR SUSPENSE - MD - MARKDOWNS</v>
          </cell>
        </row>
        <row r="1784">
          <cell r="A1784" t="str">
            <v>ZONE-0111-POST</v>
          </cell>
          <cell r="B1784">
            <v>299145</v>
          </cell>
          <cell r="C1784" t="str">
            <v>ERROR SUSPENSE - MD - MARKDOWNS</v>
          </cell>
        </row>
        <row r="1785">
          <cell r="A1785" t="str">
            <v>ZONE-0112-POST</v>
          </cell>
          <cell r="B1785">
            <v>299145</v>
          </cell>
          <cell r="C1785" t="str">
            <v>ERROR SUSPENSE - MD - MARKDOWNS</v>
          </cell>
        </row>
        <row r="1786">
          <cell r="A1786" t="str">
            <v>ZONE-9998-POST</v>
          </cell>
          <cell r="B1786">
            <v>299145</v>
          </cell>
          <cell r="C1786" t="str">
            <v>ERROR SUSPENSE - MD - MARKDOWNS</v>
          </cell>
        </row>
        <row r="1787">
          <cell r="A1787" t="str">
            <v>ZONE-9999-POST</v>
          </cell>
          <cell r="B1787">
            <v>299145</v>
          </cell>
          <cell r="C1787" t="str">
            <v>ERROR SUSPENSE - MD - MARKDOWNS</v>
          </cell>
        </row>
        <row r="1788">
          <cell r="A1788" t="str">
            <v>I/C-1510-POST</v>
          </cell>
          <cell r="B1788">
            <v>299147</v>
          </cell>
          <cell r="C1788" t="str">
            <v>ERROR SUSPENSE - MP - MAP (STAR)</v>
          </cell>
        </row>
        <row r="1789">
          <cell r="A1789" t="str">
            <v>ZONE-0068-POST</v>
          </cell>
          <cell r="B1789">
            <v>299147</v>
          </cell>
          <cell r="C1789" t="str">
            <v>ERROR SUSPENSE - MP - MAP (STAR)</v>
          </cell>
        </row>
        <row r="1790">
          <cell r="A1790" t="str">
            <v>ZONE-0072-POST</v>
          </cell>
          <cell r="B1790">
            <v>299147</v>
          </cell>
          <cell r="C1790" t="str">
            <v>ERROR SUSPENSE - MP - MAP (STAR)</v>
          </cell>
        </row>
        <row r="1791">
          <cell r="A1791" t="str">
            <v>ZONE-0102-POST</v>
          </cell>
          <cell r="B1791">
            <v>299147</v>
          </cell>
          <cell r="C1791" t="str">
            <v>ERROR SUSPENSE - MP - MAP (STAR)</v>
          </cell>
        </row>
        <row r="1792">
          <cell r="A1792" t="str">
            <v>ZONE-0103-POST</v>
          </cell>
          <cell r="B1792">
            <v>299147</v>
          </cell>
          <cell r="C1792" t="str">
            <v>ERROR SUSPENSE - MP - MAP (STAR)</v>
          </cell>
        </row>
        <row r="1793">
          <cell r="A1793" t="str">
            <v>ZONE-0104-POST</v>
          </cell>
          <cell r="B1793">
            <v>299147</v>
          </cell>
          <cell r="C1793" t="str">
            <v>ERROR SUSPENSE - MP - MAP (STAR)</v>
          </cell>
        </row>
        <row r="1794">
          <cell r="A1794" t="str">
            <v>ZONE-0105-POST</v>
          </cell>
          <cell r="B1794">
            <v>299147</v>
          </cell>
          <cell r="C1794" t="str">
            <v>ERROR SUSPENSE - MP - MAP (STAR)</v>
          </cell>
        </row>
        <row r="1795">
          <cell r="A1795" t="str">
            <v>ZONE-0108-POST</v>
          </cell>
          <cell r="B1795">
            <v>299147</v>
          </cell>
          <cell r="C1795" t="str">
            <v>ERROR SUSPENSE - MP - MAP (STAR)</v>
          </cell>
        </row>
        <row r="1796">
          <cell r="A1796" t="str">
            <v>ZONE-0109-POST</v>
          </cell>
          <cell r="B1796">
            <v>299147</v>
          </cell>
          <cell r="C1796" t="str">
            <v>ERROR SUSPENSE - MP - MAP (STAR)</v>
          </cell>
        </row>
        <row r="1797">
          <cell r="A1797" t="str">
            <v>ZONE-0110-POST</v>
          </cell>
          <cell r="B1797">
            <v>299147</v>
          </cell>
          <cell r="C1797" t="str">
            <v>ERROR SUSPENSE - MP - MAP (STAR)</v>
          </cell>
        </row>
        <row r="1798">
          <cell r="A1798" t="str">
            <v>ZONE-0111-POST</v>
          </cell>
          <cell r="B1798">
            <v>299147</v>
          </cell>
          <cell r="C1798" t="str">
            <v>ERROR SUSPENSE - MP - MAP (STAR)</v>
          </cell>
        </row>
        <row r="1799">
          <cell r="A1799" t="str">
            <v>ZONE-0112-POST</v>
          </cell>
          <cell r="B1799">
            <v>299147</v>
          </cell>
          <cell r="C1799" t="str">
            <v>ERROR SUSPENSE - MP - MAP (STAR)</v>
          </cell>
        </row>
        <row r="1800">
          <cell r="A1800" t="str">
            <v>ZONE-9998-POST</v>
          </cell>
          <cell r="B1800">
            <v>299147</v>
          </cell>
          <cell r="C1800" t="str">
            <v>ERROR SUSPENSE - MP - MAP (STAR)</v>
          </cell>
        </row>
        <row r="1801">
          <cell r="A1801" t="str">
            <v>ZONE-9999-POST</v>
          </cell>
          <cell r="B1801">
            <v>299147</v>
          </cell>
          <cell r="C1801" t="str">
            <v>ERROR SUSPENSE - MP - MAP (STAR)</v>
          </cell>
        </row>
        <row r="1802">
          <cell r="A1802" t="str">
            <v>I/C-1510-POST</v>
          </cell>
          <cell r="B1802">
            <v>299151</v>
          </cell>
          <cell r="C1802" t="str">
            <v>ERROR SUSPENSE - PP - PAYROLL</v>
          </cell>
        </row>
        <row r="1803">
          <cell r="A1803" t="str">
            <v>ZONE-0068-POST</v>
          </cell>
          <cell r="B1803">
            <v>299151</v>
          </cell>
          <cell r="C1803" t="str">
            <v>ERROR SUSPENSE - PP - PAYROLL</v>
          </cell>
        </row>
        <row r="1804">
          <cell r="A1804" t="str">
            <v>ZONE-0072-POST</v>
          </cell>
          <cell r="B1804">
            <v>299151</v>
          </cell>
          <cell r="C1804" t="str">
            <v>ERROR SUSPENSE - PP - PAYROLL</v>
          </cell>
        </row>
        <row r="1805">
          <cell r="A1805" t="str">
            <v>ZONE-0102-POST</v>
          </cell>
          <cell r="B1805">
            <v>299151</v>
          </cell>
          <cell r="C1805" t="str">
            <v>ERROR SUSPENSE - PP - PAYROLL</v>
          </cell>
        </row>
        <row r="1806">
          <cell r="A1806" t="str">
            <v>ZONE-0103-POST</v>
          </cell>
          <cell r="B1806">
            <v>299151</v>
          </cell>
          <cell r="C1806" t="str">
            <v>ERROR SUSPENSE - PP - PAYROLL</v>
          </cell>
        </row>
        <row r="1807">
          <cell r="A1807" t="str">
            <v>ZONE-0104-POST</v>
          </cell>
          <cell r="B1807">
            <v>299151</v>
          </cell>
          <cell r="C1807" t="str">
            <v>ERROR SUSPENSE - PP - PAYROLL</v>
          </cell>
        </row>
        <row r="1808">
          <cell r="A1808" t="str">
            <v>ZONE-0105-POST</v>
          </cell>
          <cell r="B1808">
            <v>299151</v>
          </cell>
          <cell r="C1808" t="str">
            <v>ERROR SUSPENSE - PP - PAYROLL</v>
          </cell>
        </row>
        <row r="1809">
          <cell r="A1809" t="str">
            <v>ZONE-0108-POST</v>
          </cell>
          <cell r="B1809">
            <v>299151</v>
          </cell>
          <cell r="C1809" t="str">
            <v>ERROR SUSPENSE - PP - PAYROLL</v>
          </cell>
        </row>
        <row r="1810">
          <cell r="A1810" t="str">
            <v>ZONE-0109-POST</v>
          </cell>
          <cell r="B1810">
            <v>299151</v>
          </cell>
          <cell r="C1810" t="str">
            <v>ERROR SUSPENSE - PP - PAYROLL</v>
          </cell>
        </row>
        <row r="1811">
          <cell r="A1811" t="str">
            <v>ZONE-0110-POST</v>
          </cell>
          <cell r="B1811">
            <v>299151</v>
          </cell>
          <cell r="C1811" t="str">
            <v>ERROR SUSPENSE - PP - PAYROLL</v>
          </cell>
        </row>
        <row r="1812">
          <cell r="A1812" t="str">
            <v>ZONE-0111-POST</v>
          </cell>
          <cell r="B1812">
            <v>299151</v>
          </cell>
          <cell r="C1812" t="str">
            <v>ERROR SUSPENSE - PP - PAYROLL</v>
          </cell>
        </row>
        <row r="1813">
          <cell r="A1813" t="str">
            <v>ZONE-0112-POST</v>
          </cell>
          <cell r="B1813">
            <v>299151</v>
          </cell>
          <cell r="C1813" t="str">
            <v>ERROR SUSPENSE - PP - PAYROLL</v>
          </cell>
        </row>
        <row r="1814">
          <cell r="A1814" t="str">
            <v>ZONE-9998-POST</v>
          </cell>
          <cell r="B1814">
            <v>299151</v>
          </cell>
          <cell r="C1814" t="str">
            <v>ERROR SUSPENSE - PP - PAYROLL</v>
          </cell>
        </row>
        <row r="1815">
          <cell r="A1815" t="str">
            <v>ZONE-9999-POST</v>
          </cell>
          <cell r="B1815">
            <v>299151</v>
          </cell>
          <cell r="C1815" t="str">
            <v>ERROR SUSPENSE - PP - PAYROLL</v>
          </cell>
        </row>
        <row r="1816">
          <cell r="A1816" t="str">
            <v>I/C-1510-POST</v>
          </cell>
          <cell r="B1816">
            <v>299154</v>
          </cell>
          <cell r="C1816" t="str">
            <v>ERROR SUSPENSE - PY - PEOPLESOFT PAYROLL</v>
          </cell>
        </row>
        <row r="1817">
          <cell r="A1817" t="str">
            <v>ZONE-0068-POST</v>
          </cell>
          <cell r="B1817">
            <v>299154</v>
          </cell>
          <cell r="C1817" t="str">
            <v>ERROR SUSPENSE - PY - PEOPLESOFT PAYROLL</v>
          </cell>
        </row>
        <row r="1818">
          <cell r="A1818" t="str">
            <v>ZONE-0072-POST</v>
          </cell>
          <cell r="B1818">
            <v>299154</v>
          </cell>
          <cell r="C1818" t="str">
            <v>ERROR SUSPENSE - PY - PEOPLESOFT PAYROLL</v>
          </cell>
        </row>
        <row r="1819">
          <cell r="A1819" t="str">
            <v>ZONE-0102-POST</v>
          </cell>
          <cell r="B1819">
            <v>299154</v>
          </cell>
          <cell r="C1819" t="str">
            <v>ERROR SUSPENSE - PY - PEOPLESOFT PAYROLL</v>
          </cell>
        </row>
        <row r="1820">
          <cell r="A1820" t="str">
            <v>ZONE-0103-POST</v>
          </cell>
          <cell r="B1820">
            <v>299154</v>
          </cell>
          <cell r="C1820" t="str">
            <v>ERROR SUSPENSE - PY - PEOPLESOFT PAYROLL</v>
          </cell>
        </row>
        <row r="1821">
          <cell r="A1821" t="str">
            <v>ZONE-0104-POST</v>
          </cell>
          <cell r="B1821">
            <v>299154</v>
          </cell>
          <cell r="C1821" t="str">
            <v>ERROR SUSPENSE - PY - PEOPLESOFT PAYROLL</v>
          </cell>
        </row>
        <row r="1822">
          <cell r="A1822" t="str">
            <v>ZONE-0105-POST</v>
          </cell>
          <cell r="B1822">
            <v>299154</v>
          </cell>
          <cell r="C1822" t="str">
            <v>ERROR SUSPENSE - PY - PEOPLESOFT PAYROLL</v>
          </cell>
        </row>
        <row r="1823">
          <cell r="A1823" t="str">
            <v>ZONE-0108-POST</v>
          </cell>
          <cell r="B1823">
            <v>299154</v>
          </cell>
          <cell r="C1823" t="str">
            <v>ERROR SUSPENSE - PY - PEOPLESOFT PAYROLL</v>
          </cell>
        </row>
        <row r="1824">
          <cell r="A1824" t="str">
            <v>ZONE-0109-POST</v>
          </cell>
          <cell r="B1824">
            <v>299154</v>
          </cell>
          <cell r="C1824" t="str">
            <v>ERROR SUSPENSE - PY - PEOPLESOFT PAYROLL</v>
          </cell>
        </row>
        <row r="1825">
          <cell r="A1825" t="str">
            <v>ZONE-0110-POST</v>
          </cell>
          <cell r="B1825">
            <v>299154</v>
          </cell>
          <cell r="C1825" t="str">
            <v>ERROR SUSPENSE - PY - PEOPLESOFT PAYROLL</v>
          </cell>
        </row>
        <row r="1826">
          <cell r="A1826" t="str">
            <v>ZONE-0111-POST</v>
          </cell>
          <cell r="B1826">
            <v>299154</v>
          </cell>
          <cell r="C1826" t="str">
            <v>ERROR SUSPENSE - PY - PEOPLESOFT PAYROLL</v>
          </cell>
        </row>
        <row r="1827">
          <cell r="A1827" t="str">
            <v>ZONE-0112-POST</v>
          </cell>
          <cell r="B1827">
            <v>299154</v>
          </cell>
          <cell r="C1827" t="str">
            <v>ERROR SUSPENSE - PY - PEOPLESOFT PAYROLL</v>
          </cell>
        </row>
        <row r="1828">
          <cell r="A1828" t="str">
            <v>ZONE-9998-POST</v>
          </cell>
          <cell r="B1828">
            <v>299154</v>
          </cell>
          <cell r="C1828" t="str">
            <v>ERROR SUSPENSE - PY - PEOPLESOFT PAYROLL</v>
          </cell>
        </row>
        <row r="1829">
          <cell r="A1829" t="str">
            <v>ZONE-9999-POST</v>
          </cell>
          <cell r="B1829">
            <v>299154</v>
          </cell>
          <cell r="C1829" t="str">
            <v>ERROR SUSPENSE - PY - PEOPLESOFT PAYROLL</v>
          </cell>
        </row>
        <row r="1830">
          <cell r="A1830" t="str">
            <v>I/C-1510-POST</v>
          </cell>
          <cell r="B1830">
            <v>299155</v>
          </cell>
          <cell r="C1830" t="str">
            <v>ERROR SUSPENSE - J0 - CUBS</v>
          </cell>
        </row>
        <row r="1831">
          <cell r="A1831" t="str">
            <v>ZONE-0068-POST</v>
          </cell>
          <cell r="B1831">
            <v>299155</v>
          </cell>
          <cell r="C1831" t="str">
            <v>ERROR SUSPENSE - J0 - CUBS</v>
          </cell>
        </row>
        <row r="1832">
          <cell r="A1832" t="str">
            <v>ZONE-0072-POST</v>
          </cell>
          <cell r="B1832">
            <v>299155</v>
          </cell>
          <cell r="C1832" t="str">
            <v>ERROR SUSPENSE - J0 - CUBS</v>
          </cell>
        </row>
        <row r="1833">
          <cell r="A1833" t="str">
            <v>ZONE-0102-POST</v>
          </cell>
          <cell r="B1833">
            <v>299155</v>
          </cell>
          <cell r="C1833" t="str">
            <v>ERROR SUSPENSE - J0 - CUBS</v>
          </cell>
        </row>
        <row r="1834">
          <cell r="A1834" t="str">
            <v>ZONE-0103-POST</v>
          </cell>
          <cell r="B1834">
            <v>299155</v>
          </cell>
          <cell r="C1834" t="str">
            <v>ERROR SUSPENSE - J0 - CUBS</v>
          </cell>
        </row>
        <row r="1835">
          <cell r="A1835" t="str">
            <v>ZONE-0104-POST</v>
          </cell>
          <cell r="B1835">
            <v>299155</v>
          </cell>
          <cell r="C1835" t="str">
            <v>ERROR SUSPENSE - J0 - CUBS</v>
          </cell>
        </row>
        <row r="1836">
          <cell r="A1836" t="str">
            <v>ZONE-0105-POST</v>
          </cell>
          <cell r="B1836">
            <v>299155</v>
          </cell>
          <cell r="C1836" t="str">
            <v>ERROR SUSPENSE - J0 - CUBS</v>
          </cell>
        </row>
        <row r="1837">
          <cell r="A1837" t="str">
            <v>ZONE-0108-POST</v>
          </cell>
          <cell r="B1837">
            <v>299155</v>
          </cell>
          <cell r="C1837" t="str">
            <v>ERROR SUSPENSE - J0 - CUBS</v>
          </cell>
        </row>
        <row r="1838">
          <cell r="A1838" t="str">
            <v>ZONE-0109-POST</v>
          </cell>
          <cell r="B1838">
            <v>299155</v>
          </cell>
          <cell r="C1838" t="str">
            <v>ERROR SUSPENSE - J0 - CUBS</v>
          </cell>
        </row>
        <row r="1839">
          <cell r="A1839" t="str">
            <v>ZONE-0110-POST</v>
          </cell>
          <cell r="B1839">
            <v>299155</v>
          </cell>
          <cell r="C1839" t="str">
            <v>ERROR SUSPENSE - J0 - CUBS</v>
          </cell>
        </row>
        <row r="1840">
          <cell r="A1840" t="str">
            <v>ZONE-0111-POST</v>
          </cell>
          <cell r="B1840">
            <v>299155</v>
          </cell>
          <cell r="C1840" t="str">
            <v>ERROR SUSPENSE - J0 - CUBS</v>
          </cell>
        </row>
        <row r="1841">
          <cell r="A1841" t="str">
            <v>ZONE-0112-POST</v>
          </cell>
          <cell r="B1841">
            <v>299155</v>
          </cell>
          <cell r="C1841" t="str">
            <v>ERROR SUSPENSE - J0 - CUBS</v>
          </cell>
        </row>
        <row r="1842">
          <cell r="A1842" t="str">
            <v>ZONE-9998-POST</v>
          </cell>
          <cell r="B1842">
            <v>299155</v>
          </cell>
          <cell r="C1842" t="str">
            <v>ERROR SUSPENSE - J0 - CUBS</v>
          </cell>
        </row>
        <row r="1843">
          <cell r="A1843" t="str">
            <v>ZONE-9999-POST</v>
          </cell>
          <cell r="B1843">
            <v>299155</v>
          </cell>
          <cell r="C1843" t="str">
            <v>ERROR SUSPENSE - J0 - CUBS</v>
          </cell>
        </row>
        <row r="1844">
          <cell r="A1844" t="str">
            <v>I/C-1510-POST</v>
          </cell>
          <cell r="B1844">
            <v>299156</v>
          </cell>
          <cell r="C1844" t="str">
            <v>ERROR SUSPENSE - RE - RECEIVINGS</v>
          </cell>
        </row>
        <row r="1845">
          <cell r="A1845" t="str">
            <v>ZONE-0068-POST</v>
          </cell>
          <cell r="B1845">
            <v>299156</v>
          </cell>
          <cell r="C1845" t="str">
            <v>ERROR SUSPENSE - RE - RECEIVINGS</v>
          </cell>
        </row>
        <row r="1846">
          <cell r="A1846" t="str">
            <v>ZONE-0072-POST</v>
          </cell>
          <cell r="B1846">
            <v>299156</v>
          </cell>
          <cell r="C1846" t="str">
            <v>ERROR SUSPENSE - RE - RECEIVINGS</v>
          </cell>
        </row>
        <row r="1847">
          <cell r="A1847" t="str">
            <v>ZONE-0102-POST</v>
          </cell>
          <cell r="B1847">
            <v>299156</v>
          </cell>
          <cell r="C1847" t="str">
            <v>ERROR SUSPENSE - RE - RECEIVINGS</v>
          </cell>
        </row>
        <row r="1848">
          <cell r="A1848" t="str">
            <v>ZONE-0103-POST</v>
          </cell>
          <cell r="B1848">
            <v>299156</v>
          </cell>
          <cell r="C1848" t="str">
            <v>ERROR SUSPENSE - RE - RECEIVINGS</v>
          </cell>
        </row>
        <row r="1849">
          <cell r="A1849" t="str">
            <v>ZONE-0104-POST</v>
          </cell>
          <cell r="B1849">
            <v>299156</v>
          </cell>
          <cell r="C1849" t="str">
            <v>ERROR SUSPENSE - RE - RECEIVINGS</v>
          </cell>
        </row>
        <row r="1850">
          <cell r="A1850" t="str">
            <v>ZONE-0105-POST</v>
          </cell>
          <cell r="B1850">
            <v>299156</v>
          </cell>
          <cell r="C1850" t="str">
            <v>ERROR SUSPENSE - RE - RECEIVINGS</v>
          </cell>
        </row>
        <row r="1851">
          <cell r="A1851" t="str">
            <v>ZONE-0108-POST</v>
          </cell>
          <cell r="B1851">
            <v>299156</v>
          </cell>
          <cell r="C1851" t="str">
            <v>ERROR SUSPENSE - RE - RECEIVINGS</v>
          </cell>
        </row>
        <row r="1852">
          <cell r="A1852" t="str">
            <v>ZONE-0109-POST</v>
          </cell>
          <cell r="B1852">
            <v>299156</v>
          </cell>
          <cell r="C1852" t="str">
            <v>ERROR SUSPENSE - RE - RECEIVINGS</v>
          </cell>
        </row>
        <row r="1853">
          <cell r="A1853" t="str">
            <v>ZONE-0110-POST</v>
          </cell>
          <cell r="B1853">
            <v>299156</v>
          </cell>
          <cell r="C1853" t="str">
            <v>ERROR SUSPENSE - RE - RECEIVINGS</v>
          </cell>
        </row>
        <row r="1854">
          <cell r="A1854" t="str">
            <v>ZONE-0111-POST</v>
          </cell>
          <cell r="B1854">
            <v>299156</v>
          </cell>
          <cell r="C1854" t="str">
            <v>ERROR SUSPENSE - RE - RECEIVINGS</v>
          </cell>
        </row>
        <row r="1855">
          <cell r="A1855" t="str">
            <v>ZONE-0112-POST</v>
          </cell>
          <cell r="B1855">
            <v>299156</v>
          </cell>
          <cell r="C1855" t="str">
            <v>ERROR SUSPENSE - RE - RECEIVINGS</v>
          </cell>
        </row>
        <row r="1856">
          <cell r="A1856" t="str">
            <v>ZONE-9998-POST</v>
          </cell>
          <cell r="B1856">
            <v>299156</v>
          </cell>
          <cell r="C1856" t="str">
            <v>ERROR SUSPENSE - RE - RECEIVINGS</v>
          </cell>
        </row>
        <row r="1857">
          <cell r="A1857" t="str">
            <v>ZONE-9999-POST</v>
          </cell>
          <cell r="B1857">
            <v>299156</v>
          </cell>
          <cell r="C1857" t="str">
            <v>ERROR SUSPENSE - RE - RECEIVINGS</v>
          </cell>
        </row>
        <row r="1858">
          <cell r="A1858" t="str">
            <v>I/C-1510-POST</v>
          </cell>
          <cell r="B1858">
            <v>299157</v>
          </cell>
          <cell r="C1858" t="str">
            <v>ERROR SUSPENSE - RK - RETURNED CHECKS</v>
          </cell>
        </row>
        <row r="1859">
          <cell r="A1859" t="str">
            <v>ZONE-0068-POST</v>
          </cell>
          <cell r="B1859">
            <v>299157</v>
          </cell>
          <cell r="C1859" t="str">
            <v>ERROR SUSPENSE - RK - RETURNED CHECKS</v>
          </cell>
        </row>
        <row r="1860">
          <cell r="A1860" t="str">
            <v>ZONE-0072-POST</v>
          </cell>
          <cell r="B1860">
            <v>299157</v>
          </cell>
          <cell r="C1860" t="str">
            <v>ERROR SUSPENSE - RK - RETURNED CHECKS</v>
          </cell>
        </row>
        <row r="1861">
          <cell r="A1861" t="str">
            <v>ZONE-0102-POST</v>
          </cell>
          <cell r="B1861">
            <v>299157</v>
          </cell>
          <cell r="C1861" t="str">
            <v>ERROR SUSPENSE - RK - RETURNED CHECKS</v>
          </cell>
        </row>
        <row r="1862">
          <cell r="A1862" t="str">
            <v>ZONE-0103-POST</v>
          </cell>
          <cell r="B1862">
            <v>299157</v>
          </cell>
          <cell r="C1862" t="str">
            <v>ERROR SUSPENSE - RK - RETURNED CHECKS</v>
          </cell>
        </row>
        <row r="1863">
          <cell r="A1863" t="str">
            <v>ZONE-0104-POST</v>
          </cell>
          <cell r="B1863">
            <v>299157</v>
          </cell>
          <cell r="C1863" t="str">
            <v>ERROR SUSPENSE - RK - RETURNED CHECKS</v>
          </cell>
        </row>
        <row r="1864">
          <cell r="A1864" t="str">
            <v>ZONE-0105-POST</v>
          </cell>
          <cell r="B1864">
            <v>299157</v>
          </cell>
          <cell r="C1864" t="str">
            <v>ERROR SUSPENSE - RK - RETURNED CHECKS</v>
          </cell>
        </row>
        <row r="1865">
          <cell r="A1865" t="str">
            <v>ZONE-0108-POST</v>
          </cell>
          <cell r="B1865">
            <v>299157</v>
          </cell>
          <cell r="C1865" t="str">
            <v>ERROR SUSPENSE - RK - RETURNED CHECKS</v>
          </cell>
        </row>
        <row r="1866">
          <cell r="A1866" t="str">
            <v>ZONE-0109-POST</v>
          </cell>
          <cell r="B1866">
            <v>299157</v>
          </cell>
          <cell r="C1866" t="str">
            <v>ERROR SUSPENSE - RK - RETURNED CHECKS</v>
          </cell>
        </row>
        <row r="1867">
          <cell r="A1867" t="str">
            <v>ZONE-0110-POST</v>
          </cell>
          <cell r="B1867">
            <v>299157</v>
          </cell>
          <cell r="C1867" t="str">
            <v>ERROR SUSPENSE - RK - RETURNED CHECKS</v>
          </cell>
        </row>
        <row r="1868">
          <cell r="A1868" t="str">
            <v>ZONE-0111-POST</v>
          </cell>
          <cell r="B1868">
            <v>299157</v>
          </cell>
          <cell r="C1868" t="str">
            <v>ERROR SUSPENSE - RK - RETURNED CHECKS</v>
          </cell>
        </row>
        <row r="1869">
          <cell r="A1869" t="str">
            <v>ZONE-0112-POST</v>
          </cell>
          <cell r="B1869">
            <v>299157</v>
          </cell>
          <cell r="C1869" t="str">
            <v>ERROR SUSPENSE - RK - RETURNED CHECKS</v>
          </cell>
        </row>
        <row r="1870">
          <cell r="A1870" t="str">
            <v>ZONE-9998-POST</v>
          </cell>
          <cell r="B1870">
            <v>299157</v>
          </cell>
          <cell r="C1870" t="str">
            <v>ERROR SUSPENSE - RK - RETURNED CHECKS</v>
          </cell>
        </row>
        <row r="1871">
          <cell r="A1871" t="str">
            <v>ZONE-9999-POST</v>
          </cell>
          <cell r="B1871">
            <v>299157</v>
          </cell>
          <cell r="C1871" t="str">
            <v>ERROR SUSPENSE - RK - RETURNED CHECKS</v>
          </cell>
        </row>
        <row r="1872">
          <cell r="A1872" t="str">
            <v>I/C-1510-POST</v>
          </cell>
          <cell r="B1872">
            <v>299158</v>
          </cell>
          <cell r="C1872" t="str">
            <v>ERROR SUSPENSE - RP - RFM PAYROLL</v>
          </cell>
        </row>
        <row r="1873">
          <cell r="A1873" t="str">
            <v>ZONE-0068-POST</v>
          </cell>
          <cell r="B1873">
            <v>299158</v>
          </cell>
          <cell r="C1873" t="str">
            <v>ERROR SUSPENSE - RP - RFM PAYROLL</v>
          </cell>
        </row>
        <row r="1874">
          <cell r="A1874" t="str">
            <v>ZONE-0072-POST</v>
          </cell>
          <cell r="B1874">
            <v>299158</v>
          </cell>
          <cell r="C1874" t="str">
            <v>ERROR SUSPENSE - RP - RFM PAYROLL</v>
          </cell>
        </row>
        <row r="1875">
          <cell r="A1875" t="str">
            <v>ZONE-0102-POST</v>
          </cell>
          <cell r="B1875">
            <v>299158</v>
          </cell>
          <cell r="C1875" t="str">
            <v>ERROR SUSPENSE - RP - RFM PAYROLL</v>
          </cell>
        </row>
        <row r="1876">
          <cell r="A1876" t="str">
            <v>ZONE-0103-POST</v>
          </cell>
          <cell r="B1876">
            <v>299158</v>
          </cell>
          <cell r="C1876" t="str">
            <v>ERROR SUSPENSE - RP - RFM PAYROLL</v>
          </cell>
        </row>
        <row r="1877">
          <cell r="A1877" t="str">
            <v>ZONE-0104-POST</v>
          </cell>
          <cell r="B1877">
            <v>299158</v>
          </cell>
          <cell r="C1877" t="str">
            <v>ERROR SUSPENSE - RP - RFM PAYROLL</v>
          </cell>
        </row>
        <row r="1878">
          <cell r="A1878" t="str">
            <v>ZONE-0105-POST</v>
          </cell>
          <cell r="B1878">
            <v>299158</v>
          </cell>
          <cell r="C1878" t="str">
            <v>ERROR SUSPENSE - RP - RFM PAYROLL</v>
          </cell>
        </row>
        <row r="1879">
          <cell r="A1879" t="str">
            <v>ZONE-0108-POST</v>
          </cell>
          <cell r="B1879">
            <v>299158</v>
          </cell>
          <cell r="C1879" t="str">
            <v>ERROR SUSPENSE - RP - RFM PAYROLL</v>
          </cell>
        </row>
        <row r="1880">
          <cell r="A1880" t="str">
            <v>ZONE-0109-POST</v>
          </cell>
          <cell r="B1880">
            <v>299158</v>
          </cell>
          <cell r="C1880" t="str">
            <v>ERROR SUSPENSE - RP - RFM PAYROLL</v>
          </cell>
        </row>
        <row r="1881">
          <cell r="A1881" t="str">
            <v>ZONE-0110-POST</v>
          </cell>
          <cell r="B1881">
            <v>299158</v>
          </cell>
          <cell r="C1881" t="str">
            <v>ERROR SUSPENSE - RP - RFM PAYROLL</v>
          </cell>
        </row>
        <row r="1882">
          <cell r="A1882" t="str">
            <v>ZONE-0111-POST</v>
          </cell>
          <cell r="B1882">
            <v>299158</v>
          </cell>
          <cell r="C1882" t="str">
            <v>ERROR SUSPENSE - RP - RFM PAYROLL</v>
          </cell>
        </row>
        <row r="1883">
          <cell r="A1883" t="str">
            <v>ZONE-0112-POST</v>
          </cell>
          <cell r="B1883">
            <v>299158</v>
          </cell>
          <cell r="C1883" t="str">
            <v>ERROR SUSPENSE - RP - RFM PAYROLL</v>
          </cell>
        </row>
        <row r="1884">
          <cell r="A1884" t="str">
            <v>ZONE-9998-POST</v>
          </cell>
          <cell r="B1884">
            <v>299158</v>
          </cell>
          <cell r="C1884" t="str">
            <v>ERROR SUSPENSE - RP - RFM PAYROLL</v>
          </cell>
        </row>
        <row r="1885">
          <cell r="A1885" t="str">
            <v>ZONE-9999-POST</v>
          </cell>
          <cell r="B1885">
            <v>299158</v>
          </cell>
          <cell r="C1885" t="str">
            <v>ERROR SUSPENSE - RP - RFM PAYROLL</v>
          </cell>
        </row>
        <row r="1886">
          <cell r="A1886" t="str">
            <v>I/C-1510-POST</v>
          </cell>
          <cell r="B1886">
            <v>299159</v>
          </cell>
          <cell r="C1886" t="str">
            <v>ERROR SUSPENSE - RS - RFM STORE SHIPMENTS</v>
          </cell>
        </row>
        <row r="1887">
          <cell r="A1887" t="str">
            <v>ZONE-0068-POST</v>
          </cell>
          <cell r="B1887">
            <v>299159</v>
          </cell>
          <cell r="C1887" t="str">
            <v>ERROR SUSPENSE - RS - RFM STORE SHIPMENTS</v>
          </cell>
        </row>
        <row r="1888">
          <cell r="A1888" t="str">
            <v>ZONE-0072-POST</v>
          </cell>
          <cell r="B1888">
            <v>299159</v>
          </cell>
          <cell r="C1888" t="str">
            <v>ERROR SUSPENSE - RS - RFM STORE SHIPMENTS</v>
          </cell>
        </row>
        <row r="1889">
          <cell r="A1889" t="str">
            <v>ZONE-0102-POST</v>
          </cell>
          <cell r="B1889">
            <v>299159</v>
          </cell>
          <cell r="C1889" t="str">
            <v>ERROR SUSPENSE - RS - RFM STORE SHIPMENTS</v>
          </cell>
        </row>
        <row r="1890">
          <cell r="A1890" t="str">
            <v>ZONE-0103-POST</v>
          </cell>
          <cell r="B1890">
            <v>299159</v>
          </cell>
          <cell r="C1890" t="str">
            <v>ERROR SUSPENSE - RS - RFM STORE SHIPMENTS</v>
          </cell>
        </row>
        <row r="1891">
          <cell r="A1891" t="str">
            <v>ZONE-0104-POST</v>
          </cell>
          <cell r="B1891">
            <v>299159</v>
          </cell>
          <cell r="C1891" t="str">
            <v>ERROR SUSPENSE - RS - RFM STORE SHIPMENTS</v>
          </cell>
        </row>
        <row r="1892">
          <cell r="A1892" t="str">
            <v>ZONE-0105-POST</v>
          </cell>
          <cell r="B1892">
            <v>299159</v>
          </cell>
          <cell r="C1892" t="str">
            <v>ERROR SUSPENSE - RS - RFM STORE SHIPMENTS</v>
          </cell>
        </row>
        <row r="1893">
          <cell r="A1893" t="str">
            <v>ZONE-0108-POST</v>
          </cell>
          <cell r="B1893">
            <v>299159</v>
          </cell>
          <cell r="C1893" t="str">
            <v>ERROR SUSPENSE - RS - RFM STORE SHIPMENTS</v>
          </cell>
        </row>
        <row r="1894">
          <cell r="A1894" t="str">
            <v>ZONE-0109-POST</v>
          </cell>
          <cell r="B1894">
            <v>299159</v>
          </cell>
          <cell r="C1894" t="str">
            <v>ERROR SUSPENSE - RS - RFM STORE SHIPMENTS</v>
          </cell>
        </row>
        <row r="1895">
          <cell r="A1895" t="str">
            <v>ZONE-0110-POST</v>
          </cell>
          <cell r="B1895">
            <v>299159</v>
          </cell>
          <cell r="C1895" t="str">
            <v>ERROR SUSPENSE - RS - RFM STORE SHIPMENTS</v>
          </cell>
        </row>
        <row r="1896">
          <cell r="A1896" t="str">
            <v>ZONE-0111-POST</v>
          </cell>
          <cell r="B1896">
            <v>299159</v>
          </cell>
          <cell r="C1896" t="str">
            <v>ERROR SUSPENSE - RS - RFM STORE SHIPMENTS</v>
          </cell>
        </row>
        <row r="1897">
          <cell r="A1897" t="str">
            <v>ZONE-0112-POST</v>
          </cell>
          <cell r="B1897">
            <v>299159</v>
          </cell>
          <cell r="C1897" t="str">
            <v>ERROR SUSPENSE - RS - RFM STORE SHIPMENTS</v>
          </cell>
        </row>
        <row r="1898">
          <cell r="A1898" t="str">
            <v>ZONE-9998-POST</v>
          </cell>
          <cell r="B1898">
            <v>299159</v>
          </cell>
          <cell r="C1898" t="str">
            <v>ERROR SUSPENSE - RS - RFM STORE SHIPMENTS</v>
          </cell>
        </row>
        <row r="1899">
          <cell r="A1899" t="str">
            <v>ZONE-9999-POST</v>
          </cell>
          <cell r="B1899">
            <v>299159</v>
          </cell>
          <cell r="C1899" t="str">
            <v>ERROR SUSPENSE - RS - RFM STORE SHIPMENTS</v>
          </cell>
        </row>
        <row r="1900">
          <cell r="A1900" t="str">
            <v>I/C-1510-POST</v>
          </cell>
          <cell r="B1900">
            <v>299160</v>
          </cell>
          <cell r="C1900" t="str">
            <v>ERROR SUSPENSE - RX - PHARMACY RECEIVABLES</v>
          </cell>
        </row>
        <row r="1901">
          <cell r="A1901" t="str">
            <v>ZONE-0068-POST</v>
          </cell>
          <cell r="B1901">
            <v>299160</v>
          </cell>
          <cell r="C1901" t="str">
            <v>ERROR SUSPENSE - RX - PHARMACY RECEIVABLES</v>
          </cell>
        </row>
        <row r="1902">
          <cell r="A1902" t="str">
            <v>ZONE-0072-POST</v>
          </cell>
          <cell r="B1902">
            <v>299160</v>
          </cell>
          <cell r="C1902" t="str">
            <v>ERROR SUSPENSE - RX - PHARMACY RECEIVABLES</v>
          </cell>
        </row>
        <row r="1903">
          <cell r="A1903" t="str">
            <v>ZONE-0102-POST</v>
          </cell>
          <cell r="B1903">
            <v>299160</v>
          </cell>
          <cell r="C1903" t="str">
            <v>ERROR SUSPENSE - RX - PHARMACY RECEIVABLES</v>
          </cell>
        </row>
        <row r="1904">
          <cell r="A1904" t="str">
            <v>ZONE-0103-POST</v>
          </cell>
          <cell r="B1904">
            <v>299160</v>
          </cell>
          <cell r="C1904" t="str">
            <v>ERROR SUSPENSE - RX - PHARMACY RECEIVABLES</v>
          </cell>
        </row>
        <row r="1905">
          <cell r="A1905" t="str">
            <v>ZONE-0104-POST</v>
          </cell>
          <cell r="B1905">
            <v>299160</v>
          </cell>
          <cell r="C1905" t="str">
            <v>ERROR SUSPENSE - RX - PHARMACY RECEIVABLES</v>
          </cell>
        </row>
        <row r="1906">
          <cell r="A1906" t="str">
            <v>ZONE-0105-POST</v>
          </cell>
          <cell r="B1906">
            <v>299160</v>
          </cell>
          <cell r="C1906" t="str">
            <v>ERROR SUSPENSE - RX - PHARMACY RECEIVABLES</v>
          </cell>
        </row>
        <row r="1907">
          <cell r="A1907" t="str">
            <v>ZONE-0108-POST</v>
          </cell>
          <cell r="B1907">
            <v>299160</v>
          </cell>
          <cell r="C1907" t="str">
            <v>ERROR SUSPENSE - RX - PHARMACY RECEIVABLES</v>
          </cell>
        </row>
        <row r="1908">
          <cell r="A1908" t="str">
            <v>ZONE-0109-POST</v>
          </cell>
          <cell r="B1908">
            <v>299160</v>
          </cell>
          <cell r="C1908" t="str">
            <v>ERROR SUSPENSE - RX - PHARMACY RECEIVABLES</v>
          </cell>
        </row>
        <row r="1909">
          <cell r="A1909" t="str">
            <v>ZONE-0110-POST</v>
          </cell>
          <cell r="B1909">
            <v>299160</v>
          </cell>
          <cell r="C1909" t="str">
            <v>ERROR SUSPENSE - RX - PHARMACY RECEIVABLES</v>
          </cell>
        </row>
        <row r="1910">
          <cell r="A1910" t="str">
            <v>ZONE-0111-POST</v>
          </cell>
          <cell r="B1910">
            <v>299160</v>
          </cell>
          <cell r="C1910" t="str">
            <v>ERROR SUSPENSE - RX - PHARMACY RECEIVABLES</v>
          </cell>
        </row>
        <row r="1911">
          <cell r="A1911" t="str">
            <v>ZONE-0112-POST</v>
          </cell>
          <cell r="B1911">
            <v>299160</v>
          </cell>
          <cell r="C1911" t="str">
            <v>ERROR SUSPENSE - RX - PHARMACY RECEIVABLES</v>
          </cell>
        </row>
        <row r="1912">
          <cell r="A1912" t="str">
            <v>ZONE-9998-POST</v>
          </cell>
          <cell r="B1912">
            <v>299160</v>
          </cell>
          <cell r="C1912" t="str">
            <v>ERROR SUSPENSE - RX - PHARMACY RECEIVABLES</v>
          </cell>
        </row>
        <row r="1913">
          <cell r="A1913" t="str">
            <v>ZONE-9999-POST</v>
          </cell>
          <cell r="B1913">
            <v>299160</v>
          </cell>
          <cell r="C1913" t="str">
            <v>ERROR SUSPENSE - RX - PHARMACY RECEIVABLES</v>
          </cell>
        </row>
        <row r="1914">
          <cell r="A1914" t="str">
            <v>I/C-1510-POST</v>
          </cell>
          <cell r="B1914">
            <v>299162</v>
          </cell>
          <cell r="C1914" t="str">
            <v>ERROR SUSPENSE - SC - STORE CHARGES</v>
          </cell>
        </row>
        <row r="1915">
          <cell r="A1915" t="str">
            <v>ZONE-0068-POST</v>
          </cell>
          <cell r="B1915">
            <v>299162</v>
          </cell>
          <cell r="C1915" t="str">
            <v>ERROR SUSPENSE - SC - STORE CHARGES</v>
          </cell>
        </row>
        <row r="1916">
          <cell r="A1916" t="str">
            <v>ZONE-0072-POST</v>
          </cell>
          <cell r="B1916">
            <v>299162</v>
          </cell>
          <cell r="C1916" t="str">
            <v>ERROR SUSPENSE - SC - STORE CHARGES</v>
          </cell>
        </row>
        <row r="1917">
          <cell r="A1917" t="str">
            <v>ZONE-0102-POST</v>
          </cell>
          <cell r="B1917">
            <v>299162</v>
          </cell>
          <cell r="C1917" t="str">
            <v>ERROR SUSPENSE - SC - STORE CHARGES</v>
          </cell>
        </row>
        <row r="1918">
          <cell r="A1918" t="str">
            <v>ZONE-0103-POST</v>
          </cell>
          <cell r="B1918">
            <v>299162</v>
          </cell>
          <cell r="C1918" t="str">
            <v>ERROR SUSPENSE - SC - STORE CHARGES</v>
          </cell>
        </row>
        <row r="1919">
          <cell r="A1919" t="str">
            <v>ZONE-0104-POST</v>
          </cell>
          <cell r="B1919">
            <v>299162</v>
          </cell>
          <cell r="C1919" t="str">
            <v>ERROR SUSPENSE - SC - STORE CHARGES</v>
          </cell>
        </row>
        <row r="1920">
          <cell r="A1920" t="str">
            <v>ZONE-0105-POST</v>
          </cell>
          <cell r="B1920">
            <v>299162</v>
          </cell>
          <cell r="C1920" t="str">
            <v>ERROR SUSPENSE - SC - STORE CHARGES</v>
          </cell>
        </row>
        <row r="1921">
          <cell r="A1921" t="str">
            <v>ZONE-0108-POST</v>
          </cell>
          <cell r="B1921">
            <v>299162</v>
          </cell>
          <cell r="C1921" t="str">
            <v>ERROR SUSPENSE - SC - STORE CHARGES</v>
          </cell>
        </row>
        <row r="1922">
          <cell r="A1922" t="str">
            <v>ZONE-0109-POST</v>
          </cell>
          <cell r="B1922">
            <v>299162</v>
          </cell>
          <cell r="C1922" t="str">
            <v>ERROR SUSPENSE - SC - STORE CHARGES</v>
          </cell>
        </row>
        <row r="1923">
          <cell r="A1923" t="str">
            <v>ZONE-0110-POST</v>
          </cell>
          <cell r="B1923">
            <v>299162</v>
          </cell>
          <cell r="C1923" t="str">
            <v>ERROR SUSPENSE - SC - STORE CHARGES</v>
          </cell>
        </row>
        <row r="1924">
          <cell r="A1924" t="str">
            <v>ZONE-0111-POST</v>
          </cell>
          <cell r="B1924">
            <v>299162</v>
          </cell>
          <cell r="C1924" t="str">
            <v>ERROR SUSPENSE - SC - STORE CHARGES</v>
          </cell>
        </row>
        <row r="1925">
          <cell r="A1925" t="str">
            <v>ZONE-0112-POST</v>
          </cell>
          <cell r="B1925">
            <v>299162</v>
          </cell>
          <cell r="C1925" t="str">
            <v>ERROR SUSPENSE - SC - STORE CHARGES</v>
          </cell>
        </row>
        <row r="1926">
          <cell r="A1926" t="str">
            <v>ZONE-9998-POST</v>
          </cell>
          <cell r="B1926">
            <v>299162</v>
          </cell>
          <cell r="C1926" t="str">
            <v>ERROR SUSPENSE - SC - STORE CHARGES</v>
          </cell>
        </row>
        <row r="1927">
          <cell r="A1927" t="str">
            <v>ZONE-9999-POST</v>
          </cell>
          <cell r="B1927">
            <v>299162</v>
          </cell>
          <cell r="C1927" t="str">
            <v>ERROR SUSPENSE - SC - STORE CHARGES</v>
          </cell>
        </row>
        <row r="1928">
          <cell r="A1928" t="str">
            <v>I/C-1510-POST</v>
          </cell>
          <cell r="B1928">
            <v>299165</v>
          </cell>
          <cell r="C1928" t="str">
            <v>ERROR SUSPENSE - VA - VACATION ACCRUAL</v>
          </cell>
        </row>
        <row r="1929">
          <cell r="A1929" t="str">
            <v>ZONE-0068-POST</v>
          </cell>
          <cell r="B1929">
            <v>299165</v>
          </cell>
          <cell r="C1929" t="str">
            <v>ERROR SUSPENSE - VA - VACATION ACCRUAL</v>
          </cell>
        </row>
        <row r="1930">
          <cell r="A1930" t="str">
            <v>ZONE-0072-POST</v>
          </cell>
          <cell r="B1930">
            <v>299165</v>
          </cell>
          <cell r="C1930" t="str">
            <v>ERROR SUSPENSE - VA - VACATION ACCRUAL</v>
          </cell>
        </row>
        <row r="1931">
          <cell r="A1931" t="str">
            <v>ZONE-0102-POST</v>
          </cell>
          <cell r="B1931">
            <v>299165</v>
          </cell>
          <cell r="C1931" t="str">
            <v>ERROR SUSPENSE - VA - VACATION ACCRUAL</v>
          </cell>
        </row>
        <row r="1932">
          <cell r="A1932" t="str">
            <v>ZONE-0103-POST</v>
          </cell>
          <cell r="B1932">
            <v>299165</v>
          </cell>
          <cell r="C1932" t="str">
            <v>ERROR SUSPENSE - VA - VACATION ACCRUAL</v>
          </cell>
        </row>
        <row r="1933">
          <cell r="A1933" t="str">
            <v>ZONE-0104-POST</v>
          </cell>
          <cell r="B1933">
            <v>299165</v>
          </cell>
          <cell r="C1933" t="str">
            <v>ERROR SUSPENSE - VA - VACATION ACCRUAL</v>
          </cell>
        </row>
        <row r="1934">
          <cell r="A1934" t="str">
            <v>ZONE-0105-POST</v>
          </cell>
          <cell r="B1934">
            <v>299165</v>
          </cell>
          <cell r="C1934" t="str">
            <v>ERROR SUSPENSE - VA - VACATION ACCRUAL</v>
          </cell>
        </row>
        <row r="1935">
          <cell r="A1935" t="str">
            <v>ZONE-0108-POST</v>
          </cell>
          <cell r="B1935">
            <v>299165</v>
          </cell>
          <cell r="C1935" t="str">
            <v>ERROR SUSPENSE - VA - VACATION ACCRUAL</v>
          </cell>
        </row>
        <row r="1936">
          <cell r="A1936" t="str">
            <v>ZONE-0109-POST</v>
          </cell>
          <cell r="B1936">
            <v>299165</v>
          </cell>
          <cell r="C1936" t="str">
            <v>ERROR SUSPENSE - VA - VACATION ACCRUAL</v>
          </cell>
        </row>
        <row r="1937">
          <cell r="A1937" t="str">
            <v>ZONE-0110-POST</v>
          </cell>
          <cell r="B1937">
            <v>299165</v>
          </cell>
          <cell r="C1937" t="str">
            <v>ERROR SUSPENSE - VA - VACATION ACCRUAL</v>
          </cell>
        </row>
        <row r="1938">
          <cell r="A1938" t="str">
            <v>ZONE-0111-POST</v>
          </cell>
          <cell r="B1938">
            <v>299165</v>
          </cell>
          <cell r="C1938" t="str">
            <v>ERROR SUSPENSE - VA - VACATION ACCRUAL</v>
          </cell>
        </row>
        <row r="1939">
          <cell r="A1939" t="str">
            <v>ZONE-0112-POST</v>
          </cell>
          <cell r="B1939">
            <v>299165</v>
          </cell>
          <cell r="C1939" t="str">
            <v>ERROR SUSPENSE - VA - VACATION ACCRUAL</v>
          </cell>
        </row>
        <row r="1940">
          <cell r="A1940" t="str">
            <v>ZONE-9998-POST</v>
          </cell>
          <cell r="B1940">
            <v>299165</v>
          </cell>
          <cell r="C1940" t="str">
            <v>ERROR SUSPENSE - VA - VACATION ACCRUAL</v>
          </cell>
        </row>
        <row r="1941">
          <cell r="A1941" t="str">
            <v>ZONE-9999-POST</v>
          </cell>
          <cell r="B1941">
            <v>299165</v>
          </cell>
          <cell r="C1941" t="str">
            <v>ERROR SUSPENSE - VA - VACATION ACCRUAL</v>
          </cell>
        </row>
        <row r="1942">
          <cell r="A1942" t="str">
            <v>I/C-1510-POST</v>
          </cell>
          <cell r="B1942">
            <v>299166</v>
          </cell>
          <cell r="C1942" t="str">
            <v>ERROR SUSPENSE - C0 - PRICE/COST - ADV AND DEC</v>
          </cell>
        </row>
        <row r="1943">
          <cell r="A1943" t="str">
            <v>ZONE-0068-POST</v>
          </cell>
          <cell r="B1943">
            <v>299166</v>
          </cell>
          <cell r="C1943" t="str">
            <v>ERROR SUSPENSE - C0 - PRICE/COST - ADV AND DEC</v>
          </cell>
        </row>
        <row r="1944">
          <cell r="A1944" t="str">
            <v>ZONE-0072-POST</v>
          </cell>
          <cell r="B1944">
            <v>299166</v>
          </cell>
          <cell r="C1944" t="str">
            <v>ERROR SUSPENSE - C0 - PRICE/COST - ADV AND DEC</v>
          </cell>
        </row>
        <row r="1945">
          <cell r="A1945" t="str">
            <v>ZONE-0102-POST</v>
          </cell>
          <cell r="B1945">
            <v>299166</v>
          </cell>
          <cell r="C1945" t="str">
            <v>ERROR SUSPENSE - C0 - PRICE/COST - ADV AND DEC</v>
          </cell>
        </row>
        <row r="1946">
          <cell r="A1946" t="str">
            <v>ZONE-0103-POST</v>
          </cell>
          <cell r="B1946">
            <v>299166</v>
          </cell>
          <cell r="C1946" t="str">
            <v>ERROR SUSPENSE - C0 - PRICE/COST - ADV AND DEC</v>
          </cell>
        </row>
        <row r="1947">
          <cell r="A1947" t="str">
            <v>ZONE-0104-POST</v>
          </cell>
          <cell r="B1947">
            <v>299166</v>
          </cell>
          <cell r="C1947" t="str">
            <v>ERROR SUSPENSE - C0 - PRICE/COST - ADV AND DEC</v>
          </cell>
        </row>
        <row r="1948">
          <cell r="A1948" t="str">
            <v>ZONE-0105-POST</v>
          </cell>
          <cell r="B1948">
            <v>299166</v>
          </cell>
          <cell r="C1948" t="str">
            <v>ERROR SUSPENSE - C0 - PRICE/COST - ADV AND DEC</v>
          </cell>
        </row>
        <row r="1949">
          <cell r="A1949" t="str">
            <v>ZONE-0108-POST</v>
          </cell>
          <cell r="B1949">
            <v>299166</v>
          </cell>
          <cell r="C1949" t="str">
            <v>ERROR SUSPENSE - C0 - PRICE/COST - ADV AND DEC</v>
          </cell>
        </row>
        <row r="1950">
          <cell r="A1950" t="str">
            <v>ZONE-0109-POST</v>
          </cell>
          <cell r="B1950">
            <v>299166</v>
          </cell>
          <cell r="C1950" t="str">
            <v>ERROR SUSPENSE - C0 - PRICE/COST - ADV AND DEC</v>
          </cell>
        </row>
        <row r="1951">
          <cell r="A1951" t="str">
            <v>ZONE-0110-POST</v>
          </cell>
          <cell r="B1951">
            <v>299166</v>
          </cell>
          <cell r="C1951" t="str">
            <v>ERROR SUSPENSE - C0 - PRICE/COST - ADV AND DEC</v>
          </cell>
        </row>
        <row r="1952">
          <cell r="A1952" t="str">
            <v>ZONE-0111-POST</v>
          </cell>
          <cell r="B1952">
            <v>299166</v>
          </cell>
          <cell r="C1952" t="str">
            <v>ERROR SUSPENSE - C0 - PRICE/COST - ADV AND DEC</v>
          </cell>
        </row>
        <row r="1953">
          <cell r="A1953" t="str">
            <v>ZONE-0112-POST</v>
          </cell>
          <cell r="B1953">
            <v>299166</v>
          </cell>
          <cell r="C1953" t="str">
            <v>ERROR SUSPENSE - C0 - PRICE/COST - ADV AND DEC</v>
          </cell>
        </row>
        <row r="1954">
          <cell r="A1954" t="str">
            <v>ZONE-9998-POST</v>
          </cell>
          <cell r="B1954">
            <v>299166</v>
          </cell>
          <cell r="C1954" t="str">
            <v>ERROR SUSPENSE - C0 - PRICE/COST - ADV AND DEC</v>
          </cell>
        </row>
        <row r="1955">
          <cell r="A1955" t="str">
            <v>ZONE-9999-POST</v>
          </cell>
          <cell r="B1955">
            <v>299166</v>
          </cell>
          <cell r="C1955" t="str">
            <v>ERROR SUSPENSE - C0 - PRICE/COST - ADV AND DEC</v>
          </cell>
        </row>
        <row r="1956">
          <cell r="A1956" t="str">
            <v>I/C-1510-POST</v>
          </cell>
          <cell r="B1956">
            <v>299167</v>
          </cell>
          <cell r="C1956" t="str">
            <v>ERROR SUSPENSE - WM - WIMS</v>
          </cell>
        </row>
        <row r="1957">
          <cell r="A1957" t="str">
            <v>ZONE-0068-POST</v>
          </cell>
          <cell r="B1957">
            <v>299167</v>
          </cell>
          <cell r="C1957" t="str">
            <v>ERROR SUSPENSE - WM - WIMS</v>
          </cell>
        </row>
        <row r="1958">
          <cell r="A1958" t="str">
            <v>ZONE-0072-POST</v>
          </cell>
          <cell r="B1958">
            <v>299167</v>
          </cell>
          <cell r="C1958" t="str">
            <v>ERROR SUSPENSE - WM - WIMS</v>
          </cell>
        </row>
        <row r="1959">
          <cell r="A1959" t="str">
            <v>ZONE-0102-POST</v>
          </cell>
          <cell r="B1959">
            <v>299167</v>
          </cell>
          <cell r="C1959" t="str">
            <v>ERROR SUSPENSE - WM - WIMS</v>
          </cell>
        </row>
        <row r="1960">
          <cell r="A1960" t="str">
            <v>ZONE-0103-POST</v>
          </cell>
          <cell r="B1960">
            <v>299167</v>
          </cell>
          <cell r="C1960" t="str">
            <v>ERROR SUSPENSE - WM - WIMS</v>
          </cell>
        </row>
        <row r="1961">
          <cell r="A1961" t="str">
            <v>ZONE-0104-POST</v>
          </cell>
          <cell r="B1961">
            <v>299167</v>
          </cell>
          <cell r="C1961" t="str">
            <v>ERROR SUSPENSE - WM - WIMS</v>
          </cell>
        </row>
        <row r="1962">
          <cell r="A1962" t="str">
            <v>ZONE-0105-POST</v>
          </cell>
          <cell r="B1962">
            <v>299167</v>
          </cell>
          <cell r="C1962" t="str">
            <v>ERROR SUSPENSE - WM - WIMS</v>
          </cell>
        </row>
        <row r="1963">
          <cell r="A1963" t="str">
            <v>ZONE-0108-POST</v>
          </cell>
          <cell r="B1963">
            <v>299167</v>
          </cell>
          <cell r="C1963" t="str">
            <v>ERROR SUSPENSE - WM - WIMS</v>
          </cell>
        </row>
        <row r="1964">
          <cell r="A1964" t="str">
            <v>ZONE-0109-POST</v>
          </cell>
          <cell r="B1964">
            <v>299167</v>
          </cell>
          <cell r="C1964" t="str">
            <v>ERROR SUSPENSE - WM - WIMS</v>
          </cell>
        </row>
        <row r="1965">
          <cell r="A1965" t="str">
            <v>ZONE-0110-POST</v>
          </cell>
          <cell r="B1965">
            <v>299167</v>
          </cell>
          <cell r="C1965" t="str">
            <v>ERROR SUSPENSE - WM - WIMS</v>
          </cell>
        </row>
        <row r="1966">
          <cell r="A1966" t="str">
            <v>ZONE-0111-POST</v>
          </cell>
          <cell r="B1966">
            <v>299167</v>
          </cell>
          <cell r="C1966" t="str">
            <v>ERROR SUSPENSE - WM - WIMS</v>
          </cell>
        </row>
        <row r="1967">
          <cell r="A1967" t="str">
            <v>ZONE-0112-POST</v>
          </cell>
          <cell r="B1967">
            <v>299167</v>
          </cell>
          <cell r="C1967" t="str">
            <v>ERROR SUSPENSE - WM - WIMS</v>
          </cell>
        </row>
        <row r="1968">
          <cell r="A1968" t="str">
            <v>ZONE-9998-POST</v>
          </cell>
          <cell r="B1968">
            <v>299167</v>
          </cell>
          <cell r="C1968" t="str">
            <v>ERROR SUSPENSE - WM - WIMS</v>
          </cell>
        </row>
        <row r="1969">
          <cell r="A1969" t="str">
            <v>ZONE-9999-POST</v>
          </cell>
          <cell r="B1969">
            <v>299167</v>
          </cell>
          <cell r="C1969" t="str">
            <v>ERROR SUSPENSE - WM - WIMS</v>
          </cell>
        </row>
        <row r="1970">
          <cell r="A1970" t="str">
            <v>I/C-1510-POST</v>
          </cell>
          <cell r="B1970">
            <v>299171</v>
          </cell>
          <cell r="C1970" t="str">
            <v>ERROR SUSPENSE - PT - PEOPLESOFT TRUST</v>
          </cell>
        </row>
        <row r="1971">
          <cell r="A1971" t="str">
            <v>ZONE-0068-POST</v>
          </cell>
          <cell r="B1971">
            <v>299171</v>
          </cell>
          <cell r="C1971" t="str">
            <v>ERROR SUSPENSE - PT - PEOPLESOFT TRUST</v>
          </cell>
        </row>
        <row r="1972">
          <cell r="A1972" t="str">
            <v>ZONE-0072-POST</v>
          </cell>
          <cell r="B1972">
            <v>299171</v>
          </cell>
          <cell r="C1972" t="str">
            <v>ERROR SUSPENSE - PT - PEOPLESOFT TRUST</v>
          </cell>
        </row>
        <row r="1973">
          <cell r="A1973" t="str">
            <v>ZONE-0102-POST</v>
          </cell>
          <cell r="B1973">
            <v>299171</v>
          </cell>
          <cell r="C1973" t="str">
            <v>ERROR SUSPENSE - PT - PEOPLESOFT TRUST</v>
          </cell>
        </row>
        <row r="1974">
          <cell r="A1974" t="str">
            <v>ZONE-0103-POST</v>
          </cell>
          <cell r="B1974">
            <v>299171</v>
          </cell>
          <cell r="C1974" t="str">
            <v>ERROR SUSPENSE - PT - PEOPLESOFT TRUST</v>
          </cell>
        </row>
        <row r="1975">
          <cell r="A1975" t="str">
            <v>ZONE-0104-POST</v>
          </cell>
          <cell r="B1975">
            <v>299171</v>
          </cell>
          <cell r="C1975" t="str">
            <v>ERROR SUSPENSE - PT - PEOPLESOFT TRUST</v>
          </cell>
        </row>
        <row r="1976">
          <cell r="A1976" t="str">
            <v>ZONE-0105-POST</v>
          </cell>
          <cell r="B1976">
            <v>299171</v>
          </cell>
          <cell r="C1976" t="str">
            <v>ERROR SUSPENSE - PT - PEOPLESOFT TRUST</v>
          </cell>
        </row>
        <row r="1977">
          <cell r="A1977" t="str">
            <v>ZONE-0108-POST</v>
          </cell>
          <cell r="B1977">
            <v>299171</v>
          </cell>
          <cell r="C1977" t="str">
            <v>ERROR SUSPENSE - PT - PEOPLESOFT TRUST</v>
          </cell>
        </row>
        <row r="1978">
          <cell r="A1978" t="str">
            <v>ZONE-0109-POST</v>
          </cell>
          <cell r="B1978">
            <v>299171</v>
          </cell>
          <cell r="C1978" t="str">
            <v>ERROR SUSPENSE - PT - PEOPLESOFT TRUST</v>
          </cell>
        </row>
        <row r="1979">
          <cell r="A1979" t="str">
            <v>ZONE-0110-POST</v>
          </cell>
          <cell r="B1979">
            <v>299171</v>
          </cell>
          <cell r="C1979" t="str">
            <v>ERROR SUSPENSE - PT - PEOPLESOFT TRUST</v>
          </cell>
        </row>
        <row r="1980">
          <cell r="A1980" t="str">
            <v>ZONE-0111-POST</v>
          </cell>
          <cell r="B1980">
            <v>299171</v>
          </cell>
          <cell r="C1980" t="str">
            <v>ERROR SUSPENSE - PT - PEOPLESOFT TRUST</v>
          </cell>
        </row>
        <row r="1981">
          <cell r="A1981" t="str">
            <v>ZONE-0112-POST</v>
          </cell>
          <cell r="B1981">
            <v>299171</v>
          </cell>
          <cell r="C1981" t="str">
            <v>ERROR SUSPENSE - PT - PEOPLESOFT TRUST</v>
          </cell>
        </row>
        <row r="1982">
          <cell r="A1982" t="str">
            <v>ZONE-9998-POST</v>
          </cell>
          <cell r="B1982">
            <v>299171</v>
          </cell>
          <cell r="C1982" t="str">
            <v>ERROR SUSPENSE - PT - PEOPLESOFT TRUST</v>
          </cell>
        </row>
        <row r="1983">
          <cell r="A1983" t="str">
            <v>ZONE-9999-POST</v>
          </cell>
          <cell r="B1983">
            <v>299171</v>
          </cell>
          <cell r="C1983" t="str">
            <v>ERROR SUSPENSE - PT - PEOPLESOFT TRUST</v>
          </cell>
        </row>
        <row r="1984">
          <cell r="A1984">
            <v>9681716</v>
          </cell>
          <cell r="B1984">
            <v>310001</v>
          </cell>
          <cell r="C1984" t="str">
            <v>SALES TO PUBLIC</v>
          </cell>
        </row>
        <row r="1985">
          <cell r="A1985">
            <v>8001054179</v>
          </cell>
          <cell r="B1985">
            <v>310416</v>
          </cell>
          <cell r="C1985" t="str">
            <v>GIFT CARD COMMISSION</v>
          </cell>
        </row>
        <row r="1986">
          <cell r="A1986">
            <v>8001059542</v>
          </cell>
          <cell r="B1986">
            <v>310416</v>
          </cell>
          <cell r="C1986" t="str">
            <v>GIFT CARD COMMISSION</v>
          </cell>
        </row>
        <row r="1987">
          <cell r="A1987">
            <v>8010512510</v>
          </cell>
          <cell r="B1987">
            <v>310416</v>
          </cell>
          <cell r="C1987" t="str">
            <v>GIFT CARD COMMISSION</v>
          </cell>
        </row>
        <row r="1988">
          <cell r="A1988">
            <v>9050702</v>
          </cell>
          <cell r="B1988">
            <v>310416</v>
          </cell>
          <cell r="C1988" t="str">
            <v>GIFT CARD COMMISSION</v>
          </cell>
        </row>
        <row r="1989">
          <cell r="A1989">
            <v>9050712</v>
          </cell>
          <cell r="B1989">
            <v>310416</v>
          </cell>
          <cell r="C1989" t="str">
            <v>GIFT CARD COMMISSION</v>
          </cell>
        </row>
        <row r="1990">
          <cell r="A1990">
            <v>9050999</v>
          </cell>
          <cell r="B1990">
            <v>310416</v>
          </cell>
          <cell r="C1990" t="str">
            <v>GIFT CARD COMMISSION</v>
          </cell>
        </row>
        <row r="1991">
          <cell r="A1991">
            <v>9051702</v>
          </cell>
          <cell r="B1991">
            <v>310416</v>
          </cell>
          <cell r="C1991" t="str">
            <v>GIFT CARD COMMISSION</v>
          </cell>
        </row>
        <row r="1992">
          <cell r="A1992">
            <v>9051712</v>
          </cell>
          <cell r="B1992">
            <v>310416</v>
          </cell>
          <cell r="C1992" t="str">
            <v>GIFT CARD COMMISSION</v>
          </cell>
        </row>
        <row r="1993">
          <cell r="A1993">
            <v>9051999</v>
          </cell>
          <cell r="B1993">
            <v>310416</v>
          </cell>
          <cell r="C1993" t="str">
            <v>GIFT CARD COMMISSION</v>
          </cell>
        </row>
        <row r="1994">
          <cell r="A1994">
            <v>9052999</v>
          </cell>
          <cell r="B1994">
            <v>310416</v>
          </cell>
          <cell r="C1994" t="str">
            <v>GIFT CARD COMMISSION</v>
          </cell>
        </row>
        <row r="1995">
          <cell r="A1995">
            <v>9080700</v>
          </cell>
          <cell r="B1995">
            <v>310416</v>
          </cell>
          <cell r="C1995" t="str">
            <v>GIFT CARD COMMISSION</v>
          </cell>
        </row>
        <row r="1996">
          <cell r="A1996">
            <v>9080701</v>
          </cell>
          <cell r="B1996">
            <v>310416</v>
          </cell>
          <cell r="C1996" t="str">
            <v>GIFT CARD COMMISSION</v>
          </cell>
        </row>
        <row r="1997">
          <cell r="A1997">
            <v>9080702</v>
          </cell>
          <cell r="B1997">
            <v>310416</v>
          </cell>
          <cell r="C1997" t="str">
            <v>GIFT CARD COMMISSION</v>
          </cell>
        </row>
        <row r="1998">
          <cell r="A1998">
            <v>9080705</v>
          </cell>
          <cell r="B1998">
            <v>310416</v>
          </cell>
          <cell r="C1998" t="str">
            <v>GIFT CARD COMMISSION</v>
          </cell>
        </row>
        <row r="1999">
          <cell r="A1999">
            <v>9080707</v>
          </cell>
          <cell r="B1999">
            <v>310416</v>
          </cell>
          <cell r="C1999" t="str">
            <v>GIFT CARD COMMISSION</v>
          </cell>
        </row>
        <row r="2000">
          <cell r="A2000">
            <v>9080710</v>
          </cell>
          <cell r="B2000">
            <v>310416</v>
          </cell>
          <cell r="C2000" t="str">
            <v>GIFT CARD COMMISSION</v>
          </cell>
        </row>
        <row r="2001">
          <cell r="A2001">
            <v>9090730</v>
          </cell>
          <cell r="B2001">
            <v>310416</v>
          </cell>
          <cell r="C2001" t="str">
            <v>GIFT CARD COMMISSION</v>
          </cell>
        </row>
        <row r="2002">
          <cell r="A2002">
            <v>9090731</v>
          </cell>
          <cell r="B2002">
            <v>310416</v>
          </cell>
          <cell r="C2002" t="str">
            <v>GIFT CARD COMMISSION</v>
          </cell>
        </row>
        <row r="2003">
          <cell r="A2003">
            <v>9090732</v>
          </cell>
          <cell r="B2003">
            <v>310416</v>
          </cell>
          <cell r="C2003" t="str">
            <v>GIFT CARD COMMISSION</v>
          </cell>
        </row>
        <row r="2004">
          <cell r="A2004">
            <v>9090999</v>
          </cell>
          <cell r="B2004">
            <v>310416</v>
          </cell>
          <cell r="C2004" t="str">
            <v>GIFT CARD COMMISSION</v>
          </cell>
        </row>
        <row r="2005">
          <cell r="A2005">
            <v>9100999</v>
          </cell>
          <cell r="B2005">
            <v>310416</v>
          </cell>
          <cell r="C2005" t="str">
            <v>GIFT CARD COMMISSION</v>
          </cell>
        </row>
        <row r="2006">
          <cell r="A2006">
            <v>9110700</v>
          </cell>
          <cell r="B2006">
            <v>310416</v>
          </cell>
          <cell r="C2006" t="str">
            <v>GIFT CARD COMMISSION</v>
          </cell>
        </row>
        <row r="2007">
          <cell r="A2007">
            <v>9110702</v>
          </cell>
          <cell r="B2007">
            <v>310416</v>
          </cell>
          <cell r="C2007" t="str">
            <v>GIFT CARD COMMISSION</v>
          </cell>
        </row>
        <row r="2008">
          <cell r="A2008">
            <v>9110705</v>
          </cell>
          <cell r="B2008">
            <v>310416</v>
          </cell>
          <cell r="C2008" t="str">
            <v>GIFT CARD COMMISSION</v>
          </cell>
        </row>
        <row r="2009">
          <cell r="A2009">
            <v>9110707</v>
          </cell>
          <cell r="B2009">
            <v>310416</v>
          </cell>
          <cell r="C2009" t="str">
            <v>GIFT CARD COMMISSION</v>
          </cell>
        </row>
        <row r="2010">
          <cell r="A2010">
            <v>9680700</v>
          </cell>
          <cell r="B2010">
            <v>310416</v>
          </cell>
          <cell r="C2010" t="str">
            <v>GIFT CARD COMMISSION</v>
          </cell>
        </row>
        <row r="2011">
          <cell r="A2011">
            <v>9680701</v>
          </cell>
          <cell r="B2011">
            <v>310416</v>
          </cell>
          <cell r="C2011" t="str">
            <v>GIFT CARD COMMISSION</v>
          </cell>
        </row>
        <row r="2012">
          <cell r="A2012">
            <v>9680702</v>
          </cell>
          <cell r="B2012">
            <v>310416</v>
          </cell>
          <cell r="C2012" t="str">
            <v>GIFT CARD COMMISSION</v>
          </cell>
        </row>
        <row r="2013">
          <cell r="A2013">
            <v>9680705</v>
          </cell>
          <cell r="B2013">
            <v>310416</v>
          </cell>
          <cell r="C2013" t="str">
            <v>GIFT CARD COMMISSION</v>
          </cell>
        </row>
        <row r="2014">
          <cell r="A2014">
            <v>9680707</v>
          </cell>
          <cell r="B2014">
            <v>310416</v>
          </cell>
          <cell r="C2014" t="str">
            <v>GIFT CARD COMMISSION</v>
          </cell>
        </row>
        <row r="2015">
          <cell r="A2015">
            <v>9680710</v>
          </cell>
          <cell r="B2015">
            <v>310416</v>
          </cell>
          <cell r="C2015" t="str">
            <v>GIFT CARD COMMISSION</v>
          </cell>
        </row>
        <row r="2016">
          <cell r="A2016">
            <v>9680712</v>
          </cell>
          <cell r="B2016">
            <v>310416</v>
          </cell>
          <cell r="C2016" t="str">
            <v>GIFT CARD COMMISSION</v>
          </cell>
        </row>
        <row r="2017">
          <cell r="A2017">
            <v>9680714</v>
          </cell>
          <cell r="B2017">
            <v>310416</v>
          </cell>
          <cell r="C2017" t="str">
            <v>GIFT CARD COMMISSION</v>
          </cell>
        </row>
        <row r="2018">
          <cell r="A2018">
            <v>9680734</v>
          </cell>
          <cell r="B2018">
            <v>310416</v>
          </cell>
          <cell r="C2018" t="str">
            <v>GIFT CARD COMMISSION</v>
          </cell>
        </row>
        <row r="2019">
          <cell r="A2019">
            <v>9680748</v>
          </cell>
          <cell r="B2019">
            <v>310416</v>
          </cell>
          <cell r="C2019" t="str">
            <v>GIFT CARD COMMISSION</v>
          </cell>
        </row>
        <row r="2020">
          <cell r="A2020">
            <v>9680749</v>
          </cell>
          <cell r="B2020">
            <v>310416</v>
          </cell>
          <cell r="C2020" t="str">
            <v>GIFT CARD COMMISSION</v>
          </cell>
        </row>
        <row r="2021">
          <cell r="A2021">
            <v>9680894</v>
          </cell>
          <cell r="B2021">
            <v>310416</v>
          </cell>
          <cell r="C2021" t="str">
            <v>GIFT CARD COMMISSION</v>
          </cell>
        </row>
        <row r="2022">
          <cell r="A2022">
            <v>9680999</v>
          </cell>
          <cell r="B2022">
            <v>310416</v>
          </cell>
          <cell r="C2022" t="str">
            <v>GIFT CARD COMMISSION</v>
          </cell>
        </row>
        <row r="2023">
          <cell r="A2023">
            <v>9681700</v>
          </cell>
          <cell r="B2023">
            <v>310416</v>
          </cell>
          <cell r="C2023" t="str">
            <v>GIFT CARD COMMISSION</v>
          </cell>
        </row>
        <row r="2024">
          <cell r="A2024">
            <v>9681701</v>
          </cell>
          <cell r="B2024">
            <v>310416</v>
          </cell>
          <cell r="C2024" t="str">
            <v>GIFT CARD COMMISSION</v>
          </cell>
        </row>
        <row r="2025">
          <cell r="A2025">
            <v>9681702</v>
          </cell>
          <cell r="B2025">
            <v>310416</v>
          </cell>
          <cell r="C2025" t="str">
            <v>GIFT CARD COMMISSION</v>
          </cell>
        </row>
        <row r="2026">
          <cell r="A2026">
            <v>9681705</v>
          </cell>
          <cell r="B2026">
            <v>310416</v>
          </cell>
          <cell r="C2026" t="str">
            <v>GIFT CARD COMMISSION</v>
          </cell>
        </row>
        <row r="2027">
          <cell r="A2027">
            <v>9681706</v>
          </cell>
          <cell r="B2027">
            <v>310416</v>
          </cell>
          <cell r="C2027" t="str">
            <v>GIFT CARD COMMISSION</v>
          </cell>
        </row>
        <row r="2028">
          <cell r="A2028">
            <v>9681707</v>
          </cell>
          <cell r="B2028">
            <v>310416</v>
          </cell>
          <cell r="C2028" t="str">
            <v>GIFT CARD COMMISSION</v>
          </cell>
        </row>
        <row r="2029">
          <cell r="A2029">
            <v>9681710</v>
          </cell>
          <cell r="B2029">
            <v>310416</v>
          </cell>
          <cell r="C2029" t="str">
            <v>GIFT CARD COMMISSION</v>
          </cell>
        </row>
        <row r="2030">
          <cell r="A2030">
            <v>9681712</v>
          </cell>
          <cell r="B2030">
            <v>310416</v>
          </cell>
          <cell r="C2030" t="str">
            <v>GIFT CARD COMMISSION</v>
          </cell>
        </row>
        <row r="2031">
          <cell r="A2031">
            <v>9681714</v>
          </cell>
          <cell r="B2031">
            <v>310416</v>
          </cell>
          <cell r="C2031" t="str">
            <v>GIFT CARD COMMISSION</v>
          </cell>
        </row>
        <row r="2032">
          <cell r="A2032">
            <v>9681716</v>
          </cell>
          <cell r="B2032">
            <v>310416</v>
          </cell>
          <cell r="C2032" t="str">
            <v>GIFT CARD COMMISSION</v>
          </cell>
        </row>
        <row r="2033">
          <cell r="A2033">
            <v>9681727</v>
          </cell>
          <cell r="B2033">
            <v>310416</v>
          </cell>
          <cell r="C2033" t="str">
            <v>GIFT CARD COMMISSION</v>
          </cell>
        </row>
        <row r="2034">
          <cell r="A2034">
            <v>9681734</v>
          </cell>
          <cell r="B2034">
            <v>310416</v>
          </cell>
          <cell r="C2034" t="str">
            <v>GIFT CARD COMMISSION</v>
          </cell>
        </row>
        <row r="2035">
          <cell r="A2035">
            <v>9681748</v>
          </cell>
          <cell r="B2035">
            <v>310416</v>
          </cell>
          <cell r="C2035" t="str">
            <v>GIFT CARD COMMISSION</v>
          </cell>
        </row>
        <row r="2036">
          <cell r="A2036">
            <v>9681749</v>
          </cell>
          <cell r="B2036">
            <v>310416</v>
          </cell>
          <cell r="C2036" t="str">
            <v>GIFT CARD COMMISSION</v>
          </cell>
        </row>
        <row r="2037">
          <cell r="A2037">
            <v>9681894</v>
          </cell>
          <cell r="B2037">
            <v>310416</v>
          </cell>
          <cell r="C2037" t="str">
            <v>GIFT CARD COMMISSION</v>
          </cell>
        </row>
        <row r="2038">
          <cell r="A2038">
            <v>9681999</v>
          </cell>
          <cell r="B2038">
            <v>310416</v>
          </cell>
          <cell r="C2038" t="str">
            <v>GIFT CARD COMMISSION</v>
          </cell>
        </row>
        <row r="2039">
          <cell r="A2039">
            <v>9682715</v>
          </cell>
          <cell r="B2039">
            <v>310416</v>
          </cell>
          <cell r="C2039" t="str">
            <v>GIFT CARD COMMISSION</v>
          </cell>
        </row>
        <row r="2040">
          <cell r="A2040">
            <v>9682722</v>
          </cell>
          <cell r="B2040">
            <v>310416</v>
          </cell>
          <cell r="C2040" t="str">
            <v>GIFT CARD COMMISSION</v>
          </cell>
        </row>
        <row r="2041">
          <cell r="A2041">
            <v>9682999</v>
          </cell>
          <cell r="B2041">
            <v>310416</v>
          </cell>
          <cell r="C2041" t="str">
            <v>GIFT CARD COMMISSION</v>
          </cell>
        </row>
        <row r="2042">
          <cell r="A2042">
            <v>9683999</v>
          </cell>
          <cell r="B2042">
            <v>310416</v>
          </cell>
          <cell r="C2042" t="str">
            <v>GIFT CARD COMMISSION</v>
          </cell>
        </row>
        <row r="2043">
          <cell r="A2043">
            <v>9684999</v>
          </cell>
          <cell r="B2043">
            <v>310416</v>
          </cell>
          <cell r="C2043" t="str">
            <v>GIFT CARD COMMISSION</v>
          </cell>
        </row>
        <row r="2044">
          <cell r="A2044">
            <v>9685999</v>
          </cell>
          <cell r="B2044">
            <v>310416</v>
          </cell>
          <cell r="C2044" t="str">
            <v>GIFT CARD COMMISSION</v>
          </cell>
        </row>
        <row r="2045">
          <cell r="A2045">
            <v>9689692</v>
          </cell>
          <cell r="B2045">
            <v>310416</v>
          </cell>
          <cell r="C2045" t="str">
            <v>GIFT CARD COMMISSION</v>
          </cell>
        </row>
        <row r="2046">
          <cell r="A2046">
            <v>9689747</v>
          </cell>
          <cell r="B2046">
            <v>310416</v>
          </cell>
          <cell r="C2046" t="str">
            <v>GIFT CARD COMMISSION</v>
          </cell>
        </row>
        <row r="2047">
          <cell r="A2047">
            <v>9689883</v>
          </cell>
          <cell r="B2047">
            <v>310416</v>
          </cell>
          <cell r="C2047" t="str">
            <v>GIFT CARD COMMISSION</v>
          </cell>
        </row>
        <row r="2048">
          <cell r="A2048">
            <v>9689890</v>
          </cell>
          <cell r="B2048">
            <v>310416</v>
          </cell>
          <cell r="C2048" t="str">
            <v>GIFT CARD COMMISSION</v>
          </cell>
        </row>
        <row r="2049">
          <cell r="A2049">
            <v>9689906</v>
          </cell>
          <cell r="B2049">
            <v>310416</v>
          </cell>
          <cell r="C2049" t="str">
            <v>GIFT CARD COMMISSION</v>
          </cell>
        </row>
        <row r="2050">
          <cell r="A2050">
            <v>9689925</v>
          </cell>
          <cell r="B2050">
            <v>310416</v>
          </cell>
          <cell r="C2050" t="str">
            <v>GIFT CARD COMMISSION</v>
          </cell>
        </row>
        <row r="2051">
          <cell r="A2051">
            <v>9689990</v>
          </cell>
          <cell r="B2051">
            <v>310416</v>
          </cell>
          <cell r="C2051" t="str">
            <v>GIFT CARD COMMISSION</v>
          </cell>
        </row>
        <row r="2052">
          <cell r="A2052">
            <v>9689991</v>
          </cell>
          <cell r="B2052">
            <v>310416</v>
          </cell>
          <cell r="C2052" t="str">
            <v>GIFT CARD COMMISSION</v>
          </cell>
        </row>
        <row r="2053">
          <cell r="A2053">
            <v>9689992</v>
          </cell>
          <cell r="B2053">
            <v>310416</v>
          </cell>
          <cell r="C2053" t="str">
            <v>GIFT CARD COMMISSION</v>
          </cell>
        </row>
        <row r="2054">
          <cell r="A2054">
            <v>9689993</v>
          </cell>
          <cell r="B2054">
            <v>310416</v>
          </cell>
          <cell r="C2054" t="str">
            <v>GIFT CARD COMMISSION</v>
          </cell>
        </row>
        <row r="2055">
          <cell r="A2055">
            <v>9689994</v>
          </cell>
          <cell r="B2055">
            <v>310416</v>
          </cell>
          <cell r="C2055" t="str">
            <v>GIFT CARD COMMISSION</v>
          </cell>
        </row>
        <row r="2056">
          <cell r="A2056">
            <v>9689999</v>
          </cell>
          <cell r="B2056">
            <v>310416</v>
          </cell>
          <cell r="C2056" t="str">
            <v>GIFT CARD COMMISSION</v>
          </cell>
        </row>
        <row r="2057">
          <cell r="A2057">
            <v>9720703</v>
          </cell>
          <cell r="B2057">
            <v>310416</v>
          </cell>
          <cell r="C2057" t="str">
            <v>GIFT CARD COMMISSION</v>
          </cell>
        </row>
        <row r="2058">
          <cell r="A2058">
            <v>9720704</v>
          </cell>
          <cell r="B2058">
            <v>310416</v>
          </cell>
          <cell r="C2058" t="str">
            <v>GIFT CARD COMMISSION</v>
          </cell>
        </row>
        <row r="2059">
          <cell r="A2059">
            <v>9720716</v>
          </cell>
          <cell r="B2059">
            <v>310416</v>
          </cell>
          <cell r="C2059" t="str">
            <v>GIFT CARD COMMISSION</v>
          </cell>
        </row>
        <row r="2060">
          <cell r="A2060">
            <v>9722708</v>
          </cell>
          <cell r="B2060">
            <v>310416</v>
          </cell>
          <cell r="C2060" t="str">
            <v>GIFT CARD COMMISSION</v>
          </cell>
        </row>
        <row r="2061">
          <cell r="A2061">
            <v>9722709</v>
          </cell>
          <cell r="B2061">
            <v>310416</v>
          </cell>
          <cell r="C2061" t="str">
            <v>GIFT CARD COMMISSION</v>
          </cell>
        </row>
        <row r="2062">
          <cell r="A2062">
            <v>9722713</v>
          </cell>
          <cell r="B2062">
            <v>310416</v>
          </cell>
          <cell r="C2062" t="str">
            <v>GIFT CARD COMMISSION</v>
          </cell>
        </row>
        <row r="2063">
          <cell r="A2063">
            <v>9723723</v>
          </cell>
          <cell r="B2063">
            <v>310416</v>
          </cell>
          <cell r="C2063" t="str">
            <v>GIFT CARD COMMISSION</v>
          </cell>
        </row>
        <row r="2064">
          <cell r="A2064">
            <v>9723729</v>
          </cell>
          <cell r="B2064">
            <v>310416</v>
          </cell>
          <cell r="C2064" t="str">
            <v>GIFT CARD COMMISSION</v>
          </cell>
        </row>
        <row r="2065">
          <cell r="A2065">
            <v>9724718</v>
          </cell>
          <cell r="B2065">
            <v>310416</v>
          </cell>
          <cell r="C2065" t="str">
            <v>GIFT CARD COMMISSION</v>
          </cell>
        </row>
        <row r="2066">
          <cell r="A2066">
            <v>9724721</v>
          </cell>
          <cell r="B2066">
            <v>310416</v>
          </cell>
          <cell r="C2066" t="str">
            <v>GIFT CARD COMMISSION</v>
          </cell>
        </row>
        <row r="2067">
          <cell r="A2067">
            <v>9724724</v>
          </cell>
          <cell r="B2067">
            <v>310416</v>
          </cell>
          <cell r="C2067" t="str">
            <v>GIFT CARD COMMISSION</v>
          </cell>
        </row>
        <row r="2068">
          <cell r="A2068">
            <v>9724726</v>
          </cell>
          <cell r="B2068">
            <v>310416</v>
          </cell>
          <cell r="C2068" t="str">
            <v>GIFT CARD COMMISSION</v>
          </cell>
        </row>
        <row r="2069">
          <cell r="A2069">
            <v>9725703</v>
          </cell>
          <cell r="B2069">
            <v>310416</v>
          </cell>
          <cell r="C2069" t="str">
            <v>GIFT CARD COMMISSION</v>
          </cell>
        </row>
        <row r="2070">
          <cell r="A2070">
            <v>9725704</v>
          </cell>
          <cell r="B2070">
            <v>310416</v>
          </cell>
          <cell r="C2070" t="str">
            <v>GIFT CARD COMMISSION</v>
          </cell>
        </row>
        <row r="2071">
          <cell r="A2071">
            <v>9725711</v>
          </cell>
          <cell r="B2071">
            <v>310416</v>
          </cell>
          <cell r="C2071" t="str">
            <v>GIFT CARD COMMISSION</v>
          </cell>
        </row>
        <row r="2072">
          <cell r="A2072">
            <v>9725717</v>
          </cell>
          <cell r="B2072">
            <v>310416</v>
          </cell>
          <cell r="C2072" t="str">
            <v>GIFT CARD COMMISSION</v>
          </cell>
        </row>
        <row r="2073">
          <cell r="A2073">
            <v>9725725</v>
          </cell>
          <cell r="B2073">
            <v>310416</v>
          </cell>
          <cell r="C2073" t="str">
            <v>GIFT CARD COMMISSION</v>
          </cell>
        </row>
        <row r="2074">
          <cell r="A2074">
            <v>9969681</v>
          </cell>
          <cell r="B2074">
            <v>310416</v>
          </cell>
          <cell r="C2074" t="str">
            <v>GIFT CARD COMMISSION</v>
          </cell>
        </row>
        <row r="2075">
          <cell r="A2075">
            <v>9969901</v>
          </cell>
          <cell r="B2075">
            <v>310416</v>
          </cell>
          <cell r="C2075" t="str">
            <v>GIFT CARD COMMISSION</v>
          </cell>
        </row>
        <row r="2076">
          <cell r="A2076" t="str">
            <v>ZONE-0105-POST</v>
          </cell>
          <cell r="B2076">
            <v>310416</v>
          </cell>
          <cell r="C2076" t="str">
            <v>GIFT CARD COMMISSION</v>
          </cell>
        </row>
        <row r="2077">
          <cell r="A2077" t="str">
            <v>ZONE-0112-POST</v>
          </cell>
          <cell r="B2077">
            <v>310416</v>
          </cell>
          <cell r="C2077" t="str">
            <v>GIFT CARD COMMISSION</v>
          </cell>
        </row>
        <row r="2078">
          <cell r="A2078">
            <v>8001054179</v>
          </cell>
          <cell r="B2078">
            <v>310417</v>
          </cell>
          <cell r="C2078" t="str">
            <v>GIFT CARD COMMISSION DISTRIBUTED</v>
          </cell>
        </row>
        <row r="2079">
          <cell r="A2079">
            <v>8001059542</v>
          </cell>
          <cell r="B2079">
            <v>310417</v>
          </cell>
          <cell r="C2079" t="str">
            <v>GIFT CARD COMMISSION DISTRIBUTED</v>
          </cell>
        </row>
        <row r="2080">
          <cell r="A2080">
            <v>8010512510</v>
          </cell>
          <cell r="B2080">
            <v>310417</v>
          </cell>
          <cell r="C2080" t="str">
            <v>GIFT CARD COMMISSION DISTRIBUTED</v>
          </cell>
        </row>
        <row r="2081">
          <cell r="A2081">
            <v>9050700</v>
          </cell>
          <cell r="B2081">
            <v>310417</v>
          </cell>
          <cell r="C2081" t="str">
            <v>GIFT CARD COMMISSION DISTRIBUTED</v>
          </cell>
        </row>
        <row r="2082">
          <cell r="A2082">
            <v>9050701</v>
          </cell>
          <cell r="B2082">
            <v>310417</v>
          </cell>
          <cell r="C2082" t="str">
            <v>GIFT CARD COMMISSION DISTRIBUTED</v>
          </cell>
        </row>
        <row r="2083">
          <cell r="A2083">
            <v>9050702</v>
          </cell>
          <cell r="B2083">
            <v>310417</v>
          </cell>
          <cell r="C2083" t="str">
            <v>GIFT CARD COMMISSION DISTRIBUTED</v>
          </cell>
        </row>
        <row r="2084">
          <cell r="A2084">
            <v>9050705</v>
          </cell>
          <cell r="B2084">
            <v>310417</v>
          </cell>
          <cell r="C2084" t="str">
            <v>GIFT CARD COMMISSION DISTRIBUTED</v>
          </cell>
        </row>
        <row r="2085">
          <cell r="A2085">
            <v>9050707</v>
          </cell>
          <cell r="B2085">
            <v>310417</v>
          </cell>
          <cell r="C2085" t="str">
            <v>GIFT CARD COMMISSION DISTRIBUTED</v>
          </cell>
        </row>
        <row r="2086">
          <cell r="A2086">
            <v>9050710</v>
          </cell>
          <cell r="B2086">
            <v>310417</v>
          </cell>
          <cell r="C2086" t="str">
            <v>GIFT CARD COMMISSION DISTRIBUTED</v>
          </cell>
        </row>
        <row r="2087">
          <cell r="A2087">
            <v>9050712</v>
          </cell>
          <cell r="B2087">
            <v>310417</v>
          </cell>
          <cell r="C2087" t="str">
            <v>GIFT CARD COMMISSION DISTRIBUTED</v>
          </cell>
        </row>
        <row r="2088">
          <cell r="A2088">
            <v>9050999</v>
          </cell>
          <cell r="B2088">
            <v>310417</v>
          </cell>
          <cell r="C2088" t="str">
            <v>GIFT CARD COMMISSION DISTRIBUTED</v>
          </cell>
        </row>
        <row r="2089">
          <cell r="A2089">
            <v>9051700</v>
          </cell>
          <cell r="B2089">
            <v>310417</v>
          </cell>
          <cell r="C2089" t="str">
            <v>GIFT CARD COMMISSION DISTRIBUTED</v>
          </cell>
        </row>
        <row r="2090">
          <cell r="A2090">
            <v>9051701</v>
          </cell>
          <cell r="B2090">
            <v>310417</v>
          </cell>
          <cell r="C2090" t="str">
            <v>GIFT CARD COMMISSION DISTRIBUTED</v>
          </cell>
        </row>
        <row r="2091">
          <cell r="A2091">
            <v>9051702</v>
          </cell>
          <cell r="B2091">
            <v>310417</v>
          </cell>
          <cell r="C2091" t="str">
            <v>GIFT CARD COMMISSION DISTRIBUTED</v>
          </cell>
        </row>
        <row r="2092">
          <cell r="A2092">
            <v>9051705</v>
          </cell>
          <cell r="B2092">
            <v>310417</v>
          </cell>
          <cell r="C2092" t="str">
            <v>GIFT CARD COMMISSION DISTRIBUTED</v>
          </cell>
        </row>
        <row r="2093">
          <cell r="A2093">
            <v>9051707</v>
          </cell>
          <cell r="B2093">
            <v>310417</v>
          </cell>
          <cell r="C2093" t="str">
            <v>GIFT CARD COMMISSION DISTRIBUTED</v>
          </cell>
        </row>
        <row r="2094">
          <cell r="A2094">
            <v>9051710</v>
          </cell>
          <cell r="B2094">
            <v>310417</v>
          </cell>
          <cell r="C2094" t="str">
            <v>GIFT CARD COMMISSION DISTRIBUTED</v>
          </cell>
        </row>
        <row r="2095">
          <cell r="A2095">
            <v>9051712</v>
          </cell>
          <cell r="B2095">
            <v>310417</v>
          </cell>
          <cell r="C2095" t="str">
            <v>GIFT CARD COMMISSION DISTRIBUTED</v>
          </cell>
        </row>
        <row r="2096">
          <cell r="A2096">
            <v>9080700</v>
          </cell>
          <cell r="B2096">
            <v>310417</v>
          </cell>
          <cell r="C2096" t="str">
            <v>GIFT CARD COMMISSION DISTRIBUTED</v>
          </cell>
        </row>
        <row r="2097">
          <cell r="A2097">
            <v>9080701</v>
          </cell>
          <cell r="B2097">
            <v>310417</v>
          </cell>
          <cell r="C2097" t="str">
            <v>GIFT CARD COMMISSION DISTRIBUTED</v>
          </cell>
        </row>
        <row r="2098">
          <cell r="A2098">
            <v>9080702</v>
          </cell>
          <cell r="B2098">
            <v>310417</v>
          </cell>
          <cell r="C2098" t="str">
            <v>GIFT CARD COMMISSION DISTRIBUTED</v>
          </cell>
        </row>
        <row r="2099">
          <cell r="A2099">
            <v>9080705</v>
          </cell>
          <cell r="B2099">
            <v>310417</v>
          </cell>
          <cell r="C2099" t="str">
            <v>GIFT CARD COMMISSION DISTRIBUTED</v>
          </cell>
        </row>
        <row r="2100">
          <cell r="A2100">
            <v>9080707</v>
          </cell>
          <cell r="B2100">
            <v>310417</v>
          </cell>
          <cell r="C2100" t="str">
            <v>GIFT CARD COMMISSION DISTRIBUTED</v>
          </cell>
        </row>
        <row r="2101">
          <cell r="A2101">
            <v>9080710</v>
          </cell>
          <cell r="B2101">
            <v>310417</v>
          </cell>
          <cell r="C2101" t="str">
            <v>GIFT CARD COMMISSION DISTRIBUTED</v>
          </cell>
        </row>
        <row r="2102">
          <cell r="A2102">
            <v>9090730</v>
          </cell>
          <cell r="B2102">
            <v>310417</v>
          </cell>
          <cell r="C2102" t="str">
            <v>GIFT CARD COMMISSION DISTRIBUTED</v>
          </cell>
        </row>
        <row r="2103">
          <cell r="A2103">
            <v>9090731</v>
          </cell>
          <cell r="B2103">
            <v>310417</v>
          </cell>
          <cell r="C2103" t="str">
            <v>GIFT CARD COMMISSION DISTRIBUTED</v>
          </cell>
        </row>
        <row r="2104">
          <cell r="A2104">
            <v>9090732</v>
          </cell>
          <cell r="B2104">
            <v>310417</v>
          </cell>
          <cell r="C2104" t="str">
            <v>GIFT CARD COMMISSION DISTRIBUTED</v>
          </cell>
        </row>
        <row r="2105">
          <cell r="A2105">
            <v>9090999</v>
          </cell>
          <cell r="B2105">
            <v>310417</v>
          </cell>
          <cell r="C2105" t="str">
            <v>GIFT CARD COMMISSION DISTRIBUTED</v>
          </cell>
        </row>
        <row r="2106">
          <cell r="A2106">
            <v>9100999</v>
          </cell>
          <cell r="B2106">
            <v>310417</v>
          </cell>
          <cell r="C2106" t="str">
            <v>GIFT CARD COMMISSION DISTRIBUTED</v>
          </cell>
        </row>
        <row r="2107">
          <cell r="A2107">
            <v>9110700</v>
          </cell>
          <cell r="B2107">
            <v>310417</v>
          </cell>
          <cell r="C2107" t="str">
            <v>GIFT CARD COMMISSION DISTRIBUTED</v>
          </cell>
        </row>
        <row r="2108">
          <cell r="A2108">
            <v>9110702</v>
          </cell>
          <cell r="B2108">
            <v>310417</v>
          </cell>
          <cell r="C2108" t="str">
            <v>GIFT CARD COMMISSION DISTRIBUTED</v>
          </cell>
        </row>
        <row r="2109">
          <cell r="A2109">
            <v>9110705</v>
          </cell>
          <cell r="B2109">
            <v>310417</v>
          </cell>
          <cell r="C2109" t="str">
            <v>GIFT CARD COMMISSION DISTRIBUTED</v>
          </cell>
        </row>
        <row r="2110">
          <cell r="A2110">
            <v>9110707</v>
          </cell>
          <cell r="B2110">
            <v>310417</v>
          </cell>
          <cell r="C2110" t="str">
            <v>GIFT CARD COMMISSION DISTRIBUTED</v>
          </cell>
        </row>
        <row r="2111">
          <cell r="A2111">
            <v>9680700</v>
          </cell>
          <cell r="B2111">
            <v>310417</v>
          </cell>
          <cell r="C2111" t="str">
            <v>GIFT CARD COMMISSION DISTRIBUTED</v>
          </cell>
        </row>
        <row r="2112">
          <cell r="A2112">
            <v>9680701</v>
          </cell>
          <cell r="B2112">
            <v>310417</v>
          </cell>
          <cell r="C2112" t="str">
            <v>GIFT CARD COMMISSION DISTRIBUTED</v>
          </cell>
        </row>
        <row r="2113">
          <cell r="A2113">
            <v>9680702</v>
          </cell>
          <cell r="B2113">
            <v>310417</v>
          </cell>
          <cell r="C2113" t="str">
            <v>GIFT CARD COMMISSION DISTRIBUTED</v>
          </cell>
        </row>
        <row r="2114">
          <cell r="A2114">
            <v>9680705</v>
          </cell>
          <cell r="B2114">
            <v>310417</v>
          </cell>
          <cell r="C2114" t="str">
            <v>GIFT CARD COMMISSION DISTRIBUTED</v>
          </cell>
        </row>
        <row r="2115">
          <cell r="A2115">
            <v>9680707</v>
          </cell>
          <cell r="B2115">
            <v>310417</v>
          </cell>
          <cell r="C2115" t="str">
            <v>GIFT CARD COMMISSION DISTRIBUTED</v>
          </cell>
        </row>
        <row r="2116">
          <cell r="A2116">
            <v>9680710</v>
          </cell>
          <cell r="B2116">
            <v>310417</v>
          </cell>
          <cell r="C2116" t="str">
            <v>GIFT CARD COMMISSION DISTRIBUTED</v>
          </cell>
        </row>
        <row r="2117">
          <cell r="A2117">
            <v>9680712</v>
          </cell>
          <cell r="B2117">
            <v>310417</v>
          </cell>
          <cell r="C2117" t="str">
            <v>GIFT CARD COMMISSION DISTRIBUTED</v>
          </cell>
        </row>
        <row r="2118">
          <cell r="A2118">
            <v>9680714</v>
          </cell>
          <cell r="B2118">
            <v>310417</v>
          </cell>
          <cell r="C2118" t="str">
            <v>GIFT CARD COMMISSION DISTRIBUTED</v>
          </cell>
        </row>
        <row r="2119">
          <cell r="A2119">
            <v>9680734</v>
          </cell>
          <cell r="B2119">
            <v>310417</v>
          </cell>
          <cell r="C2119" t="str">
            <v>GIFT CARD COMMISSION DISTRIBUTED</v>
          </cell>
        </row>
        <row r="2120">
          <cell r="A2120">
            <v>9680748</v>
          </cell>
          <cell r="B2120">
            <v>310417</v>
          </cell>
          <cell r="C2120" t="str">
            <v>GIFT CARD COMMISSION DISTRIBUTED</v>
          </cell>
        </row>
        <row r="2121">
          <cell r="A2121">
            <v>9680749</v>
          </cell>
          <cell r="B2121">
            <v>310417</v>
          </cell>
          <cell r="C2121" t="str">
            <v>GIFT CARD COMMISSION DISTRIBUTED</v>
          </cell>
        </row>
        <row r="2122">
          <cell r="A2122">
            <v>9680894</v>
          </cell>
          <cell r="B2122">
            <v>310417</v>
          </cell>
          <cell r="C2122" t="str">
            <v>GIFT CARD COMMISSION DISTRIBUTED</v>
          </cell>
        </row>
        <row r="2123">
          <cell r="A2123">
            <v>9680999</v>
          </cell>
          <cell r="B2123">
            <v>310417</v>
          </cell>
          <cell r="C2123" t="str">
            <v>GIFT CARD COMMISSION DISTRIBUTED</v>
          </cell>
        </row>
        <row r="2124">
          <cell r="A2124">
            <v>9681700</v>
          </cell>
          <cell r="B2124">
            <v>310417</v>
          </cell>
          <cell r="C2124" t="str">
            <v>GIFT CARD COMMISSION DISTRIBUTED</v>
          </cell>
        </row>
        <row r="2125">
          <cell r="A2125">
            <v>9681701</v>
          </cell>
          <cell r="B2125">
            <v>310417</v>
          </cell>
          <cell r="C2125" t="str">
            <v>GIFT CARD COMMISSION DISTRIBUTED</v>
          </cell>
        </row>
        <row r="2126">
          <cell r="A2126">
            <v>9681702</v>
          </cell>
          <cell r="B2126">
            <v>310417</v>
          </cell>
          <cell r="C2126" t="str">
            <v>GIFT CARD COMMISSION DISTRIBUTED</v>
          </cell>
        </row>
        <row r="2127">
          <cell r="A2127">
            <v>9681705</v>
          </cell>
          <cell r="B2127">
            <v>310417</v>
          </cell>
          <cell r="C2127" t="str">
            <v>GIFT CARD COMMISSION DISTRIBUTED</v>
          </cell>
        </row>
        <row r="2128">
          <cell r="A2128">
            <v>9681706</v>
          </cell>
          <cell r="B2128">
            <v>310417</v>
          </cell>
          <cell r="C2128" t="str">
            <v>GIFT CARD COMMISSION DISTRIBUTED</v>
          </cell>
        </row>
        <row r="2129">
          <cell r="A2129">
            <v>9681707</v>
          </cell>
          <cell r="B2129">
            <v>310417</v>
          </cell>
          <cell r="C2129" t="str">
            <v>GIFT CARD COMMISSION DISTRIBUTED</v>
          </cell>
        </row>
        <row r="2130">
          <cell r="A2130">
            <v>9681710</v>
          </cell>
          <cell r="B2130">
            <v>310417</v>
          </cell>
          <cell r="C2130" t="str">
            <v>GIFT CARD COMMISSION DISTRIBUTED</v>
          </cell>
        </row>
        <row r="2131">
          <cell r="A2131">
            <v>9681712</v>
          </cell>
          <cell r="B2131">
            <v>310417</v>
          </cell>
          <cell r="C2131" t="str">
            <v>GIFT CARD COMMISSION DISTRIBUTED</v>
          </cell>
        </row>
        <row r="2132">
          <cell r="A2132">
            <v>9681714</v>
          </cell>
          <cell r="B2132">
            <v>310417</v>
          </cell>
          <cell r="C2132" t="str">
            <v>GIFT CARD COMMISSION DISTRIBUTED</v>
          </cell>
        </row>
        <row r="2133">
          <cell r="A2133">
            <v>9681716</v>
          </cell>
          <cell r="B2133">
            <v>310417</v>
          </cell>
          <cell r="C2133" t="str">
            <v>GIFT CARD COMMISSION DISTRIBUTED</v>
          </cell>
        </row>
        <row r="2134">
          <cell r="A2134">
            <v>9681727</v>
          </cell>
          <cell r="B2134">
            <v>310417</v>
          </cell>
          <cell r="C2134" t="str">
            <v>GIFT CARD COMMISSION DISTRIBUTED</v>
          </cell>
        </row>
        <row r="2135">
          <cell r="A2135">
            <v>9681734</v>
          </cell>
          <cell r="B2135">
            <v>310417</v>
          </cell>
          <cell r="C2135" t="str">
            <v>GIFT CARD COMMISSION DISTRIBUTED</v>
          </cell>
        </row>
        <row r="2136">
          <cell r="A2136">
            <v>9681748</v>
          </cell>
          <cell r="B2136">
            <v>310417</v>
          </cell>
          <cell r="C2136" t="str">
            <v>GIFT CARD COMMISSION DISTRIBUTED</v>
          </cell>
        </row>
        <row r="2137">
          <cell r="A2137">
            <v>9681749</v>
          </cell>
          <cell r="B2137">
            <v>310417</v>
          </cell>
          <cell r="C2137" t="str">
            <v>GIFT CARD COMMISSION DISTRIBUTED</v>
          </cell>
        </row>
        <row r="2138">
          <cell r="A2138">
            <v>9681894</v>
          </cell>
          <cell r="B2138">
            <v>310417</v>
          </cell>
          <cell r="C2138" t="str">
            <v>GIFT CARD COMMISSION DISTRIBUTED</v>
          </cell>
        </row>
        <row r="2139">
          <cell r="A2139">
            <v>9681999</v>
          </cell>
          <cell r="B2139">
            <v>310417</v>
          </cell>
          <cell r="C2139" t="str">
            <v>GIFT CARD COMMISSION DISTRIBUTED</v>
          </cell>
        </row>
        <row r="2140">
          <cell r="A2140">
            <v>9682715</v>
          </cell>
          <cell r="B2140">
            <v>310417</v>
          </cell>
          <cell r="C2140" t="str">
            <v>GIFT CARD COMMISSION DISTRIBUTED</v>
          </cell>
        </row>
        <row r="2141">
          <cell r="A2141">
            <v>9682722</v>
          </cell>
          <cell r="B2141">
            <v>310417</v>
          </cell>
          <cell r="C2141" t="str">
            <v>GIFT CARD COMMISSION DISTRIBUTED</v>
          </cell>
        </row>
        <row r="2142">
          <cell r="A2142">
            <v>9682999</v>
          </cell>
          <cell r="B2142">
            <v>310417</v>
          </cell>
          <cell r="C2142" t="str">
            <v>GIFT CARD COMMISSION DISTRIBUTED</v>
          </cell>
        </row>
        <row r="2143">
          <cell r="A2143">
            <v>9683999</v>
          </cell>
          <cell r="B2143">
            <v>310417</v>
          </cell>
          <cell r="C2143" t="str">
            <v>GIFT CARD COMMISSION DISTRIBUTED</v>
          </cell>
        </row>
        <row r="2144">
          <cell r="A2144">
            <v>9684999</v>
          </cell>
          <cell r="B2144">
            <v>310417</v>
          </cell>
          <cell r="C2144" t="str">
            <v>GIFT CARD COMMISSION DISTRIBUTED</v>
          </cell>
        </row>
        <row r="2145">
          <cell r="A2145">
            <v>9685999</v>
          </cell>
          <cell r="B2145">
            <v>310417</v>
          </cell>
          <cell r="C2145" t="str">
            <v>GIFT CARD COMMISSION DISTRIBUTED</v>
          </cell>
        </row>
        <row r="2146">
          <cell r="A2146">
            <v>9689692</v>
          </cell>
          <cell r="B2146">
            <v>310417</v>
          </cell>
          <cell r="C2146" t="str">
            <v>GIFT CARD COMMISSION DISTRIBUTED</v>
          </cell>
        </row>
        <row r="2147">
          <cell r="A2147">
            <v>9689747</v>
          </cell>
          <cell r="B2147">
            <v>310417</v>
          </cell>
          <cell r="C2147" t="str">
            <v>GIFT CARD COMMISSION DISTRIBUTED</v>
          </cell>
        </row>
        <row r="2148">
          <cell r="A2148">
            <v>9689883</v>
          </cell>
          <cell r="B2148">
            <v>310417</v>
          </cell>
          <cell r="C2148" t="str">
            <v>GIFT CARD COMMISSION DISTRIBUTED</v>
          </cell>
        </row>
        <row r="2149">
          <cell r="A2149">
            <v>9689890</v>
          </cell>
          <cell r="B2149">
            <v>310417</v>
          </cell>
          <cell r="C2149" t="str">
            <v>GIFT CARD COMMISSION DISTRIBUTED</v>
          </cell>
        </row>
        <row r="2150">
          <cell r="A2150">
            <v>9689906</v>
          </cell>
          <cell r="B2150">
            <v>310417</v>
          </cell>
          <cell r="C2150" t="str">
            <v>GIFT CARD COMMISSION DISTRIBUTED</v>
          </cell>
        </row>
        <row r="2151">
          <cell r="A2151">
            <v>9689925</v>
          </cell>
          <cell r="B2151">
            <v>310417</v>
          </cell>
          <cell r="C2151" t="str">
            <v>GIFT CARD COMMISSION DISTRIBUTED</v>
          </cell>
        </row>
        <row r="2152">
          <cell r="A2152">
            <v>9689990</v>
          </cell>
          <cell r="B2152">
            <v>310417</v>
          </cell>
          <cell r="C2152" t="str">
            <v>GIFT CARD COMMISSION DISTRIBUTED</v>
          </cell>
        </row>
        <row r="2153">
          <cell r="A2153">
            <v>9689991</v>
          </cell>
          <cell r="B2153">
            <v>310417</v>
          </cell>
          <cell r="C2153" t="str">
            <v>GIFT CARD COMMISSION DISTRIBUTED</v>
          </cell>
        </row>
        <row r="2154">
          <cell r="A2154">
            <v>9689992</v>
          </cell>
          <cell r="B2154">
            <v>310417</v>
          </cell>
          <cell r="C2154" t="str">
            <v>GIFT CARD COMMISSION DISTRIBUTED</v>
          </cell>
        </row>
        <row r="2155">
          <cell r="A2155">
            <v>9689993</v>
          </cell>
          <cell r="B2155">
            <v>310417</v>
          </cell>
          <cell r="C2155" t="str">
            <v>GIFT CARD COMMISSION DISTRIBUTED</v>
          </cell>
        </row>
        <row r="2156">
          <cell r="A2156">
            <v>9689994</v>
          </cell>
          <cell r="B2156">
            <v>310417</v>
          </cell>
          <cell r="C2156" t="str">
            <v>GIFT CARD COMMISSION DISTRIBUTED</v>
          </cell>
        </row>
        <row r="2157">
          <cell r="A2157">
            <v>9689999</v>
          </cell>
          <cell r="B2157">
            <v>310417</v>
          </cell>
          <cell r="C2157" t="str">
            <v>GIFT CARD COMMISSION DISTRIBUTED</v>
          </cell>
        </row>
        <row r="2158">
          <cell r="A2158">
            <v>9720703</v>
          </cell>
          <cell r="B2158">
            <v>310417</v>
          </cell>
          <cell r="C2158" t="str">
            <v>GIFT CARD COMMISSION DISTRIBUTED</v>
          </cell>
        </row>
        <row r="2159">
          <cell r="A2159">
            <v>9720704</v>
          </cell>
          <cell r="B2159">
            <v>310417</v>
          </cell>
          <cell r="C2159" t="str">
            <v>GIFT CARD COMMISSION DISTRIBUTED</v>
          </cell>
        </row>
        <row r="2160">
          <cell r="A2160">
            <v>9720716</v>
          </cell>
          <cell r="B2160">
            <v>310417</v>
          </cell>
          <cell r="C2160" t="str">
            <v>GIFT CARD COMMISSION DISTRIBUTED</v>
          </cell>
        </row>
        <row r="2161">
          <cell r="A2161">
            <v>9722708</v>
          </cell>
          <cell r="B2161">
            <v>310417</v>
          </cell>
          <cell r="C2161" t="str">
            <v>GIFT CARD COMMISSION DISTRIBUTED</v>
          </cell>
        </row>
        <row r="2162">
          <cell r="A2162">
            <v>9722709</v>
          </cell>
          <cell r="B2162">
            <v>310417</v>
          </cell>
          <cell r="C2162" t="str">
            <v>GIFT CARD COMMISSION DISTRIBUTED</v>
          </cell>
        </row>
        <row r="2163">
          <cell r="A2163">
            <v>9722713</v>
          </cell>
          <cell r="B2163">
            <v>310417</v>
          </cell>
          <cell r="C2163" t="str">
            <v>GIFT CARD COMMISSION DISTRIBUTED</v>
          </cell>
        </row>
        <row r="2164">
          <cell r="A2164">
            <v>9723723</v>
          </cell>
          <cell r="B2164">
            <v>310417</v>
          </cell>
          <cell r="C2164" t="str">
            <v>GIFT CARD COMMISSION DISTRIBUTED</v>
          </cell>
        </row>
        <row r="2165">
          <cell r="A2165">
            <v>9723729</v>
          </cell>
          <cell r="B2165">
            <v>310417</v>
          </cell>
          <cell r="C2165" t="str">
            <v>GIFT CARD COMMISSION DISTRIBUTED</v>
          </cell>
        </row>
        <row r="2166">
          <cell r="A2166">
            <v>9724718</v>
          </cell>
          <cell r="B2166">
            <v>310417</v>
          </cell>
          <cell r="C2166" t="str">
            <v>GIFT CARD COMMISSION DISTRIBUTED</v>
          </cell>
        </row>
        <row r="2167">
          <cell r="A2167">
            <v>9724721</v>
          </cell>
          <cell r="B2167">
            <v>310417</v>
          </cell>
          <cell r="C2167" t="str">
            <v>GIFT CARD COMMISSION DISTRIBUTED</v>
          </cell>
        </row>
        <row r="2168">
          <cell r="A2168">
            <v>9724724</v>
          </cell>
          <cell r="B2168">
            <v>310417</v>
          </cell>
          <cell r="C2168" t="str">
            <v>GIFT CARD COMMISSION DISTRIBUTED</v>
          </cell>
        </row>
        <row r="2169">
          <cell r="A2169">
            <v>9724726</v>
          </cell>
          <cell r="B2169">
            <v>310417</v>
          </cell>
          <cell r="C2169" t="str">
            <v>GIFT CARD COMMISSION DISTRIBUTED</v>
          </cell>
        </row>
        <row r="2170">
          <cell r="A2170">
            <v>9725703</v>
          </cell>
          <cell r="B2170">
            <v>310417</v>
          </cell>
          <cell r="C2170" t="str">
            <v>GIFT CARD COMMISSION DISTRIBUTED</v>
          </cell>
        </row>
        <row r="2171">
          <cell r="A2171">
            <v>9725704</v>
          </cell>
          <cell r="B2171">
            <v>310417</v>
          </cell>
          <cell r="C2171" t="str">
            <v>GIFT CARD COMMISSION DISTRIBUTED</v>
          </cell>
        </row>
        <row r="2172">
          <cell r="A2172">
            <v>9725711</v>
          </cell>
          <cell r="B2172">
            <v>310417</v>
          </cell>
          <cell r="C2172" t="str">
            <v>GIFT CARD COMMISSION DISTRIBUTED</v>
          </cell>
        </row>
        <row r="2173">
          <cell r="A2173">
            <v>9725717</v>
          </cell>
          <cell r="B2173">
            <v>310417</v>
          </cell>
          <cell r="C2173" t="str">
            <v>GIFT CARD COMMISSION DISTRIBUTED</v>
          </cell>
        </row>
        <row r="2174">
          <cell r="A2174">
            <v>9725725</v>
          </cell>
          <cell r="B2174">
            <v>310417</v>
          </cell>
          <cell r="C2174" t="str">
            <v>GIFT CARD COMMISSION DISTRIBUTED</v>
          </cell>
        </row>
        <row r="2175">
          <cell r="A2175">
            <v>9969681</v>
          </cell>
          <cell r="B2175">
            <v>310417</v>
          </cell>
          <cell r="C2175" t="str">
            <v>GIFT CARD COMMISSION DISTRIBUTED</v>
          </cell>
        </row>
        <row r="2176">
          <cell r="A2176">
            <v>9969901</v>
          </cell>
          <cell r="B2176">
            <v>310417</v>
          </cell>
          <cell r="C2176" t="str">
            <v>GIFT CARD COMMISSION DISTRIBUTED</v>
          </cell>
        </row>
        <row r="2177">
          <cell r="A2177" t="str">
            <v>ZONE-0105-POST</v>
          </cell>
          <cell r="B2177">
            <v>310417</v>
          </cell>
          <cell r="C2177" t="str">
            <v>GIFT CARD COMMISSION DISTRIBUTED</v>
          </cell>
        </row>
        <row r="2178">
          <cell r="A2178" t="str">
            <v>ZONE-0112-POST</v>
          </cell>
          <cell r="B2178">
            <v>310417</v>
          </cell>
          <cell r="C2178" t="str">
            <v>GIFT CARD COMMISSION DISTRIBUTED</v>
          </cell>
        </row>
        <row r="2179">
          <cell r="A2179">
            <v>8001054179</v>
          </cell>
          <cell r="B2179">
            <v>310418</v>
          </cell>
          <cell r="C2179" t="str">
            <v>GIFT CARD COMMISSION ADJUSTMENTS</v>
          </cell>
        </row>
        <row r="2180">
          <cell r="A2180">
            <v>8001059542</v>
          </cell>
          <cell r="B2180">
            <v>310418</v>
          </cell>
          <cell r="C2180" t="str">
            <v>GIFT CARD COMMISSION ADJUSTMENTS</v>
          </cell>
        </row>
        <row r="2181">
          <cell r="A2181">
            <v>8010512510</v>
          </cell>
          <cell r="B2181">
            <v>310418</v>
          </cell>
          <cell r="C2181" t="str">
            <v>GIFT CARD COMMISSION ADJUSTMENTS</v>
          </cell>
        </row>
        <row r="2182">
          <cell r="A2182">
            <v>9080700</v>
          </cell>
          <cell r="B2182">
            <v>310418</v>
          </cell>
          <cell r="C2182" t="str">
            <v>GIFT CARD COMMISSION ADJUSTMENTS</v>
          </cell>
        </row>
        <row r="2183">
          <cell r="A2183">
            <v>9080701</v>
          </cell>
          <cell r="B2183">
            <v>310418</v>
          </cell>
          <cell r="C2183" t="str">
            <v>GIFT CARD COMMISSION ADJUSTMENTS</v>
          </cell>
        </row>
        <row r="2184">
          <cell r="A2184">
            <v>9080702</v>
          </cell>
          <cell r="B2184">
            <v>310418</v>
          </cell>
          <cell r="C2184" t="str">
            <v>GIFT CARD COMMISSION ADJUSTMENTS</v>
          </cell>
        </row>
        <row r="2185">
          <cell r="A2185">
            <v>9080705</v>
          </cell>
          <cell r="B2185">
            <v>310418</v>
          </cell>
          <cell r="C2185" t="str">
            <v>GIFT CARD COMMISSION ADJUSTMENTS</v>
          </cell>
        </row>
        <row r="2186">
          <cell r="A2186">
            <v>9080707</v>
          </cell>
          <cell r="B2186">
            <v>310418</v>
          </cell>
          <cell r="C2186" t="str">
            <v>GIFT CARD COMMISSION ADJUSTMENTS</v>
          </cell>
        </row>
        <row r="2187">
          <cell r="A2187">
            <v>9080710</v>
          </cell>
          <cell r="B2187">
            <v>310418</v>
          </cell>
          <cell r="C2187" t="str">
            <v>GIFT CARD COMMISSION ADJUSTMENTS</v>
          </cell>
        </row>
        <row r="2188">
          <cell r="A2188">
            <v>9090999</v>
          </cell>
          <cell r="B2188">
            <v>310418</v>
          </cell>
          <cell r="C2188" t="str">
            <v>GIFT CARD COMMISSION ADJUSTMENTS</v>
          </cell>
        </row>
        <row r="2189">
          <cell r="A2189">
            <v>9100999</v>
          </cell>
          <cell r="B2189">
            <v>310418</v>
          </cell>
          <cell r="C2189" t="str">
            <v>GIFT CARD COMMISSION ADJUSTMENTS</v>
          </cell>
        </row>
        <row r="2190">
          <cell r="A2190">
            <v>9110700</v>
          </cell>
          <cell r="B2190">
            <v>310418</v>
          </cell>
          <cell r="C2190" t="str">
            <v>GIFT CARD COMMISSION ADJUSTMENTS</v>
          </cell>
        </row>
        <row r="2191">
          <cell r="A2191">
            <v>9110702</v>
          </cell>
          <cell r="B2191">
            <v>310418</v>
          </cell>
          <cell r="C2191" t="str">
            <v>GIFT CARD COMMISSION ADJUSTMENTS</v>
          </cell>
        </row>
        <row r="2192">
          <cell r="A2192">
            <v>9110705</v>
          </cell>
          <cell r="B2192">
            <v>310418</v>
          </cell>
          <cell r="C2192" t="str">
            <v>GIFT CARD COMMISSION ADJUSTMENTS</v>
          </cell>
        </row>
        <row r="2193">
          <cell r="A2193">
            <v>9110707</v>
          </cell>
          <cell r="B2193">
            <v>310418</v>
          </cell>
          <cell r="C2193" t="str">
            <v>GIFT CARD COMMISSION ADJUSTMENTS</v>
          </cell>
        </row>
        <row r="2194">
          <cell r="A2194">
            <v>9680700</v>
          </cell>
          <cell r="B2194">
            <v>310418</v>
          </cell>
          <cell r="C2194" t="str">
            <v>GIFT CARD COMMISSION ADJUSTMENTS</v>
          </cell>
        </row>
        <row r="2195">
          <cell r="A2195">
            <v>9680701</v>
          </cell>
          <cell r="B2195">
            <v>310418</v>
          </cell>
          <cell r="C2195" t="str">
            <v>GIFT CARD COMMISSION ADJUSTMENTS</v>
          </cell>
        </row>
        <row r="2196">
          <cell r="A2196">
            <v>9680702</v>
          </cell>
          <cell r="B2196">
            <v>310418</v>
          </cell>
          <cell r="C2196" t="str">
            <v>GIFT CARD COMMISSION ADJUSTMENTS</v>
          </cell>
        </row>
        <row r="2197">
          <cell r="A2197">
            <v>9680705</v>
          </cell>
          <cell r="B2197">
            <v>310418</v>
          </cell>
          <cell r="C2197" t="str">
            <v>GIFT CARD COMMISSION ADJUSTMENTS</v>
          </cell>
        </row>
        <row r="2198">
          <cell r="A2198">
            <v>9680707</v>
          </cell>
          <cell r="B2198">
            <v>310418</v>
          </cell>
          <cell r="C2198" t="str">
            <v>GIFT CARD COMMISSION ADJUSTMENTS</v>
          </cell>
        </row>
        <row r="2199">
          <cell r="A2199">
            <v>9680710</v>
          </cell>
          <cell r="B2199">
            <v>310418</v>
          </cell>
          <cell r="C2199" t="str">
            <v>GIFT CARD COMMISSION ADJUSTMENTS</v>
          </cell>
        </row>
        <row r="2200">
          <cell r="A2200">
            <v>9680712</v>
          </cell>
          <cell r="B2200">
            <v>310418</v>
          </cell>
          <cell r="C2200" t="str">
            <v>GIFT CARD COMMISSION ADJUSTMENTS</v>
          </cell>
        </row>
        <row r="2201">
          <cell r="A2201">
            <v>9680734</v>
          </cell>
          <cell r="B2201">
            <v>310418</v>
          </cell>
          <cell r="C2201" t="str">
            <v>GIFT CARD COMMISSION ADJUSTMENTS</v>
          </cell>
        </row>
        <row r="2202">
          <cell r="A2202">
            <v>9680748</v>
          </cell>
          <cell r="B2202">
            <v>310418</v>
          </cell>
          <cell r="C2202" t="str">
            <v>GIFT CARD COMMISSION ADJUSTMENTS</v>
          </cell>
        </row>
        <row r="2203">
          <cell r="A2203">
            <v>9680749</v>
          </cell>
          <cell r="B2203">
            <v>310418</v>
          </cell>
          <cell r="C2203" t="str">
            <v>GIFT CARD COMMISSION ADJUSTMENTS</v>
          </cell>
        </row>
        <row r="2204">
          <cell r="A2204">
            <v>9680894</v>
          </cell>
          <cell r="B2204">
            <v>310418</v>
          </cell>
          <cell r="C2204" t="str">
            <v>GIFT CARD COMMISSION ADJUSTMENTS</v>
          </cell>
        </row>
        <row r="2205">
          <cell r="A2205">
            <v>9680999</v>
          </cell>
          <cell r="B2205">
            <v>310418</v>
          </cell>
          <cell r="C2205" t="str">
            <v>GIFT CARD COMMISSION ADJUSTMENTS</v>
          </cell>
        </row>
        <row r="2206">
          <cell r="A2206">
            <v>9681700</v>
          </cell>
          <cell r="B2206">
            <v>310418</v>
          </cell>
          <cell r="C2206" t="str">
            <v>GIFT CARD COMMISSION ADJUSTMENTS</v>
          </cell>
        </row>
        <row r="2207">
          <cell r="A2207">
            <v>9681701</v>
          </cell>
          <cell r="B2207">
            <v>310418</v>
          </cell>
          <cell r="C2207" t="str">
            <v>GIFT CARD COMMISSION ADJUSTMENTS</v>
          </cell>
        </row>
        <row r="2208">
          <cell r="A2208">
            <v>9681702</v>
          </cell>
          <cell r="B2208">
            <v>310418</v>
          </cell>
          <cell r="C2208" t="str">
            <v>GIFT CARD COMMISSION ADJUSTMENTS</v>
          </cell>
        </row>
        <row r="2209">
          <cell r="A2209">
            <v>9681705</v>
          </cell>
          <cell r="B2209">
            <v>310418</v>
          </cell>
          <cell r="C2209" t="str">
            <v>GIFT CARD COMMISSION ADJUSTMENTS</v>
          </cell>
        </row>
        <row r="2210">
          <cell r="A2210">
            <v>9681707</v>
          </cell>
          <cell r="B2210">
            <v>310418</v>
          </cell>
          <cell r="C2210" t="str">
            <v>GIFT CARD COMMISSION ADJUSTMENTS</v>
          </cell>
        </row>
        <row r="2211">
          <cell r="A2211">
            <v>9681710</v>
          </cell>
          <cell r="B2211">
            <v>310418</v>
          </cell>
          <cell r="C2211" t="str">
            <v>GIFT CARD COMMISSION ADJUSTMENTS</v>
          </cell>
        </row>
        <row r="2212">
          <cell r="A2212">
            <v>9681712</v>
          </cell>
          <cell r="B2212">
            <v>310418</v>
          </cell>
          <cell r="C2212" t="str">
            <v>GIFT CARD COMMISSION ADJUSTMENTS</v>
          </cell>
        </row>
        <row r="2213">
          <cell r="A2213">
            <v>9681734</v>
          </cell>
          <cell r="B2213">
            <v>310418</v>
          </cell>
          <cell r="C2213" t="str">
            <v>GIFT CARD COMMISSION ADJUSTMENTS</v>
          </cell>
        </row>
        <row r="2214">
          <cell r="A2214">
            <v>9681748</v>
          </cell>
          <cell r="B2214">
            <v>310418</v>
          </cell>
          <cell r="C2214" t="str">
            <v>GIFT CARD COMMISSION ADJUSTMENTS</v>
          </cell>
        </row>
        <row r="2215">
          <cell r="A2215">
            <v>9681749</v>
          </cell>
          <cell r="B2215">
            <v>310418</v>
          </cell>
          <cell r="C2215" t="str">
            <v>GIFT CARD COMMISSION ADJUSTMENTS</v>
          </cell>
        </row>
        <row r="2216">
          <cell r="A2216">
            <v>9681894</v>
          </cell>
          <cell r="B2216">
            <v>310418</v>
          </cell>
          <cell r="C2216" t="str">
            <v>GIFT CARD COMMISSION ADJUSTMENTS</v>
          </cell>
        </row>
        <row r="2217">
          <cell r="A2217">
            <v>9681999</v>
          </cell>
          <cell r="B2217">
            <v>310418</v>
          </cell>
          <cell r="C2217" t="str">
            <v>GIFT CARD COMMISSION ADJUSTMENTS</v>
          </cell>
        </row>
        <row r="2218">
          <cell r="A2218">
            <v>9682999</v>
          </cell>
          <cell r="B2218">
            <v>310418</v>
          </cell>
          <cell r="C2218" t="str">
            <v>GIFT CARD COMMISSION ADJUSTMENTS</v>
          </cell>
        </row>
        <row r="2219">
          <cell r="A2219">
            <v>9969681</v>
          </cell>
          <cell r="B2219">
            <v>310418</v>
          </cell>
          <cell r="C2219" t="str">
            <v>GIFT CARD COMMISSION ADJUSTMENTS</v>
          </cell>
        </row>
        <row r="2220">
          <cell r="A2220">
            <v>9969901</v>
          </cell>
          <cell r="B2220">
            <v>310418</v>
          </cell>
          <cell r="C2220" t="str">
            <v>GIFT CARD COMMISSION ADJUSTMENTS</v>
          </cell>
        </row>
        <row r="2221">
          <cell r="A2221" t="str">
            <v>ZONE-0105-POST</v>
          </cell>
          <cell r="B2221">
            <v>310418</v>
          </cell>
          <cell r="C2221" t="str">
            <v>GIFT CARD COMMISSION ADJUSTMENTS</v>
          </cell>
        </row>
        <row r="2222">
          <cell r="A2222" t="str">
            <v>ZONE-0112-POST</v>
          </cell>
          <cell r="B2222">
            <v>310418</v>
          </cell>
          <cell r="C2222" t="str">
            <v>GIFT CARD COMMISSION ADJUSTMENTS</v>
          </cell>
        </row>
        <row r="2223">
          <cell r="A2223">
            <v>9050702</v>
          </cell>
          <cell r="B2223">
            <v>310419</v>
          </cell>
          <cell r="C2223" t="str">
            <v>CARD PARTNER GIFT CARD FEES</v>
          </cell>
        </row>
        <row r="2224">
          <cell r="A2224">
            <v>9050712</v>
          </cell>
          <cell r="B2224">
            <v>310419</v>
          </cell>
          <cell r="C2224" t="str">
            <v>CARD PARTNER GIFT CARD FEES</v>
          </cell>
        </row>
        <row r="2225">
          <cell r="A2225">
            <v>9051702</v>
          </cell>
          <cell r="B2225">
            <v>310419</v>
          </cell>
          <cell r="C2225" t="str">
            <v>CARD PARTNER GIFT CARD FEES</v>
          </cell>
        </row>
        <row r="2226">
          <cell r="A2226">
            <v>9051712</v>
          </cell>
          <cell r="B2226">
            <v>310419</v>
          </cell>
          <cell r="C2226" t="str">
            <v>CARD PARTNER GIFT CARD FEES</v>
          </cell>
        </row>
        <row r="2227">
          <cell r="A2227">
            <v>9080700</v>
          </cell>
          <cell r="B2227">
            <v>310419</v>
          </cell>
          <cell r="C2227" t="str">
            <v>CARD PARTNER GIFT CARD FEES</v>
          </cell>
        </row>
        <row r="2228">
          <cell r="A2228">
            <v>9080701</v>
          </cell>
          <cell r="B2228">
            <v>310419</v>
          </cell>
          <cell r="C2228" t="str">
            <v>CARD PARTNER GIFT CARD FEES</v>
          </cell>
        </row>
        <row r="2229">
          <cell r="A2229">
            <v>9080702</v>
          </cell>
          <cell r="B2229">
            <v>310419</v>
          </cell>
          <cell r="C2229" t="str">
            <v>CARD PARTNER GIFT CARD FEES</v>
          </cell>
        </row>
        <row r="2230">
          <cell r="A2230">
            <v>9080705</v>
          </cell>
          <cell r="B2230">
            <v>310419</v>
          </cell>
          <cell r="C2230" t="str">
            <v>CARD PARTNER GIFT CARD FEES</v>
          </cell>
        </row>
        <row r="2231">
          <cell r="A2231">
            <v>9080707</v>
          </cell>
          <cell r="B2231">
            <v>310419</v>
          </cell>
          <cell r="C2231" t="str">
            <v>CARD PARTNER GIFT CARD FEES</v>
          </cell>
        </row>
        <row r="2232">
          <cell r="A2232">
            <v>9080710</v>
          </cell>
          <cell r="B2232">
            <v>310419</v>
          </cell>
          <cell r="C2232" t="str">
            <v>CARD PARTNER GIFT CARD FEES</v>
          </cell>
        </row>
        <row r="2233">
          <cell r="A2233">
            <v>9080712</v>
          </cell>
          <cell r="B2233">
            <v>310419</v>
          </cell>
          <cell r="C2233" t="str">
            <v>CARD PARTNER GIFT CARD FEES</v>
          </cell>
        </row>
        <row r="2234">
          <cell r="A2234">
            <v>9080999</v>
          </cell>
          <cell r="B2234">
            <v>310419</v>
          </cell>
          <cell r="C2234" t="str">
            <v>CARD PARTNER GIFT CARD FEES</v>
          </cell>
        </row>
        <row r="2235">
          <cell r="A2235">
            <v>9090730</v>
          </cell>
          <cell r="B2235">
            <v>310419</v>
          </cell>
          <cell r="C2235" t="str">
            <v>CARD PARTNER GIFT CARD FEES</v>
          </cell>
        </row>
        <row r="2236">
          <cell r="A2236">
            <v>9090731</v>
          </cell>
          <cell r="B2236">
            <v>310419</v>
          </cell>
          <cell r="C2236" t="str">
            <v>CARD PARTNER GIFT CARD FEES</v>
          </cell>
        </row>
        <row r="2237">
          <cell r="A2237">
            <v>9090732</v>
          </cell>
          <cell r="B2237">
            <v>310419</v>
          </cell>
          <cell r="C2237" t="str">
            <v>CARD PARTNER GIFT CARD FEES</v>
          </cell>
        </row>
        <row r="2238">
          <cell r="A2238">
            <v>9110700</v>
          </cell>
          <cell r="B2238">
            <v>310419</v>
          </cell>
          <cell r="C2238" t="str">
            <v>CARD PARTNER GIFT CARD FEES</v>
          </cell>
        </row>
        <row r="2239">
          <cell r="A2239">
            <v>9110702</v>
          </cell>
          <cell r="B2239">
            <v>310419</v>
          </cell>
          <cell r="C2239" t="str">
            <v>CARD PARTNER GIFT CARD FEES</v>
          </cell>
        </row>
        <row r="2240">
          <cell r="A2240">
            <v>9110705</v>
          </cell>
          <cell r="B2240">
            <v>310419</v>
          </cell>
          <cell r="C2240" t="str">
            <v>CARD PARTNER GIFT CARD FEES</v>
          </cell>
        </row>
        <row r="2241">
          <cell r="A2241">
            <v>9110707</v>
          </cell>
          <cell r="B2241">
            <v>310419</v>
          </cell>
          <cell r="C2241" t="str">
            <v>CARD PARTNER GIFT CARD FEES</v>
          </cell>
        </row>
        <row r="2242">
          <cell r="A2242">
            <v>9110712</v>
          </cell>
          <cell r="B2242">
            <v>310419</v>
          </cell>
          <cell r="C2242" t="str">
            <v>CARD PARTNER GIFT CARD FEES</v>
          </cell>
        </row>
        <row r="2243">
          <cell r="A2243">
            <v>9110999</v>
          </cell>
          <cell r="B2243">
            <v>310419</v>
          </cell>
          <cell r="C2243" t="str">
            <v>CARD PARTNER GIFT CARD FEES</v>
          </cell>
        </row>
        <row r="2244">
          <cell r="A2244">
            <v>9680700</v>
          </cell>
          <cell r="B2244">
            <v>310419</v>
          </cell>
          <cell r="C2244" t="str">
            <v>CARD PARTNER GIFT CARD FEES</v>
          </cell>
        </row>
        <row r="2245">
          <cell r="A2245">
            <v>9680701</v>
          </cell>
          <cell r="B2245">
            <v>310419</v>
          </cell>
          <cell r="C2245" t="str">
            <v>CARD PARTNER GIFT CARD FEES</v>
          </cell>
        </row>
        <row r="2246">
          <cell r="A2246">
            <v>9680702</v>
          </cell>
          <cell r="B2246">
            <v>310419</v>
          </cell>
          <cell r="C2246" t="str">
            <v>CARD PARTNER GIFT CARD FEES</v>
          </cell>
        </row>
        <row r="2247">
          <cell r="A2247">
            <v>9680705</v>
          </cell>
          <cell r="B2247">
            <v>310419</v>
          </cell>
          <cell r="C2247" t="str">
            <v>CARD PARTNER GIFT CARD FEES</v>
          </cell>
        </row>
        <row r="2248">
          <cell r="A2248">
            <v>9680707</v>
          </cell>
          <cell r="B2248">
            <v>310419</v>
          </cell>
          <cell r="C2248" t="str">
            <v>CARD PARTNER GIFT CARD FEES</v>
          </cell>
        </row>
        <row r="2249">
          <cell r="A2249">
            <v>9680710</v>
          </cell>
          <cell r="B2249">
            <v>310419</v>
          </cell>
          <cell r="C2249" t="str">
            <v>CARD PARTNER GIFT CARD FEES</v>
          </cell>
        </row>
        <row r="2250">
          <cell r="A2250">
            <v>9680712</v>
          </cell>
          <cell r="B2250">
            <v>310419</v>
          </cell>
          <cell r="C2250" t="str">
            <v>CARD PARTNER GIFT CARD FEES</v>
          </cell>
        </row>
        <row r="2251">
          <cell r="A2251">
            <v>9680734</v>
          </cell>
          <cell r="B2251">
            <v>310419</v>
          </cell>
          <cell r="C2251" t="str">
            <v>CARD PARTNER GIFT CARD FEES</v>
          </cell>
        </row>
        <row r="2252">
          <cell r="A2252">
            <v>9680894</v>
          </cell>
          <cell r="B2252">
            <v>310419</v>
          </cell>
          <cell r="C2252" t="str">
            <v>CARD PARTNER GIFT CARD FEES</v>
          </cell>
        </row>
        <row r="2253">
          <cell r="A2253">
            <v>9680999</v>
          </cell>
          <cell r="B2253">
            <v>310419</v>
          </cell>
          <cell r="C2253" t="str">
            <v>CARD PARTNER GIFT CARD FEES</v>
          </cell>
        </row>
        <row r="2254">
          <cell r="A2254">
            <v>9681700</v>
          </cell>
          <cell r="B2254">
            <v>310419</v>
          </cell>
          <cell r="C2254" t="str">
            <v>CARD PARTNER GIFT CARD FEES</v>
          </cell>
        </row>
        <row r="2255">
          <cell r="A2255">
            <v>9681701</v>
          </cell>
          <cell r="B2255">
            <v>310419</v>
          </cell>
          <cell r="C2255" t="str">
            <v>CARD PARTNER GIFT CARD FEES</v>
          </cell>
        </row>
        <row r="2256">
          <cell r="A2256">
            <v>9681702</v>
          </cell>
          <cell r="B2256">
            <v>310419</v>
          </cell>
          <cell r="C2256" t="str">
            <v>CARD PARTNER GIFT CARD FEES</v>
          </cell>
        </row>
        <row r="2257">
          <cell r="A2257">
            <v>9681705</v>
          </cell>
          <cell r="B2257">
            <v>310419</v>
          </cell>
          <cell r="C2257" t="str">
            <v>CARD PARTNER GIFT CARD FEES</v>
          </cell>
        </row>
        <row r="2258">
          <cell r="A2258">
            <v>9681707</v>
          </cell>
          <cell r="B2258">
            <v>310419</v>
          </cell>
          <cell r="C2258" t="str">
            <v>CARD PARTNER GIFT CARD FEES</v>
          </cell>
        </row>
        <row r="2259">
          <cell r="A2259">
            <v>9681710</v>
          </cell>
          <cell r="B2259">
            <v>310419</v>
          </cell>
          <cell r="C2259" t="str">
            <v>CARD PARTNER GIFT CARD FEES</v>
          </cell>
        </row>
        <row r="2260">
          <cell r="A2260">
            <v>9681712</v>
          </cell>
          <cell r="B2260">
            <v>310419</v>
          </cell>
          <cell r="C2260" t="str">
            <v>CARD PARTNER GIFT CARD FEES</v>
          </cell>
        </row>
        <row r="2261">
          <cell r="A2261">
            <v>9681727</v>
          </cell>
          <cell r="B2261">
            <v>310419</v>
          </cell>
          <cell r="C2261" t="str">
            <v>CARD PARTNER GIFT CARD FEES</v>
          </cell>
        </row>
        <row r="2262">
          <cell r="A2262">
            <v>9681734</v>
          </cell>
          <cell r="B2262">
            <v>310419</v>
          </cell>
          <cell r="C2262" t="str">
            <v>CARD PARTNER GIFT CARD FEES</v>
          </cell>
        </row>
        <row r="2263">
          <cell r="A2263">
            <v>9681894</v>
          </cell>
          <cell r="B2263">
            <v>310419</v>
          </cell>
          <cell r="C2263" t="str">
            <v>CARD PARTNER GIFT CARD FEES</v>
          </cell>
        </row>
        <row r="2264">
          <cell r="A2264">
            <v>9681999</v>
          </cell>
          <cell r="B2264">
            <v>310419</v>
          </cell>
          <cell r="C2264" t="str">
            <v>CARD PARTNER GIFT CARD FEES</v>
          </cell>
        </row>
        <row r="2265">
          <cell r="A2265">
            <v>9682999</v>
          </cell>
          <cell r="B2265">
            <v>310419</v>
          </cell>
          <cell r="C2265" t="str">
            <v>CARD PARTNER GIFT CARD FEES</v>
          </cell>
        </row>
        <row r="2266">
          <cell r="A2266">
            <v>9689999</v>
          </cell>
          <cell r="B2266">
            <v>310419</v>
          </cell>
          <cell r="C2266" t="str">
            <v>CARD PARTNER GIFT CARD FEES</v>
          </cell>
        </row>
        <row r="2267">
          <cell r="A2267">
            <v>9969681</v>
          </cell>
          <cell r="B2267">
            <v>310419</v>
          </cell>
          <cell r="C2267" t="str">
            <v>CARD PARTNER GIFT CARD FEES</v>
          </cell>
        </row>
        <row r="2268">
          <cell r="A2268">
            <v>9969901</v>
          </cell>
          <cell r="B2268">
            <v>310419</v>
          </cell>
          <cell r="C2268" t="str">
            <v>CARD PARTNER GIFT CARD FEES</v>
          </cell>
        </row>
        <row r="2269">
          <cell r="A2269">
            <v>9050700</v>
          </cell>
          <cell r="B2269">
            <v>310420</v>
          </cell>
          <cell r="C2269" t="str">
            <v>REVENUE FROM ACTIVATIONS</v>
          </cell>
        </row>
        <row r="2270">
          <cell r="A2270">
            <v>9050701</v>
          </cell>
          <cell r="B2270">
            <v>310420</v>
          </cell>
          <cell r="C2270" t="str">
            <v>REVENUE FROM ACTIVATIONS</v>
          </cell>
        </row>
        <row r="2271">
          <cell r="A2271">
            <v>9050702</v>
          </cell>
          <cell r="B2271">
            <v>310420</v>
          </cell>
          <cell r="C2271" t="str">
            <v>REVENUE FROM ACTIVATIONS</v>
          </cell>
        </row>
        <row r="2272">
          <cell r="A2272">
            <v>9050705</v>
          </cell>
          <cell r="B2272">
            <v>310420</v>
          </cell>
          <cell r="C2272" t="str">
            <v>REVENUE FROM ACTIVATIONS</v>
          </cell>
        </row>
        <row r="2273">
          <cell r="A2273">
            <v>9050707</v>
          </cell>
          <cell r="B2273">
            <v>310420</v>
          </cell>
          <cell r="C2273" t="str">
            <v>REVENUE FROM ACTIVATIONS</v>
          </cell>
        </row>
        <row r="2274">
          <cell r="A2274">
            <v>9050710</v>
          </cell>
          <cell r="B2274">
            <v>310420</v>
          </cell>
          <cell r="C2274" t="str">
            <v>REVENUE FROM ACTIVATIONS</v>
          </cell>
        </row>
        <row r="2275">
          <cell r="A2275">
            <v>9050712</v>
          </cell>
          <cell r="B2275">
            <v>310420</v>
          </cell>
          <cell r="C2275" t="str">
            <v>REVENUE FROM ACTIVATIONS</v>
          </cell>
        </row>
        <row r="2276">
          <cell r="A2276">
            <v>9051700</v>
          </cell>
          <cell r="B2276">
            <v>310420</v>
          </cell>
          <cell r="C2276" t="str">
            <v>REVENUE FROM ACTIVATIONS</v>
          </cell>
        </row>
        <row r="2277">
          <cell r="A2277">
            <v>9051701</v>
          </cell>
          <cell r="B2277">
            <v>310420</v>
          </cell>
          <cell r="C2277" t="str">
            <v>REVENUE FROM ACTIVATIONS</v>
          </cell>
        </row>
        <row r="2278">
          <cell r="A2278">
            <v>9051702</v>
          </cell>
          <cell r="B2278">
            <v>310420</v>
          </cell>
          <cell r="C2278" t="str">
            <v>REVENUE FROM ACTIVATIONS</v>
          </cell>
        </row>
        <row r="2279">
          <cell r="A2279">
            <v>9051705</v>
          </cell>
          <cell r="B2279">
            <v>310420</v>
          </cell>
          <cell r="C2279" t="str">
            <v>REVENUE FROM ACTIVATIONS</v>
          </cell>
        </row>
        <row r="2280">
          <cell r="A2280">
            <v>9051707</v>
          </cell>
          <cell r="B2280">
            <v>310420</v>
          </cell>
          <cell r="C2280" t="str">
            <v>REVENUE FROM ACTIVATIONS</v>
          </cell>
        </row>
        <row r="2281">
          <cell r="A2281">
            <v>9051710</v>
          </cell>
          <cell r="B2281">
            <v>310420</v>
          </cell>
          <cell r="C2281" t="str">
            <v>REVENUE FROM ACTIVATIONS</v>
          </cell>
        </row>
        <row r="2282">
          <cell r="A2282">
            <v>9051712</v>
          </cell>
          <cell r="B2282">
            <v>310420</v>
          </cell>
          <cell r="C2282" t="str">
            <v>REVENUE FROM ACTIVATIONS</v>
          </cell>
        </row>
        <row r="2283">
          <cell r="A2283">
            <v>9080700</v>
          </cell>
          <cell r="B2283">
            <v>310420</v>
          </cell>
          <cell r="C2283" t="str">
            <v>REVENUE FROM ACTIVATIONS</v>
          </cell>
        </row>
        <row r="2284">
          <cell r="A2284">
            <v>9080701</v>
          </cell>
          <cell r="B2284">
            <v>310420</v>
          </cell>
          <cell r="C2284" t="str">
            <v>REVENUE FROM ACTIVATIONS</v>
          </cell>
        </row>
        <row r="2285">
          <cell r="A2285">
            <v>9080702</v>
          </cell>
          <cell r="B2285">
            <v>310420</v>
          </cell>
          <cell r="C2285" t="str">
            <v>REVENUE FROM ACTIVATIONS</v>
          </cell>
        </row>
        <row r="2286">
          <cell r="A2286">
            <v>9080705</v>
          </cell>
          <cell r="B2286">
            <v>310420</v>
          </cell>
          <cell r="C2286" t="str">
            <v>REVENUE FROM ACTIVATIONS</v>
          </cell>
        </row>
        <row r="2287">
          <cell r="A2287">
            <v>9080707</v>
          </cell>
          <cell r="B2287">
            <v>310420</v>
          </cell>
          <cell r="C2287" t="str">
            <v>REVENUE FROM ACTIVATIONS</v>
          </cell>
        </row>
        <row r="2288">
          <cell r="A2288">
            <v>9080710</v>
          </cell>
          <cell r="B2288">
            <v>310420</v>
          </cell>
          <cell r="C2288" t="str">
            <v>REVENUE FROM ACTIVATIONS</v>
          </cell>
        </row>
        <row r="2289">
          <cell r="A2289">
            <v>9080712</v>
          </cell>
          <cell r="B2289">
            <v>310420</v>
          </cell>
          <cell r="C2289" t="str">
            <v>REVENUE FROM ACTIVATIONS</v>
          </cell>
        </row>
        <row r="2290">
          <cell r="A2290">
            <v>9080999</v>
          </cell>
          <cell r="B2290">
            <v>310420</v>
          </cell>
          <cell r="C2290" t="str">
            <v>REVENUE FROM ACTIVATIONS</v>
          </cell>
        </row>
        <row r="2291">
          <cell r="A2291">
            <v>9090710</v>
          </cell>
          <cell r="B2291">
            <v>310420</v>
          </cell>
          <cell r="C2291" t="str">
            <v>REVENUE FROM ACTIVATIONS</v>
          </cell>
        </row>
        <row r="2292">
          <cell r="A2292">
            <v>9090730</v>
          </cell>
          <cell r="B2292">
            <v>310420</v>
          </cell>
          <cell r="C2292" t="str">
            <v>REVENUE FROM ACTIVATIONS</v>
          </cell>
        </row>
        <row r="2293">
          <cell r="A2293">
            <v>9090731</v>
          </cell>
          <cell r="B2293">
            <v>310420</v>
          </cell>
          <cell r="C2293" t="str">
            <v>REVENUE FROM ACTIVATIONS</v>
          </cell>
        </row>
        <row r="2294">
          <cell r="A2294">
            <v>9090732</v>
          </cell>
          <cell r="B2294">
            <v>310420</v>
          </cell>
          <cell r="C2294" t="str">
            <v>REVENUE FROM ACTIVATIONS</v>
          </cell>
        </row>
        <row r="2295">
          <cell r="A2295">
            <v>9100710</v>
          </cell>
          <cell r="B2295">
            <v>310420</v>
          </cell>
          <cell r="C2295" t="str">
            <v>REVENUE FROM ACTIVATIONS</v>
          </cell>
        </row>
        <row r="2296">
          <cell r="A2296">
            <v>9100730</v>
          </cell>
          <cell r="B2296">
            <v>310420</v>
          </cell>
          <cell r="C2296" t="str">
            <v>REVENUE FROM ACTIVATIONS</v>
          </cell>
        </row>
        <row r="2297">
          <cell r="A2297">
            <v>9100731</v>
          </cell>
          <cell r="B2297">
            <v>310420</v>
          </cell>
          <cell r="C2297" t="str">
            <v>REVENUE FROM ACTIVATIONS</v>
          </cell>
        </row>
        <row r="2298">
          <cell r="A2298">
            <v>9110700</v>
          </cell>
          <cell r="B2298">
            <v>310420</v>
          </cell>
          <cell r="C2298" t="str">
            <v>REVENUE FROM ACTIVATIONS</v>
          </cell>
        </row>
        <row r="2299">
          <cell r="A2299">
            <v>9110702</v>
          </cell>
          <cell r="B2299">
            <v>310420</v>
          </cell>
          <cell r="C2299" t="str">
            <v>REVENUE FROM ACTIVATIONS</v>
          </cell>
        </row>
        <row r="2300">
          <cell r="A2300">
            <v>9110705</v>
          </cell>
          <cell r="B2300">
            <v>310420</v>
          </cell>
          <cell r="C2300" t="str">
            <v>REVENUE FROM ACTIVATIONS</v>
          </cell>
        </row>
        <row r="2301">
          <cell r="A2301">
            <v>9110707</v>
          </cell>
          <cell r="B2301">
            <v>310420</v>
          </cell>
          <cell r="C2301" t="str">
            <v>REVENUE FROM ACTIVATIONS</v>
          </cell>
        </row>
        <row r="2302">
          <cell r="A2302">
            <v>9110712</v>
          </cell>
          <cell r="B2302">
            <v>310420</v>
          </cell>
          <cell r="C2302" t="str">
            <v>REVENUE FROM ACTIVATIONS</v>
          </cell>
        </row>
        <row r="2303">
          <cell r="A2303">
            <v>9110999</v>
          </cell>
          <cell r="B2303">
            <v>310420</v>
          </cell>
          <cell r="C2303" t="str">
            <v>REVENUE FROM ACTIVATIONS</v>
          </cell>
        </row>
        <row r="2304">
          <cell r="A2304">
            <v>9680700</v>
          </cell>
          <cell r="B2304">
            <v>310420</v>
          </cell>
          <cell r="C2304" t="str">
            <v>REVENUE FROM ACTIVATIONS</v>
          </cell>
        </row>
        <row r="2305">
          <cell r="A2305">
            <v>9680701</v>
          </cell>
          <cell r="B2305">
            <v>310420</v>
          </cell>
          <cell r="C2305" t="str">
            <v>REVENUE FROM ACTIVATIONS</v>
          </cell>
        </row>
        <row r="2306">
          <cell r="A2306">
            <v>9680702</v>
          </cell>
          <cell r="B2306">
            <v>310420</v>
          </cell>
          <cell r="C2306" t="str">
            <v>REVENUE FROM ACTIVATIONS</v>
          </cell>
        </row>
        <row r="2307">
          <cell r="A2307">
            <v>9680705</v>
          </cell>
          <cell r="B2307">
            <v>310420</v>
          </cell>
          <cell r="C2307" t="str">
            <v>REVENUE FROM ACTIVATIONS</v>
          </cell>
        </row>
        <row r="2308">
          <cell r="A2308">
            <v>9680707</v>
          </cell>
          <cell r="B2308">
            <v>310420</v>
          </cell>
          <cell r="C2308" t="str">
            <v>REVENUE FROM ACTIVATIONS</v>
          </cell>
        </row>
        <row r="2309">
          <cell r="A2309">
            <v>9680710</v>
          </cell>
          <cell r="B2309">
            <v>310420</v>
          </cell>
          <cell r="C2309" t="str">
            <v>REVENUE FROM ACTIVATIONS</v>
          </cell>
        </row>
        <row r="2310">
          <cell r="A2310">
            <v>9680712</v>
          </cell>
          <cell r="B2310">
            <v>310420</v>
          </cell>
          <cell r="C2310" t="str">
            <v>REVENUE FROM ACTIVATIONS</v>
          </cell>
        </row>
        <row r="2311">
          <cell r="A2311">
            <v>9680734</v>
          </cell>
          <cell r="B2311">
            <v>310420</v>
          </cell>
          <cell r="C2311" t="str">
            <v>REVENUE FROM ACTIVATIONS</v>
          </cell>
        </row>
        <row r="2312">
          <cell r="A2312">
            <v>9680894</v>
          </cell>
          <cell r="B2312">
            <v>310420</v>
          </cell>
          <cell r="C2312" t="str">
            <v>REVENUE FROM ACTIVATIONS</v>
          </cell>
        </row>
        <row r="2313">
          <cell r="A2313">
            <v>9680999</v>
          </cell>
          <cell r="B2313">
            <v>310420</v>
          </cell>
          <cell r="C2313" t="str">
            <v>REVENUE FROM ACTIVATIONS</v>
          </cell>
        </row>
        <row r="2314">
          <cell r="A2314">
            <v>9681700</v>
          </cell>
          <cell r="B2314">
            <v>310420</v>
          </cell>
          <cell r="C2314" t="str">
            <v>REVENUE FROM ACTIVATIONS</v>
          </cell>
        </row>
        <row r="2315">
          <cell r="A2315">
            <v>9681701</v>
          </cell>
          <cell r="B2315">
            <v>310420</v>
          </cell>
          <cell r="C2315" t="str">
            <v>REVENUE FROM ACTIVATIONS</v>
          </cell>
        </row>
        <row r="2316">
          <cell r="A2316">
            <v>9681702</v>
          </cell>
          <cell r="B2316">
            <v>310420</v>
          </cell>
          <cell r="C2316" t="str">
            <v>REVENUE FROM ACTIVATIONS</v>
          </cell>
        </row>
        <row r="2317">
          <cell r="A2317">
            <v>9681705</v>
          </cell>
          <cell r="B2317">
            <v>310420</v>
          </cell>
          <cell r="C2317" t="str">
            <v>REVENUE FROM ACTIVATIONS</v>
          </cell>
        </row>
        <row r="2318">
          <cell r="A2318">
            <v>9681707</v>
          </cell>
          <cell r="B2318">
            <v>310420</v>
          </cell>
          <cell r="C2318" t="str">
            <v>REVENUE FROM ACTIVATIONS</v>
          </cell>
        </row>
        <row r="2319">
          <cell r="A2319">
            <v>9681710</v>
          </cell>
          <cell r="B2319">
            <v>310420</v>
          </cell>
          <cell r="C2319" t="str">
            <v>REVENUE FROM ACTIVATIONS</v>
          </cell>
        </row>
        <row r="2320">
          <cell r="A2320">
            <v>9681712</v>
          </cell>
          <cell r="B2320">
            <v>310420</v>
          </cell>
          <cell r="C2320" t="str">
            <v>REVENUE FROM ACTIVATIONS</v>
          </cell>
        </row>
        <row r="2321">
          <cell r="A2321">
            <v>9681727</v>
          </cell>
          <cell r="B2321">
            <v>310420</v>
          </cell>
          <cell r="C2321" t="str">
            <v>REVENUE FROM ACTIVATIONS</v>
          </cell>
        </row>
        <row r="2322">
          <cell r="A2322">
            <v>9681734</v>
          </cell>
          <cell r="B2322">
            <v>310420</v>
          </cell>
          <cell r="C2322" t="str">
            <v>REVENUE FROM ACTIVATIONS</v>
          </cell>
        </row>
        <row r="2323">
          <cell r="A2323">
            <v>9681894</v>
          </cell>
          <cell r="B2323">
            <v>310420</v>
          </cell>
          <cell r="C2323" t="str">
            <v>REVENUE FROM ACTIVATIONS</v>
          </cell>
        </row>
        <row r="2324">
          <cell r="A2324">
            <v>9681999</v>
          </cell>
          <cell r="B2324">
            <v>310420</v>
          </cell>
          <cell r="C2324" t="str">
            <v>REVENUE FROM ACTIVATIONS</v>
          </cell>
        </row>
        <row r="2325">
          <cell r="A2325">
            <v>9969681</v>
          </cell>
          <cell r="B2325">
            <v>310420</v>
          </cell>
          <cell r="C2325" t="str">
            <v>REVENUE FROM ACTIVATIONS</v>
          </cell>
        </row>
        <row r="2326">
          <cell r="A2326">
            <v>9969901</v>
          </cell>
          <cell r="B2326">
            <v>310420</v>
          </cell>
          <cell r="C2326" t="str">
            <v>REVENUE FROM ACTIVATIONS</v>
          </cell>
        </row>
        <row r="2327">
          <cell r="A2327">
            <v>9050700</v>
          </cell>
          <cell r="B2327">
            <v>310421</v>
          </cell>
          <cell r="C2327" t="str">
            <v>REVENUE FROM ACTIVATIONS OFFSET</v>
          </cell>
        </row>
        <row r="2328">
          <cell r="A2328">
            <v>9050701</v>
          </cell>
          <cell r="B2328">
            <v>310421</v>
          </cell>
          <cell r="C2328" t="str">
            <v>REVENUE FROM ACTIVATIONS OFFSET</v>
          </cell>
        </row>
        <row r="2329">
          <cell r="A2329">
            <v>9050702</v>
          </cell>
          <cell r="B2329">
            <v>310421</v>
          </cell>
          <cell r="C2329" t="str">
            <v>REVENUE FROM ACTIVATIONS OFFSET</v>
          </cell>
        </row>
        <row r="2330">
          <cell r="A2330">
            <v>9050707</v>
          </cell>
          <cell r="B2330">
            <v>310421</v>
          </cell>
          <cell r="C2330" t="str">
            <v>REVENUE FROM ACTIVATIONS OFFSET</v>
          </cell>
        </row>
        <row r="2331">
          <cell r="A2331">
            <v>9050710</v>
          </cell>
          <cell r="B2331">
            <v>310421</v>
          </cell>
          <cell r="C2331" t="str">
            <v>REVENUE FROM ACTIVATIONS OFFSET</v>
          </cell>
        </row>
        <row r="2332">
          <cell r="A2332">
            <v>9050712</v>
          </cell>
          <cell r="B2332">
            <v>310421</v>
          </cell>
          <cell r="C2332" t="str">
            <v>REVENUE FROM ACTIVATIONS OFFSET</v>
          </cell>
        </row>
        <row r="2333">
          <cell r="A2333">
            <v>9050999</v>
          </cell>
          <cell r="B2333">
            <v>310421</v>
          </cell>
          <cell r="C2333" t="str">
            <v>REVENUE FROM ACTIVATIONS OFFSET</v>
          </cell>
        </row>
        <row r="2334">
          <cell r="A2334">
            <v>9051700</v>
          </cell>
          <cell r="B2334">
            <v>310421</v>
          </cell>
          <cell r="C2334" t="str">
            <v>REVENUE FROM ACTIVATIONS OFFSET</v>
          </cell>
        </row>
        <row r="2335">
          <cell r="A2335">
            <v>9051701</v>
          </cell>
          <cell r="B2335">
            <v>310421</v>
          </cell>
          <cell r="C2335" t="str">
            <v>REVENUE FROM ACTIVATIONS OFFSET</v>
          </cell>
        </row>
        <row r="2336">
          <cell r="A2336">
            <v>9051702</v>
          </cell>
          <cell r="B2336">
            <v>310421</v>
          </cell>
          <cell r="C2336" t="str">
            <v>REVENUE FROM ACTIVATIONS OFFSET</v>
          </cell>
        </row>
        <row r="2337">
          <cell r="A2337">
            <v>9051707</v>
          </cell>
          <cell r="B2337">
            <v>310421</v>
          </cell>
          <cell r="C2337" t="str">
            <v>REVENUE FROM ACTIVATIONS OFFSET</v>
          </cell>
        </row>
        <row r="2338">
          <cell r="A2338">
            <v>9051710</v>
          </cell>
          <cell r="B2338">
            <v>310421</v>
          </cell>
          <cell r="C2338" t="str">
            <v>REVENUE FROM ACTIVATIONS OFFSET</v>
          </cell>
        </row>
        <row r="2339">
          <cell r="A2339">
            <v>9051712</v>
          </cell>
          <cell r="B2339">
            <v>310421</v>
          </cell>
          <cell r="C2339" t="str">
            <v>REVENUE FROM ACTIVATIONS OFFSET</v>
          </cell>
        </row>
        <row r="2340">
          <cell r="A2340">
            <v>9051999</v>
          </cell>
          <cell r="B2340">
            <v>310421</v>
          </cell>
          <cell r="C2340" t="str">
            <v>REVENUE FROM ACTIVATIONS OFFSET</v>
          </cell>
        </row>
        <row r="2341">
          <cell r="A2341">
            <v>9080700</v>
          </cell>
          <cell r="B2341">
            <v>310421</v>
          </cell>
          <cell r="C2341" t="str">
            <v>REVENUE FROM ACTIVATIONS OFFSET</v>
          </cell>
        </row>
        <row r="2342">
          <cell r="A2342">
            <v>9080701</v>
          </cell>
          <cell r="B2342">
            <v>310421</v>
          </cell>
          <cell r="C2342" t="str">
            <v>REVENUE FROM ACTIVATIONS OFFSET</v>
          </cell>
        </row>
        <row r="2343">
          <cell r="A2343">
            <v>9080702</v>
          </cell>
          <cell r="B2343">
            <v>310421</v>
          </cell>
          <cell r="C2343" t="str">
            <v>REVENUE FROM ACTIVATIONS OFFSET</v>
          </cell>
        </row>
        <row r="2344">
          <cell r="A2344">
            <v>9080705</v>
          </cell>
          <cell r="B2344">
            <v>310421</v>
          </cell>
          <cell r="C2344" t="str">
            <v>REVENUE FROM ACTIVATIONS OFFSET</v>
          </cell>
        </row>
        <row r="2345">
          <cell r="A2345">
            <v>9080707</v>
          </cell>
          <cell r="B2345">
            <v>310421</v>
          </cell>
          <cell r="C2345" t="str">
            <v>REVENUE FROM ACTIVATIONS OFFSET</v>
          </cell>
        </row>
        <row r="2346">
          <cell r="A2346">
            <v>9080710</v>
          </cell>
          <cell r="B2346">
            <v>310421</v>
          </cell>
          <cell r="C2346" t="str">
            <v>REVENUE FROM ACTIVATIONS OFFSET</v>
          </cell>
        </row>
        <row r="2347">
          <cell r="A2347">
            <v>9080712</v>
          </cell>
          <cell r="B2347">
            <v>310421</v>
          </cell>
          <cell r="C2347" t="str">
            <v>REVENUE FROM ACTIVATIONS OFFSET</v>
          </cell>
        </row>
        <row r="2348">
          <cell r="A2348">
            <v>9080999</v>
          </cell>
          <cell r="B2348">
            <v>310421</v>
          </cell>
          <cell r="C2348" t="str">
            <v>REVENUE FROM ACTIVATIONS OFFSET</v>
          </cell>
        </row>
        <row r="2349">
          <cell r="A2349">
            <v>9090710</v>
          </cell>
          <cell r="B2349">
            <v>310421</v>
          </cell>
          <cell r="C2349" t="str">
            <v>REVENUE FROM ACTIVATIONS OFFSET</v>
          </cell>
        </row>
        <row r="2350">
          <cell r="A2350">
            <v>9090730</v>
          </cell>
          <cell r="B2350">
            <v>310421</v>
          </cell>
          <cell r="C2350" t="str">
            <v>REVENUE FROM ACTIVATIONS OFFSET</v>
          </cell>
        </row>
        <row r="2351">
          <cell r="A2351">
            <v>9090731</v>
          </cell>
          <cell r="B2351">
            <v>310421</v>
          </cell>
          <cell r="C2351" t="str">
            <v>REVENUE FROM ACTIVATIONS OFFSET</v>
          </cell>
        </row>
        <row r="2352">
          <cell r="A2352">
            <v>9090732</v>
          </cell>
          <cell r="B2352">
            <v>310421</v>
          </cell>
          <cell r="C2352" t="str">
            <v>REVENUE FROM ACTIVATIONS OFFSET</v>
          </cell>
        </row>
        <row r="2353">
          <cell r="A2353">
            <v>9100710</v>
          </cell>
          <cell r="B2353">
            <v>310421</v>
          </cell>
          <cell r="C2353" t="str">
            <v>REVENUE FROM ACTIVATIONS OFFSET</v>
          </cell>
        </row>
        <row r="2354">
          <cell r="A2354">
            <v>9100730</v>
          </cell>
          <cell r="B2354">
            <v>310421</v>
          </cell>
          <cell r="C2354" t="str">
            <v>REVENUE FROM ACTIVATIONS OFFSET</v>
          </cell>
        </row>
        <row r="2355">
          <cell r="A2355">
            <v>9100731</v>
          </cell>
          <cell r="B2355">
            <v>310421</v>
          </cell>
          <cell r="C2355" t="str">
            <v>REVENUE FROM ACTIVATIONS OFFSET</v>
          </cell>
        </row>
        <row r="2356">
          <cell r="A2356">
            <v>9110700</v>
          </cell>
          <cell r="B2356">
            <v>310421</v>
          </cell>
          <cell r="C2356" t="str">
            <v>REVENUE FROM ACTIVATIONS OFFSET</v>
          </cell>
        </row>
        <row r="2357">
          <cell r="A2357">
            <v>9110702</v>
          </cell>
          <cell r="B2357">
            <v>310421</v>
          </cell>
          <cell r="C2357" t="str">
            <v>REVENUE FROM ACTIVATIONS OFFSET</v>
          </cell>
        </row>
        <row r="2358">
          <cell r="A2358">
            <v>9110705</v>
          </cell>
          <cell r="B2358">
            <v>310421</v>
          </cell>
          <cell r="C2358" t="str">
            <v>REVENUE FROM ACTIVATIONS OFFSET</v>
          </cell>
        </row>
        <row r="2359">
          <cell r="A2359">
            <v>9110707</v>
          </cell>
          <cell r="B2359">
            <v>310421</v>
          </cell>
          <cell r="C2359" t="str">
            <v>REVENUE FROM ACTIVATIONS OFFSET</v>
          </cell>
        </row>
        <row r="2360">
          <cell r="A2360">
            <v>9110712</v>
          </cell>
          <cell r="B2360">
            <v>310421</v>
          </cell>
          <cell r="C2360" t="str">
            <v>REVENUE FROM ACTIVATIONS OFFSET</v>
          </cell>
        </row>
        <row r="2361">
          <cell r="A2361">
            <v>9110999</v>
          </cell>
          <cell r="B2361">
            <v>310421</v>
          </cell>
          <cell r="C2361" t="str">
            <v>REVENUE FROM ACTIVATIONS OFFSET</v>
          </cell>
        </row>
        <row r="2362">
          <cell r="A2362">
            <v>9680700</v>
          </cell>
          <cell r="B2362">
            <v>310421</v>
          </cell>
          <cell r="C2362" t="str">
            <v>REVENUE FROM ACTIVATIONS OFFSET</v>
          </cell>
        </row>
        <row r="2363">
          <cell r="A2363">
            <v>9680701</v>
          </cell>
          <cell r="B2363">
            <v>310421</v>
          </cell>
          <cell r="C2363" t="str">
            <v>REVENUE FROM ACTIVATIONS OFFSET</v>
          </cell>
        </row>
        <row r="2364">
          <cell r="A2364">
            <v>9680702</v>
          </cell>
          <cell r="B2364">
            <v>310421</v>
          </cell>
          <cell r="C2364" t="str">
            <v>REVENUE FROM ACTIVATIONS OFFSET</v>
          </cell>
        </row>
        <row r="2365">
          <cell r="A2365">
            <v>9680705</v>
          </cell>
          <cell r="B2365">
            <v>310421</v>
          </cell>
          <cell r="C2365" t="str">
            <v>REVENUE FROM ACTIVATIONS OFFSET</v>
          </cell>
        </row>
        <row r="2366">
          <cell r="A2366">
            <v>9680707</v>
          </cell>
          <cell r="B2366">
            <v>310421</v>
          </cell>
          <cell r="C2366" t="str">
            <v>REVENUE FROM ACTIVATIONS OFFSET</v>
          </cell>
        </row>
        <row r="2367">
          <cell r="A2367">
            <v>9680710</v>
          </cell>
          <cell r="B2367">
            <v>310421</v>
          </cell>
          <cell r="C2367" t="str">
            <v>REVENUE FROM ACTIVATIONS OFFSET</v>
          </cell>
        </row>
        <row r="2368">
          <cell r="A2368">
            <v>9680712</v>
          </cell>
          <cell r="B2368">
            <v>310421</v>
          </cell>
          <cell r="C2368" t="str">
            <v>REVENUE FROM ACTIVATIONS OFFSET</v>
          </cell>
        </row>
        <row r="2369">
          <cell r="A2369">
            <v>9680734</v>
          </cell>
          <cell r="B2369">
            <v>310421</v>
          </cell>
          <cell r="C2369" t="str">
            <v>REVENUE FROM ACTIVATIONS OFFSET</v>
          </cell>
        </row>
        <row r="2370">
          <cell r="A2370">
            <v>9680894</v>
          </cell>
          <cell r="B2370">
            <v>310421</v>
          </cell>
          <cell r="C2370" t="str">
            <v>REVENUE FROM ACTIVATIONS OFFSET</v>
          </cell>
        </row>
        <row r="2371">
          <cell r="A2371">
            <v>9680999</v>
          </cell>
          <cell r="B2371">
            <v>310421</v>
          </cell>
          <cell r="C2371" t="str">
            <v>REVENUE FROM ACTIVATIONS OFFSET</v>
          </cell>
        </row>
        <row r="2372">
          <cell r="A2372">
            <v>9681700</v>
          </cell>
          <cell r="B2372">
            <v>310421</v>
          </cell>
          <cell r="C2372" t="str">
            <v>REVENUE FROM ACTIVATIONS OFFSET</v>
          </cell>
        </row>
        <row r="2373">
          <cell r="A2373">
            <v>9681701</v>
          </cell>
          <cell r="B2373">
            <v>310421</v>
          </cell>
          <cell r="C2373" t="str">
            <v>REVENUE FROM ACTIVATIONS OFFSET</v>
          </cell>
        </row>
        <row r="2374">
          <cell r="A2374">
            <v>9681702</v>
          </cell>
          <cell r="B2374">
            <v>310421</v>
          </cell>
          <cell r="C2374" t="str">
            <v>REVENUE FROM ACTIVATIONS OFFSET</v>
          </cell>
        </row>
        <row r="2375">
          <cell r="A2375">
            <v>9681705</v>
          </cell>
          <cell r="B2375">
            <v>310421</v>
          </cell>
          <cell r="C2375" t="str">
            <v>REVENUE FROM ACTIVATIONS OFFSET</v>
          </cell>
        </row>
        <row r="2376">
          <cell r="A2376">
            <v>9681707</v>
          </cell>
          <cell r="B2376">
            <v>310421</v>
          </cell>
          <cell r="C2376" t="str">
            <v>REVENUE FROM ACTIVATIONS OFFSET</v>
          </cell>
        </row>
        <row r="2377">
          <cell r="A2377">
            <v>9681710</v>
          </cell>
          <cell r="B2377">
            <v>310421</v>
          </cell>
          <cell r="C2377" t="str">
            <v>REVENUE FROM ACTIVATIONS OFFSET</v>
          </cell>
        </row>
        <row r="2378">
          <cell r="A2378">
            <v>9681712</v>
          </cell>
          <cell r="B2378">
            <v>310421</v>
          </cell>
          <cell r="C2378" t="str">
            <v>REVENUE FROM ACTIVATIONS OFFSET</v>
          </cell>
        </row>
        <row r="2379">
          <cell r="A2379">
            <v>9681727</v>
          </cell>
          <cell r="B2379">
            <v>310421</v>
          </cell>
          <cell r="C2379" t="str">
            <v>REVENUE FROM ACTIVATIONS OFFSET</v>
          </cell>
        </row>
        <row r="2380">
          <cell r="A2380">
            <v>9681734</v>
          </cell>
          <cell r="B2380">
            <v>310421</v>
          </cell>
          <cell r="C2380" t="str">
            <v>REVENUE FROM ACTIVATIONS OFFSET</v>
          </cell>
        </row>
        <row r="2381">
          <cell r="A2381">
            <v>9681894</v>
          </cell>
          <cell r="B2381">
            <v>310421</v>
          </cell>
          <cell r="C2381" t="str">
            <v>REVENUE FROM ACTIVATIONS OFFSET</v>
          </cell>
        </row>
        <row r="2382">
          <cell r="A2382">
            <v>9681999</v>
          </cell>
          <cell r="B2382">
            <v>310421</v>
          </cell>
          <cell r="C2382" t="str">
            <v>REVENUE FROM ACTIVATIONS OFFSET</v>
          </cell>
        </row>
        <row r="2383">
          <cell r="A2383">
            <v>9969681</v>
          </cell>
          <cell r="B2383">
            <v>310421</v>
          </cell>
          <cell r="C2383" t="str">
            <v>REVENUE FROM ACTIVATIONS OFFSET</v>
          </cell>
        </row>
        <row r="2384">
          <cell r="A2384">
            <v>9969901</v>
          </cell>
          <cell r="B2384">
            <v>310421</v>
          </cell>
          <cell r="C2384" t="str">
            <v>REVENUE FROM ACTIVATIONS OFFSET</v>
          </cell>
        </row>
        <row r="2385">
          <cell r="A2385">
            <v>9050700</v>
          </cell>
          <cell r="B2385">
            <v>310802</v>
          </cell>
          <cell r="C2385" t="str">
            <v>SALES TO ALLIANCE/OUTSIDE</v>
          </cell>
        </row>
        <row r="2386">
          <cell r="A2386">
            <v>9051700</v>
          </cell>
          <cell r="B2386">
            <v>310802</v>
          </cell>
          <cell r="C2386" t="str">
            <v>SALES TO ALLIANCE/OUTSIDE</v>
          </cell>
        </row>
        <row r="2387">
          <cell r="A2387">
            <v>9080700</v>
          </cell>
          <cell r="B2387">
            <v>310802</v>
          </cell>
          <cell r="C2387" t="str">
            <v>SALES TO ALLIANCE/OUTSIDE</v>
          </cell>
        </row>
        <row r="2388">
          <cell r="A2388">
            <v>9080701</v>
          </cell>
          <cell r="B2388">
            <v>310802</v>
          </cell>
          <cell r="C2388" t="str">
            <v>SALES TO ALLIANCE/OUTSIDE</v>
          </cell>
        </row>
        <row r="2389">
          <cell r="A2389">
            <v>9080702</v>
          </cell>
          <cell r="B2389">
            <v>310802</v>
          </cell>
          <cell r="C2389" t="str">
            <v>SALES TO ALLIANCE/OUTSIDE</v>
          </cell>
        </row>
        <row r="2390">
          <cell r="A2390">
            <v>9080705</v>
          </cell>
          <cell r="B2390">
            <v>310802</v>
          </cell>
          <cell r="C2390" t="str">
            <v>SALES TO ALLIANCE/OUTSIDE</v>
          </cell>
        </row>
        <row r="2391">
          <cell r="A2391">
            <v>9080707</v>
          </cell>
          <cell r="B2391">
            <v>310802</v>
          </cell>
          <cell r="C2391" t="str">
            <v>SALES TO ALLIANCE/OUTSIDE</v>
          </cell>
        </row>
        <row r="2392">
          <cell r="A2392">
            <v>9080710</v>
          </cell>
          <cell r="B2392">
            <v>310802</v>
          </cell>
          <cell r="C2392" t="str">
            <v>SALES TO ALLIANCE/OUTSIDE</v>
          </cell>
        </row>
        <row r="2393">
          <cell r="A2393">
            <v>9090999</v>
          </cell>
          <cell r="B2393">
            <v>310802</v>
          </cell>
          <cell r="C2393" t="str">
            <v>SALES TO ALLIANCE/OUTSIDE</v>
          </cell>
        </row>
        <row r="2394">
          <cell r="A2394">
            <v>9100999</v>
          </cell>
          <cell r="B2394">
            <v>310802</v>
          </cell>
          <cell r="C2394" t="str">
            <v>SALES TO ALLIANCE/OUTSIDE</v>
          </cell>
        </row>
        <row r="2395">
          <cell r="A2395">
            <v>9110700</v>
          </cell>
          <cell r="B2395">
            <v>310802</v>
          </cell>
          <cell r="C2395" t="str">
            <v>SALES TO ALLIANCE/OUTSIDE</v>
          </cell>
        </row>
        <row r="2396">
          <cell r="A2396">
            <v>9110702</v>
          </cell>
          <cell r="B2396">
            <v>310802</v>
          </cell>
          <cell r="C2396" t="str">
            <v>SALES TO ALLIANCE/OUTSIDE</v>
          </cell>
        </row>
        <row r="2397">
          <cell r="A2397">
            <v>9110705</v>
          </cell>
          <cell r="B2397">
            <v>310802</v>
          </cell>
          <cell r="C2397" t="str">
            <v>SALES TO ALLIANCE/OUTSIDE</v>
          </cell>
        </row>
        <row r="2398">
          <cell r="A2398">
            <v>9110707</v>
          </cell>
          <cell r="B2398">
            <v>310802</v>
          </cell>
          <cell r="C2398" t="str">
            <v>SALES TO ALLIANCE/OUTSIDE</v>
          </cell>
        </row>
        <row r="2399">
          <cell r="A2399">
            <v>9680700</v>
          </cell>
          <cell r="B2399">
            <v>310802</v>
          </cell>
          <cell r="C2399" t="str">
            <v>SALES TO ALLIANCE/OUTSIDE</v>
          </cell>
        </row>
        <row r="2400">
          <cell r="A2400">
            <v>9680701</v>
          </cell>
          <cell r="B2400">
            <v>310802</v>
          </cell>
          <cell r="C2400" t="str">
            <v>SALES TO ALLIANCE/OUTSIDE</v>
          </cell>
        </row>
        <row r="2401">
          <cell r="A2401">
            <v>9680702</v>
          </cell>
          <cell r="B2401">
            <v>310802</v>
          </cell>
          <cell r="C2401" t="str">
            <v>SALES TO ALLIANCE/OUTSIDE</v>
          </cell>
        </row>
        <row r="2402">
          <cell r="A2402">
            <v>9680705</v>
          </cell>
          <cell r="B2402">
            <v>310802</v>
          </cell>
          <cell r="C2402" t="str">
            <v>SALES TO ALLIANCE/OUTSIDE</v>
          </cell>
        </row>
        <row r="2403">
          <cell r="A2403">
            <v>9680707</v>
          </cell>
          <cell r="B2403">
            <v>310802</v>
          </cell>
          <cell r="C2403" t="str">
            <v>SALES TO ALLIANCE/OUTSIDE</v>
          </cell>
        </row>
        <row r="2404">
          <cell r="A2404">
            <v>9680710</v>
          </cell>
          <cell r="B2404">
            <v>310802</v>
          </cell>
          <cell r="C2404" t="str">
            <v>SALES TO ALLIANCE/OUTSIDE</v>
          </cell>
        </row>
        <row r="2405">
          <cell r="A2405">
            <v>9680712</v>
          </cell>
          <cell r="B2405">
            <v>310802</v>
          </cell>
          <cell r="C2405" t="str">
            <v>SALES TO ALLIANCE/OUTSIDE</v>
          </cell>
        </row>
        <row r="2406">
          <cell r="A2406">
            <v>9680714</v>
          </cell>
          <cell r="B2406">
            <v>310802</v>
          </cell>
          <cell r="C2406" t="str">
            <v>SALES TO ALLIANCE/OUTSIDE</v>
          </cell>
        </row>
        <row r="2407">
          <cell r="A2407">
            <v>9680734</v>
          </cell>
          <cell r="B2407">
            <v>310802</v>
          </cell>
          <cell r="C2407" t="str">
            <v>SALES TO ALLIANCE/OUTSIDE</v>
          </cell>
        </row>
        <row r="2408">
          <cell r="A2408">
            <v>9680748</v>
          </cell>
          <cell r="B2408">
            <v>310802</v>
          </cell>
          <cell r="C2408" t="str">
            <v>SALES TO ALLIANCE/OUTSIDE</v>
          </cell>
        </row>
        <row r="2409">
          <cell r="A2409">
            <v>9680749</v>
          </cell>
          <cell r="B2409">
            <v>310802</v>
          </cell>
          <cell r="C2409" t="str">
            <v>SALES TO ALLIANCE/OUTSIDE</v>
          </cell>
        </row>
        <row r="2410">
          <cell r="A2410">
            <v>9680894</v>
          </cell>
          <cell r="B2410">
            <v>310802</v>
          </cell>
          <cell r="C2410" t="str">
            <v>SALES TO ALLIANCE/OUTSIDE</v>
          </cell>
        </row>
        <row r="2411">
          <cell r="A2411">
            <v>9680999</v>
          </cell>
          <cell r="B2411">
            <v>310802</v>
          </cell>
          <cell r="C2411" t="str">
            <v>SALES TO ALLIANCE/OUTSIDE</v>
          </cell>
        </row>
        <row r="2412">
          <cell r="A2412">
            <v>9681700</v>
          </cell>
          <cell r="B2412">
            <v>310802</v>
          </cell>
          <cell r="C2412" t="str">
            <v>SALES TO ALLIANCE/OUTSIDE</v>
          </cell>
        </row>
        <row r="2413">
          <cell r="A2413">
            <v>9681701</v>
          </cell>
          <cell r="B2413">
            <v>310802</v>
          </cell>
          <cell r="C2413" t="str">
            <v>SALES TO ALLIANCE/OUTSIDE</v>
          </cell>
        </row>
        <row r="2414">
          <cell r="A2414">
            <v>9681702</v>
          </cell>
          <cell r="B2414">
            <v>310802</v>
          </cell>
          <cell r="C2414" t="str">
            <v>SALES TO ALLIANCE/OUTSIDE</v>
          </cell>
        </row>
        <row r="2415">
          <cell r="A2415">
            <v>9681705</v>
          </cell>
          <cell r="B2415">
            <v>310802</v>
          </cell>
          <cell r="C2415" t="str">
            <v>SALES TO ALLIANCE/OUTSIDE</v>
          </cell>
        </row>
        <row r="2416">
          <cell r="A2416">
            <v>9681706</v>
          </cell>
          <cell r="B2416">
            <v>310802</v>
          </cell>
          <cell r="C2416" t="str">
            <v>SALES TO ALLIANCE/OUTSIDE</v>
          </cell>
        </row>
        <row r="2417">
          <cell r="A2417">
            <v>9681707</v>
          </cell>
          <cell r="B2417">
            <v>310802</v>
          </cell>
          <cell r="C2417" t="str">
            <v>SALES TO ALLIANCE/OUTSIDE</v>
          </cell>
        </row>
        <row r="2418">
          <cell r="A2418">
            <v>9681710</v>
          </cell>
          <cell r="B2418">
            <v>310802</v>
          </cell>
          <cell r="C2418" t="str">
            <v>SALES TO ALLIANCE/OUTSIDE</v>
          </cell>
        </row>
        <row r="2419">
          <cell r="A2419">
            <v>9681712</v>
          </cell>
          <cell r="B2419">
            <v>310802</v>
          </cell>
          <cell r="C2419" t="str">
            <v>SALES TO ALLIANCE/OUTSIDE</v>
          </cell>
        </row>
        <row r="2420">
          <cell r="A2420">
            <v>9681714</v>
          </cell>
          <cell r="B2420">
            <v>310802</v>
          </cell>
          <cell r="C2420" t="str">
            <v>SALES TO ALLIANCE/OUTSIDE</v>
          </cell>
        </row>
        <row r="2421">
          <cell r="A2421">
            <v>9681716</v>
          </cell>
          <cell r="B2421">
            <v>310802</v>
          </cell>
          <cell r="C2421" t="str">
            <v>SALES TO ALLIANCE/OUTSIDE</v>
          </cell>
        </row>
        <row r="2422">
          <cell r="A2422">
            <v>9681727</v>
          </cell>
          <cell r="B2422">
            <v>310802</v>
          </cell>
          <cell r="C2422" t="str">
            <v>SALES TO ALLIANCE/OUTSIDE</v>
          </cell>
        </row>
        <row r="2423">
          <cell r="A2423">
            <v>9681734</v>
          </cell>
          <cell r="B2423">
            <v>310802</v>
          </cell>
          <cell r="C2423" t="str">
            <v>SALES TO ALLIANCE/OUTSIDE</v>
          </cell>
        </row>
        <row r="2424">
          <cell r="A2424">
            <v>9681748</v>
          </cell>
          <cell r="B2424">
            <v>310802</v>
          </cell>
          <cell r="C2424" t="str">
            <v>SALES TO ALLIANCE/OUTSIDE</v>
          </cell>
        </row>
        <row r="2425">
          <cell r="A2425">
            <v>9681749</v>
          </cell>
          <cell r="B2425">
            <v>310802</v>
          </cell>
          <cell r="C2425" t="str">
            <v>SALES TO ALLIANCE/OUTSIDE</v>
          </cell>
        </row>
        <row r="2426">
          <cell r="A2426">
            <v>9681894</v>
          </cell>
          <cell r="B2426">
            <v>310802</v>
          </cell>
          <cell r="C2426" t="str">
            <v>SALES TO ALLIANCE/OUTSIDE</v>
          </cell>
        </row>
        <row r="2427">
          <cell r="A2427">
            <v>9681999</v>
          </cell>
          <cell r="B2427">
            <v>310802</v>
          </cell>
          <cell r="C2427" t="str">
            <v>SALES TO ALLIANCE/OUTSIDE</v>
          </cell>
        </row>
        <row r="2428">
          <cell r="A2428">
            <v>9682715</v>
          </cell>
          <cell r="B2428">
            <v>310802</v>
          </cell>
          <cell r="C2428" t="str">
            <v>SALES TO ALLIANCE/OUTSIDE</v>
          </cell>
        </row>
        <row r="2429">
          <cell r="A2429">
            <v>9682722</v>
          </cell>
          <cell r="B2429">
            <v>310802</v>
          </cell>
          <cell r="C2429" t="str">
            <v>SALES TO ALLIANCE/OUTSIDE</v>
          </cell>
        </row>
        <row r="2430">
          <cell r="A2430">
            <v>9682999</v>
          </cell>
          <cell r="B2430">
            <v>310802</v>
          </cell>
          <cell r="C2430" t="str">
            <v>SALES TO ALLIANCE/OUTSIDE</v>
          </cell>
        </row>
        <row r="2431">
          <cell r="A2431">
            <v>9683999</v>
          </cell>
          <cell r="B2431">
            <v>310802</v>
          </cell>
          <cell r="C2431" t="str">
            <v>SALES TO ALLIANCE/OUTSIDE</v>
          </cell>
        </row>
        <row r="2432">
          <cell r="A2432">
            <v>9684999</v>
          </cell>
          <cell r="B2432">
            <v>310802</v>
          </cell>
          <cell r="C2432" t="str">
            <v>SALES TO ALLIANCE/OUTSIDE</v>
          </cell>
        </row>
        <row r="2433">
          <cell r="A2433">
            <v>9685999</v>
          </cell>
          <cell r="B2433">
            <v>310802</v>
          </cell>
          <cell r="C2433" t="str">
            <v>SALES TO ALLIANCE/OUTSIDE</v>
          </cell>
        </row>
        <row r="2434">
          <cell r="A2434">
            <v>9689692</v>
          </cell>
          <cell r="B2434">
            <v>310802</v>
          </cell>
          <cell r="C2434" t="str">
            <v>SALES TO ALLIANCE/OUTSIDE</v>
          </cell>
        </row>
        <row r="2435">
          <cell r="A2435">
            <v>9689747</v>
          </cell>
          <cell r="B2435">
            <v>310802</v>
          </cell>
          <cell r="C2435" t="str">
            <v>SALES TO ALLIANCE/OUTSIDE</v>
          </cell>
        </row>
        <row r="2436">
          <cell r="A2436">
            <v>9689883</v>
          </cell>
          <cell r="B2436">
            <v>310802</v>
          </cell>
          <cell r="C2436" t="str">
            <v>SALES TO ALLIANCE/OUTSIDE</v>
          </cell>
        </row>
        <row r="2437">
          <cell r="A2437">
            <v>9689890</v>
          </cell>
          <cell r="B2437">
            <v>310802</v>
          </cell>
          <cell r="C2437" t="str">
            <v>SALES TO ALLIANCE/OUTSIDE</v>
          </cell>
        </row>
        <row r="2438">
          <cell r="A2438">
            <v>9689906</v>
          </cell>
          <cell r="B2438">
            <v>310802</v>
          </cell>
          <cell r="C2438" t="str">
            <v>SALES TO ALLIANCE/OUTSIDE</v>
          </cell>
        </row>
        <row r="2439">
          <cell r="A2439">
            <v>9689925</v>
          </cell>
          <cell r="B2439">
            <v>310802</v>
          </cell>
          <cell r="C2439" t="str">
            <v>SALES TO ALLIANCE/OUTSIDE</v>
          </cell>
        </row>
        <row r="2440">
          <cell r="A2440">
            <v>9689990</v>
          </cell>
          <cell r="B2440">
            <v>310802</v>
          </cell>
          <cell r="C2440" t="str">
            <v>SALES TO ALLIANCE/OUTSIDE</v>
          </cell>
        </row>
        <row r="2441">
          <cell r="A2441">
            <v>9689991</v>
          </cell>
          <cell r="B2441">
            <v>310802</v>
          </cell>
          <cell r="C2441" t="str">
            <v>SALES TO ALLIANCE/OUTSIDE</v>
          </cell>
        </row>
        <row r="2442">
          <cell r="A2442">
            <v>9689992</v>
          </cell>
          <cell r="B2442">
            <v>310802</v>
          </cell>
          <cell r="C2442" t="str">
            <v>SALES TO ALLIANCE/OUTSIDE</v>
          </cell>
        </row>
        <row r="2443">
          <cell r="A2443">
            <v>9689993</v>
          </cell>
          <cell r="B2443">
            <v>310802</v>
          </cell>
          <cell r="C2443" t="str">
            <v>SALES TO ALLIANCE/OUTSIDE</v>
          </cell>
        </row>
        <row r="2444">
          <cell r="A2444">
            <v>9689994</v>
          </cell>
          <cell r="B2444">
            <v>310802</v>
          </cell>
          <cell r="C2444" t="str">
            <v>SALES TO ALLIANCE/OUTSIDE</v>
          </cell>
        </row>
        <row r="2445">
          <cell r="A2445">
            <v>9720703</v>
          </cell>
          <cell r="B2445">
            <v>310802</v>
          </cell>
          <cell r="C2445" t="str">
            <v>SALES TO ALLIANCE/OUTSIDE</v>
          </cell>
        </row>
        <row r="2446">
          <cell r="A2446">
            <v>9720704</v>
          </cell>
          <cell r="B2446">
            <v>310802</v>
          </cell>
          <cell r="C2446" t="str">
            <v>SALES TO ALLIANCE/OUTSIDE</v>
          </cell>
        </row>
        <row r="2447">
          <cell r="A2447">
            <v>9720716</v>
          </cell>
          <cell r="B2447">
            <v>310802</v>
          </cell>
          <cell r="C2447" t="str">
            <v>SALES TO ALLIANCE/OUTSIDE</v>
          </cell>
        </row>
        <row r="2448">
          <cell r="A2448">
            <v>9722708</v>
          </cell>
          <cell r="B2448">
            <v>310802</v>
          </cell>
          <cell r="C2448" t="str">
            <v>SALES TO ALLIANCE/OUTSIDE</v>
          </cell>
        </row>
        <row r="2449">
          <cell r="A2449">
            <v>9722709</v>
          </cell>
          <cell r="B2449">
            <v>310802</v>
          </cell>
          <cell r="C2449" t="str">
            <v>SALES TO ALLIANCE/OUTSIDE</v>
          </cell>
        </row>
        <row r="2450">
          <cell r="A2450">
            <v>9722713</v>
          </cell>
          <cell r="B2450">
            <v>310802</v>
          </cell>
          <cell r="C2450" t="str">
            <v>SALES TO ALLIANCE/OUTSIDE</v>
          </cell>
        </row>
        <row r="2451">
          <cell r="A2451">
            <v>9723723</v>
          </cell>
          <cell r="B2451">
            <v>310802</v>
          </cell>
          <cell r="C2451" t="str">
            <v>SALES TO ALLIANCE/OUTSIDE</v>
          </cell>
        </row>
        <row r="2452">
          <cell r="A2452">
            <v>9723729</v>
          </cell>
          <cell r="B2452">
            <v>310802</v>
          </cell>
          <cell r="C2452" t="str">
            <v>SALES TO ALLIANCE/OUTSIDE</v>
          </cell>
        </row>
        <row r="2453">
          <cell r="A2453">
            <v>9724718</v>
          </cell>
          <cell r="B2453">
            <v>310802</v>
          </cell>
          <cell r="C2453" t="str">
            <v>SALES TO ALLIANCE/OUTSIDE</v>
          </cell>
        </row>
        <row r="2454">
          <cell r="A2454">
            <v>9724721</v>
          </cell>
          <cell r="B2454">
            <v>310802</v>
          </cell>
          <cell r="C2454" t="str">
            <v>SALES TO ALLIANCE/OUTSIDE</v>
          </cell>
        </row>
        <row r="2455">
          <cell r="A2455">
            <v>9724724</v>
          </cell>
          <cell r="B2455">
            <v>310802</v>
          </cell>
          <cell r="C2455" t="str">
            <v>SALES TO ALLIANCE/OUTSIDE</v>
          </cell>
        </row>
        <row r="2456">
          <cell r="A2456">
            <v>9724726</v>
          </cell>
          <cell r="B2456">
            <v>310802</v>
          </cell>
          <cell r="C2456" t="str">
            <v>SALES TO ALLIANCE/OUTSIDE</v>
          </cell>
        </row>
        <row r="2457">
          <cell r="A2457">
            <v>9725703</v>
          </cell>
          <cell r="B2457">
            <v>310802</v>
          </cell>
          <cell r="C2457" t="str">
            <v>SALES TO ALLIANCE/OUTSIDE</v>
          </cell>
        </row>
        <row r="2458">
          <cell r="A2458">
            <v>9725704</v>
          </cell>
          <cell r="B2458">
            <v>310802</v>
          </cell>
          <cell r="C2458" t="str">
            <v>SALES TO ALLIANCE/OUTSIDE</v>
          </cell>
        </row>
        <row r="2459">
          <cell r="A2459">
            <v>9725711</v>
          </cell>
          <cell r="B2459">
            <v>310802</v>
          </cell>
          <cell r="C2459" t="str">
            <v>SALES TO ALLIANCE/OUTSIDE</v>
          </cell>
        </row>
        <row r="2460">
          <cell r="A2460">
            <v>9725717</v>
          </cell>
          <cell r="B2460">
            <v>310802</v>
          </cell>
          <cell r="C2460" t="str">
            <v>SALES TO ALLIANCE/OUTSIDE</v>
          </cell>
        </row>
        <row r="2461">
          <cell r="A2461">
            <v>9725725</v>
          </cell>
          <cell r="B2461">
            <v>310802</v>
          </cell>
          <cell r="C2461" t="str">
            <v>SALES TO ALLIANCE/OUTSIDE</v>
          </cell>
        </row>
        <row r="2462">
          <cell r="A2462">
            <v>9725711</v>
          </cell>
          <cell r="B2462">
            <v>310889</v>
          </cell>
          <cell r="C2462" t="str">
            <v>AUTOMATIC TELLER MACHINES</v>
          </cell>
        </row>
        <row r="2463">
          <cell r="A2463">
            <v>9080700</v>
          </cell>
          <cell r="B2463">
            <v>311011</v>
          </cell>
          <cell r="C2463" t="str">
            <v>TRANSFERS TO SAFEWAY RETAIL US</v>
          </cell>
        </row>
        <row r="2464">
          <cell r="A2464">
            <v>9080701</v>
          </cell>
          <cell r="B2464">
            <v>311011</v>
          </cell>
          <cell r="C2464" t="str">
            <v>TRANSFERS TO SAFEWAY RETAIL US</v>
          </cell>
        </row>
        <row r="2465">
          <cell r="A2465">
            <v>9080702</v>
          </cell>
          <cell r="B2465">
            <v>311011</v>
          </cell>
          <cell r="C2465" t="str">
            <v>TRANSFERS TO SAFEWAY RETAIL US</v>
          </cell>
        </row>
        <row r="2466">
          <cell r="A2466">
            <v>9080705</v>
          </cell>
          <cell r="B2466">
            <v>311011</v>
          </cell>
          <cell r="C2466" t="str">
            <v>TRANSFERS TO SAFEWAY RETAIL US</v>
          </cell>
        </row>
        <row r="2467">
          <cell r="A2467">
            <v>9080707</v>
          </cell>
          <cell r="B2467">
            <v>311011</v>
          </cell>
          <cell r="C2467" t="str">
            <v>TRANSFERS TO SAFEWAY RETAIL US</v>
          </cell>
        </row>
        <row r="2468">
          <cell r="A2468">
            <v>9080710</v>
          </cell>
          <cell r="B2468">
            <v>311011</v>
          </cell>
          <cell r="C2468" t="str">
            <v>TRANSFERS TO SAFEWAY RETAIL US</v>
          </cell>
        </row>
        <row r="2469">
          <cell r="A2469">
            <v>9090999</v>
          </cell>
          <cell r="B2469">
            <v>311011</v>
          </cell>
          <cell r="C2469" t="str">
            <v>TRANSFERS TO SAFEWAY RETAIL US</v>
          </cell>
        </row>
        <row r="2470">
          <cell r="A2470">
            <v>9100999</v>
          </cell>
          <cell r="B2470">
            <v>311011</v>
          </cell>
          <cell r="C2470" t="str">
            <v>TRANSFERS TO SAFEWAY RETAIL US</v>
          </cell>
        </row>
        <row r="2471">
          <cell r="A2471">
            <v>9110700</v>
          </cell>
          <cell r="B2471">
            <v>311011</v>
          </cell>
          <cell r="C2471" t="str">
            <v>TRANSFERS TO SAFEWAY RETAIL US</v>
          </cell>
        </row>
        <row r="2472">
          <cell r="A2472">
            <v>9110702</v>
          </cell>
          <cell r="B2472">
            <v>311011</v>
          </cell>
          <cell r="C2472" t="str">
            <v>TRANSFERS TO SAFEWAY RETAIL US</v>
          </cell>
        </row>
        <row r="2473">
          <cell r="A2473">
            <v>9110705</v>
          </cell>
          <cell r="B2473">
            <v>311011</v>
          </cell>
          <cell r="C2473" t="str">
            <v>TRANSFERS TO SAFEWAY RETAIL US</v>
          </cell>
        </row>
        <row r="2474">
          <cell r="A2474">
            <v>9110707</v>
          </cell>
          <cell r="B2474">
            <v>311011</v>
          </cell>
          <cell r="C2474" t="str">
            <v>TRANSFERS TO SAFEWAY RETAIL US</v>
          </cell>
        </row>
        <row r="2475">
          <cell r="A2475">
            <v>9680700</v>
          </cell>
          <cell r="B2475">
            <v>311011</v>
          </cell>
          <cell r="C2475" t="str">
            <v>TRANSFERS TO SAFEWAY RETAIL US</v>
          </cell>
        </row>
        <row r="2476">
          <cell r="A2476">
            <v>9680701</v>
          </cell>
          <cell r="B2476">
            <v>311011</v>
          </cell>
          <cell r="C2476" t="str">
            <v>TRANSFERS TO SAFEWAY RETAIL US</v>
          </cell>
        </row>
        <row r="2477">
          <cell r="A2477">
            <v>9680702</v>
          </cell>
          <cell r="B2477">
            <v>311011</v>
          </cell>
          <cell r="C2477" t="str">
            <v>TRANSFERS TO SAFEWAY RETAIL US</v>
          </cell>
        </row>
        <row r="2478">
          <cell r="A2478">
            <v>9680705</v>
          </cell>
          <cell r="B2478">
            <v>311011</v>
          </cell>
          <cell r="C2478" t="str">
            <v>TRANSFERS TO SAFEWAY RETAIL US</v>
          </cell>
        </row>
        <row r="2479">
          <cell r="A2479">
            <v>9680707</v>
          </cell>
          <cell r="B2479">
            <v>311011</v>
          </cell>
          <cell r="C2479" t="str">
            <v>TRANSFERS TO SAFEWAY RETAIL US</v>
          </cell>
        </row>
        <row r="2480">
          <cell r="A2480">
            <v>9680710</v>
          </cell>
          <cell r="B2480">
            <v>311011</v>
          </cell>
          <cell r="C2480" t="str">
            <v>TRANSFERS TO SAFEWAY RETAIL US</v>
          </cell>
        </row>
        <row r="2481">
          <cell r="A2481">
            <v>9680712</v>
          </cell>
          <cell r="B2481">
            <v>311011</v>
          </cell>
          <cell r="C2481" t="str">
            <v>TRANSFERS TO SAFEWAY RETAIL US</v>
          </cell>
        </row>
        <row r="2482">
          <cell r="A2482">
            <v>9680714</v>
          </cell>
          <cell r="B2482">
            <v>311011</v>
          </cell>
          <cell r="C2482" t="str">
            <v>TRANSFERS TO SAFEWAY RETAIL US</v>
          </cell>
        </row>
        <row r="2483">
          <cell r="A2483">
            <v>9680734</v>
          </cell>
          <cell r="B2483">
            <v>311011</v>
          </cell>
          <cell r="C2483" t="str">
            <v>TRANSFERS TO SAFEWAY RETAIL US</v>
          </cell>
        </row>
        <row r="2484">
          <cell r="A2484">
            <v>9680748</v>
          </cell>
          <cell r="B2484">
            <v>311011</v>
          </cell>
          <cell r="C2484" t="str">
            <v>TRANSFERS TO SAFEWAY RETAIL US</v>
          </cell>
        </row>
        <row r="2485">
          <cell r="A2485">
            <v>9680749</v>
          </cell>
          <cell r="B2485">
            <v>311011</v>
          </cell>
          <cell r="C2485" t="str">
            <v>TRANSFERS TO SAFEWAY RETAIL US</v>
          </cell>
        </row>
        <row r="2486">
          <cell r="A2486">
            <v>9680894</v>
          </cell>
          <cell r="B2486">
            <v>311011</v>
          </cell>
          <cell r="C2486" t="str">
            <v>TRANSFERS TO SAFEWAY RETAIL US</v>
          </cell>
        </row>
        <row r="2487">
          <cell r="A2487">
            <v>9680999</v>
          </cell>
          <cell r="B2487">
            <v>311011</v>
          </cell>
          <cell r="C2487" t="str">
            <v>TRANSFERS TO SAFEWAY RETAIL US</v>
          </cell>
        </row>
        <row r="2488">
          <cell r="A2488">
            <v>9681700</v>
          </cell>
          <cell r="B2488">
            <v>311011</v>
          </cell>
          <cell r="C2488" t="str">
            <v>TRANSFERS TO SAFEWAY RETAIL US</v>
          </cell>
        </row>
        <row r="2489">
          <cell r="A2489">
            <v>9681701</v>
          </cell>
          <cell r="B2489">
            <v>311011</v>
          </cell>
          <cell r="C2489" t="str">
            <v>TRANSFERS TO SAFEWAY RETAIL US</v>
          </cell>
        </row>
        <row r="2490">
          <cell r="A2490">
            <v>9681702</v>
          </cell>
          <cell r="B2490">
            <v>311011</v>
          </cell>
          <cell r="C2490" t="str">
            <v>TRANSFERS TO SAFEWAY RETAIL US</v>
          </cell>
        </row>
        <row r="2491">
          <cell r="A2491">
            <v>9681705</v>
          </cell>
          <cell r="B2491">
            <v>311011</v>
          </cell>
          <cell r="C2491" t="str">
            <v>TRANSFERS TO SAFEWAY RETAIL US</v>
          </cell>
        </row>
        <row r="2492">
          <cell r="A2492">
            <v>9681706</v>
          </cell>
          <cell r="B2492">
            <v>311011</v>
          </cell>
          <cell r="C2492" t="str">
            <v>TRANSFERS TO SAFEWAY RETAIL US</v>
          </cell>
        </row>
        <row r="2493">
          <cell r="A2493">
            <v>9681707</v>
          </cell>
          <cell r="B2493">
            <v>311011</v>
          </cell>
          <cell r="C2493" t="str">
            <v>TRANSFERS TO SAFEWAY RETAIL US</v>
          </cell>
        </row>
        <row r="2494">
          <cell r="A2494">
            <v>9681710</v>
          </cell>
          <cell r="B2494">
            <v>311011</v>
          </cell>
          <cell r="C2494" t="str">
            <v>TRANSFERS TO SAFEWAY RETAIL US</v>
          </cell>
        </row>
        <row r="2495">
          <cell r="A2495">
            <v>9681712</v>
          </cell>
          <cell r="B2495">
            <v>311011</v>
          </cell>
          <cell r="C2495" t="str">
            <v>TRANSFERS TO SAFEWAY RETAIL US</v>
          </cell>
        </row>
        <row r="2496">
          <cell r="A2496">
            <v>9681714</v>
          </cell>
          <cell r="B2496">
            <v>311011</v>
          </cell>
          <cell r="C2496" t="str">
            <v>TRANSFERS TO SAFEWAY RETAIL US</v>
          </cell>
        </row>
        <row r="2497">
          <cell r="A2497">
            <v>9681716</v>
          </cell>
          <cell r="B2497">
            <v>311011</v>
          </cell>
          <cell r="C2497" t="str">
            <v>TRANSFERS TO SAFEWAY RETAIL US</v>
          </cell>
        </row>
        <row r="2498">
          <cell r="A2498">
            <v>9681727</v>
          </cell>
          <cell r="B2498">
            <v>311011</v>
          </cell>
          <cell r="C2498" t="str">
            <v>TRANSFERS TO SAFEWAY RETAIL US</v>
          </cell>
        </row>
        <row r="2499">
          <cell r="A2499">
            <v>9681734</v>
          </cell>
          <cell r="B2499">
            <v>311011</v>
          </cell>
          <cell r="C2499" t="str">
            <v>TRANSFERS TO SAFEWAY RETAIL US</v>
          </cell>
        </row>
        <row r="2500">
          <cell r="A2500">
            <v>9681748</v>
          </cell>
          <cell r="B2500">
            <v>311011</v>
          </cell>
          <cell r="C2500" t="str">
            <v>TRANSFERS TO SAFEWAY RETAIL US</v>
          </cell>
        </row>
        <row r="2501">
          <cell r="A2501">
            <v>9681749</v>
          </cell>
          <cell r="B2501">
            <v>311011</v>
          </cell>
          <cell r="C2501" t="str">
            <v>TRANSFERS TO SAFEWAY RETAIL US</v>
          </cell>
        </row>
        <row r="2502">
          <cell r="A2502">
            <v>9681894</v>
          </cell>
          <cell r="B2502">
            <v>311011</v>
          </cell>
          <cell r="C2502" t="str">
            <v>TRANSFERS TO SAFEWAY RETAIL US</v>
          </cell>
        </row>
        <row r="2503">
          <cell r="A2503">
            <v>9681999</v>
          </cell>
          <cell r="B2503">
            <v>311011</v>
          </cell>
          <cell r="C2503" t="str">
            <v>TRANSFERS TO SAFEWAY RETAIL US</v>
          </cell>
        </row>
        <row r="2504">
          <cell r="A2504">
            <v>9682715</v>
          </cell>
          <cell r="B2504">
            <v>311011</v>
          </cell>
          <cell r="C2504" t="str">
            <v>TRANSFERS TO SAFEWAY RETAIL US</v>
          </cell>
        </row>
        <row r="2505">
          <cell r="A2505">
            <v>9682722</v>
          </cell>
          <cell r="B2505">
            <v>311011</v>
          </cell>
          <cell r="C2505" t="str">
            <v>TRANSFERS TO SAFEWAY RETAIL US</v>
          </cell>
        </row>
        <row r="2506">
          <cell r="A2506">
            <v>9682999</v>
          </cell>
          <cell r="B2506">
            <v>311011</v>
          </cell>
          <cell r="C2506" t="str">
            <v>TRANSFERS TO SAFEWAY RETAIL US</v>
          </cell>
        </row>
        <row r="2507">
          <cell r="A2507">
            <v>9683999</v>
          </cell>
          <cell r="B2507">
            <v>311011</v>
          </cell>
          <cell r="C2507" t="str">
            <v>TRANSFERS TO SAFEWAY RETAIL US</v>
          </cell>
        </row>
        <row r="2508">
          <cell r="A2508">
            <v>9684999</v>
          </cell>
          <cell r="B2508">
            <v>311011</v>
          </cell>
          <cell r="C2508" t="str">
            <v>TRANSFERS TO SAFEWAY RETAIL US</v>
          </cell>
        </row>
        <row r="2509">
          <cell r="A2509">
            <v>9685999</v>
          </cell>
          <cell r="B2509">
            <v>311011</v>
          </cell>
          <cell r="C2509" t="str">
            <v>TRANSFERS TO SAFEWAY RETAIL US</v>
          </cell>
        </row>
        <row r="2510">
          <cell r="A2510">
            <v>9689692</v>
          </cell>
          <cell r="B2510">
            <v>311011</v>
          </cell>
          <cell r="C2510" t="str">
            <v>TRANSFERS TO SAFEWAY RETAIL US</v>
          </cell>
        </row>
        <row r="2511">
          <cell r="A2511">
            <v>9689747</v>
          </cell>
          <cell r="B2511">
            <v>311011</v>
          </cell>
          <cell r="C2511" t="str">
            <v>TRANSFERS TO SAFEWAY RETAIL US</v>
          </cell>
        </row>
        <row r="2512">
          <cell r="A2512">
            <v>9689883</v>
          </cell>
          <cell r="B2512">
            <v>311011</v>
          </cell>
          <cell r="C2512" t="str">
            <v>TRANSFERS TO SAFEWAY RETAIL US</v>
          </cell>
        </row>
        <row r="2513">
          <cell r="A2513">
            <v>9689890</v>
          </cell>
          <cell r="B2513">
            <v>311011</v>
          </cell>
          <cell r="C2513" t="str">
            <v>TRANSFERS TO SAFEWAY RETAIL US</v>
          </cell>
        </row>
        <row r="2514">
          <cell r="A2514">
            <v>9689906</v>
          </cell>
          <cell r="B2514">
            <v>311011</v>
          </cell>
          <cell r="C2514" t="str">
            <v>TRANSFERS TO SAFEWAY RETAIL US</v>
          </cell>
        </row>
        <row r="2515">
          <cell r="A2515">
            <v>9689925</v>
          </cell>
          <cell r="B2515">
            <v>311011</v>
          </cell>
          <cell r="C2515" t="str">
            <v>TRANSFERS TO SAFEWAY RETAIL US</v>
          </cell>
        </row>
        <row r="2516">
          <cell r="A2516">
            <v>9689990</v>
          </cell>
          <cell r="B2516">
            <v>311011</v>
          </cell>
          <cell r="C2516" t="str">
            <v>TRANSFERS TO SAFEWAY RETAIL US</v>
          </cell>
        </row>
        <row r="2517">
          <cell r="A2517">
            <v>9689991</v>
          </cell>
          <cell r="B2517">
            <v>311011</v>
          </cell>
          <cell r="C2517" t="str">
            <v>TRANSFERS TO SAFEWAY RETAIL US</v>
          </cell>
        </row>
        <row r="2518">
          <cell r="A2518">
            <v>9689992</v>
          </cell>
          <cell r="B2518">
            <v>311011</v>
          </cell>
          <cell r="C2518" t="str">
            <v>TRANSFERS TO SAFEWAY RETAIL US</v>
          </cell>
        </row>
        <row r="2519">
          <cell r="A2519">
            <v>9689993</v>
          </cell>
          <cell r="B2519">
            <v>311011</v>
          </cell>
          <cell r="C2519" t="str">
            <v>TRANSFERS TO SAFEWAY RETAIL US</v>
          </cell>
        </row>
        <row r="2520">
          <cell r="A2520">
            <v>9689994</v>
          </cell>
          <cell r="B2520">
            <v>311011</v>
          </cell>
          <cell r="C2520" t="str">
            <v>TRANSFERS TO SAFEWAY RETAIL US</v>
          </cell>
        </row>
        <row r="2521">
          <cell r="A2521">
            <v>9720703</v>
          </cell>
          <cell r="B2521">
            <v>311011</v>
          </cell>
          <cell r="C2521" t="str">
            <v>TRANSFERS TO SAFEWAY RETAIL US</v>
          </cell>
        </row>
        <row r="2522">
          <cell r="A2522">
            <v>9720704</v>
          </cell>
          <cell r="B2522">
            <v>311011</v>
          </cell>
          <cell r="C2522" t="str">
            <v>TRANSFERS TO SAFEWAY RETAIL US</v>
          </cell>
        </row>
        <row r="2523">
          <cell r="A2523">
            <v>9720716</v>
          </cell>
          <cell r="B2523">
            <v>311011</v>
          </cell>
          <cell r="C2523" t="str">
            <v>TRANSFERS TO SAFEWAY RETAIL US</v>
          </cell>
        </row>
        <row r="2524">
          <cell r="A2524">
            <v>9722708</v>
          </cell>
          <cell r="B2524">
            <v>311011</v>
          </cell>
          <cell r="C2524" t="str">
            <v>TRANSFERS TO SAFEWAY RETAIL US</v>
          </cell>
        </row>
        <row r="2525">
          <cell r="A2525">
            <v>9722709</v>
          </cell>
          <cell r="B2525">
            <v>311011</v>
          </cell>
          <cell r="C2525" t="str">
            <v>TRANSFERS TO SAFEWAY RETAIL US</v>
          </cell>
        </row>
        <row r="2526">
          <cell r="A2526">
            <v>9722713</v>
          </cell>
          <cell r="B2526">
            <v>311011</v>
          </cell>
          <cell r="C2526" t="str">
            <v>TRANSFERS TO SAFEWAY RETAIL US</v>
          </cell>
        </row>
        <row r="2527">
          <cell r="A2527">
            <v>9723723</v>
          </cell>
          <cell r="B2527">
            <v>311011</v>
          </cell>
          <cell r="C2527" t="str">
            <v>TRANSFERS TO SAFEWAY RETAIL US</v>
          </cell>
        </row>
        <row r="2528">
          <cell r="A2528">
            <v>9723729</v>
          </cell>
          <cell r="B2528">
            <v>311011</v>
          </cell>
          <cell r="C2528" t="str">
            <v>TRANSFERS TO SAFEWAY RETAIL US</v>
          </cell>
        </row>
        <row r="2529">
          <cell r="A2529">
            <v>9724718</v>
          </cell>
          <cell r="B2529">
            <v>311011</v>
          </cell>
          <cell r="C2529" t="str">
            <v>TRANSFERS TO SAFEWAY RETAIL US</v>
          </cell>
        </row>
        <row r="2530">
          <cell r="A2530">
            <v>9724721</v>
          </cell>
          <cell r="B2530">
            <v>311011</v>
          </cell>
          <cell r="C2530" t="str">
            <v>TRANSFERS TO SAFEWAY RETAIL US</v>
          </cell>
        </row>
        <row r="2531">
          <cell r="A2531">
            <v>9724724</v>
          </cell>
          <cell r="B2531">
            <v>311011</v>
          </cell>
          <cell r="C2531" t="str">
            <v>TRANSFERS TO SAFEWAY RETAIL US</v>
          </cell>
        </row>
        <row r="2532">
          <cell r="A2532">
            <v>9724726</v>
          </cell>
          <cell r="B2532">
            <v>311011</v>
          </cell>
          <cell r="C2532" t="str">
            <v>TRANSFERS TO SAFEWAY RETAIL US</v>
          </cell>
        </row>
        <row r="2533">
          <cell r="A2533">
            <v>9725703</v>
          </cell>
          <cell r="B2533">
            <v>311011</v>
          </cell>
          <cell r="C2533" t="str">
            <v>TRANSFERS TO SAFEWAY RETAIL US</v>
          </cell>
        </row>
        <row r="2534">
          <cell r="A2534">
            <v>9725704</v>
          </cell>
          <cell r="B2534">
            <v>311011</v>
          </cell>
          <cell r="C2534" t="str">
            <v>TRANSFERS TO SAFEWAY RETAIL US</v>
          </cell>
        </row>
        <row r="2535">
          <cell r="A2535">
            <v>9725711</v>
          </cell>
          <cell r="B2535">
            <v>311011</v>
          </cell>
          <cell r="C2535" t="str">
            <v>TRANSFERS TO SAFEWAY RETAIL US</v>
          </cell>
        </row>
        <row r="2536">
          <cell r="A2536">
            <v>9725717</v>
          </cell>
          <cell r="B2536">
            <v>311011</v>
          </cell>
          <cell r="C2536" t="str">
            <v>TRANSFERS TO SAFEWAY RETAIL US</v>
          </cell>
        </row>
        <row r="2537">
          <cell r="A2537">
            <v>9725725</v>
          </cell>
          <cell r="B2537">
            <v>311011</v>
          </cell>
          <cell r="C2537" t="str">
            <v>TRANSFERS TO SAFEWAY RETAIL US</v>
          </cell>
        </row>
        <row r="2538">
          <cell r="A2538">
            <v>9080700</v>
          </cell>
          <cell r="B2538">
            <v>312102</v>
          </cell>
          <cell r="C2538" t="str">
            <v>PURCHASES-FINISHED GOODS</v>
          </cell>
        </row>
        <row r="2539">
          <cell r="A2539">
            <v>9080701</v>
          </cell>
          <cell r="B2539">
            <v>312102</v>
          </cell>
          <cell r="C2539" t="str">
            <v>PURCHASES-FINISHED GOODS</v>
          </cell>
        </row>
        <row r="2540">
          <cell r="A2540">
            <v>9080702</v>
          </cell>
          <cell r="B2540">
            <v>312102</v>
          </cell>
          <cell r="C2540" t="str">
            <v>PURCHASES-FINISHED GOODS</v>
          </cell>
        </row>
        <row r="2541">
          <cell r="A2541">
            <v>9080705</v>
          </cell>
          <cell r="B2541">
            <v>312102</v>
          </cell>
          <cell r="C2541" t="str">
            <v>PURCHASES-FINISHED GOODS</v>
          </cell>
        </row>
        <row r="2542">
          <cell r="A2542">
            <v>9080707</v>
          </cell>
          <cell r="B2542">
            <v>312102</v>
          </cell>
          <cell r="C2542" t="str">
            <v>PURCHASES-FINISHED GOODS</v>
          </cell>
        </row>
        <row r="2543">
          <cell r="A2543">
            <v>9080710</v>
          </cell>
          <cell r="B2543">
            <v>312102</v>
          </cell>
          <cell r="C2543" t="str">
            <v>PURCHASES-FINISHED GOODS</v>
          </cell>
        </row>
        <row r="2544">
          <cell r="A2544">
            <v>9090999</v>
          </cell>
          <cell r="B2544">
            <v>312102</v>
          </cell>
          <cell r="C2544" t="str">
            <v>PURCHASES-FINISHED GOODS</v>
          </cell>
        </row>
        <row r="2545">
          <cell r="A2545">
            <v>9100999</v>
          </cell>
          <cell r="B2545">
            <v>312102</v>
          </cell>
          <cell r="C2545" t="str">
            <v>PURCHASES-FINISHED GOODS</v>
          </cell>
        </row>
        <row r="2546">
          <cell r="A2546">
            <v>9110700</v>
          </cell>
          <cell r="B2546">
            <v>312102</v>
          </cell>
          <cell r="C2546" t="str">
            <v>PURCHASES-FINISHED GOODS</v>
          </cell>
        </row>
        <row r="2547">
          <cell r="A2547">
            <v>9110702</v>
          </cell>
          <cell r="B2547">
            <v>312102</v>
          </cell>
          <cell r="C2547" t="str">
            <v>PURCHASES-FINISHED GOODS</v>
          </cell>
        </row>
        <row r="2548">
          <cell r="A2548">
            <v>9110705</v>
          </cell>
          <cell r="B2548">
            <v>312102</v>
          </cell>
          <cell r="C2548" t="str">
            <v>PURCHASES-FINISHED GOODS</v>
          </cell>
        </row>
        <row r="2549">
          <cell r="A2549">
            <v>9110707</v>
          </cell>
          <cell r="B2549">
            <v>312102</v>
          </cell>
          <cell r="C2549" t="str">
            <v>PURCHASES-FINISHED GOODS</v>
          </cell>
        </row>
        <row r="2550">
          <cell r="A2550">
            <v>9680700</v>
          </cell>
          <cell r="B2550">
            <v>312102</v>
          </cell>
          <cell r="C2550" t="str">
            <v>PURCHASES-FINISHED GOODS</v>
          </cell>
        </row>
        <row r="2551">
          <cell r="A2551">
            <v>9680701</v>
          </cell>
          <cell r="B2551">
            <v>312102</v>
          </cell>
          <cell r="C2551" t="str">
            <v>PURCHASES-FINISHED GOODS</v>
          </cell>
        </row>
        <row r="2552">
          <cell r="A2552">
            <v>9680702</v>
          </cell>
          <cell r="B2552">
            <v>312102</v>
          </cell>
          <cell r="C2552" t="str">
            <v>PURCHASES-FINISHED GOODS</v>
          </cell>
        </row>
        <row r="2553">
          <cell r="A2553">
            <v>9680705</v>
          </cell>
          <cell r="B2553">
            <v>312102</v>
          </cell>
          <cell r="C2553" t="str">
            <v>PURCHASES-FINISHED GOODS</v>
          </cell>
        </row>
        <row r="2554">
          <cell r="A2554">
            <v>9680707</v>
          </cell>
          <cell r="B2554">
            <v>312102</v>
          </cell>
          <cell r="C2554" t="str">
            <v>PURCHASES-FINISHED GOODS</v>
          </cell>
        </row>
        <row r="2555">
          <cell r="A2555">
            <v>9680710</v>
          </cell>
          <cell r="B2555">
            <v>312102</v>
          </cell>
          <cell r="C2555" t="str">
            <v>PURCHASES-FINISHED GOODS</v>
          </cell>
        </row>
        <row r="2556">
          <cell r="A2556">
            <v>9680712</v>
          </cell>
          <cell r="B2556">
            <v>312102</v>
          </cell>
          <cell r="C2556" t="str">
            <v>PURCHASES-FINISHED GOODS</v>
          </cell>
        </row>
        <row r="2557">
          <cell r="A2557">
            <v>9680714</v>
          </cell>
          <cell r="B2557">
            <v>312102</v>
          </cell>
          <cell r="C2557" t="str">
            <v>PURCHASES-FINISHED GOODS</v>
          </cell>
        </row>
        <row r="2558">
          <cell r="A2558">
            <v>9680734</v>
          </cell>
          <cell r="B2558">
            <v>312102</v>
          </cell>
          <cell r="C2558" t="str">
            <v>PURCHASES-FINISHED GOODS</v>
          </cell>
        </row>
        <row r="2559">
          <cell r="A2559">
            <v>9680748</v>
          </cell>
          <cell r="B2559">
            <v>312102</v>
          </cell>
          <cell r="C2559" t="str">
            <v>PURCHASES-FINISHED GOODS</v>
          </cell>
        </row>
        <row r="2560">
          <cell r="A2560">
            <v>9680749</v>
          </cell>
          <cell r="B2560">
            <v>312102</v>
          </cell>
          <cell r="C2560" t="str">
            <v>PURCHASES-FINISHED GOODS</v>
          </cell>
        </row>
        <row r="2561">
          <cell r="A2561">
            <v>9680894</v>
          </cell>
          <cell r="B2561">
            <v>312102</v>
          </cell>
          <cell r="C2561" t="str">
            <v>PURCHASES-FINISHED GOODS</v>
          </cell>
        </row>
        <row r="2562">
          <cell r="A2562">
            <v>9680999</v>
          </cell>
          <cell r="B2562">
            <v>312102</v>
          </cell>
          <cell r="C2562" t="str">
            <v>PURCHASES-FINISHED GOODS</v>
          </cell>
        </row>
        <row r="2563">
          <cell r="A2563">
            <v>9681700</v>
          </cell>
          <cell r="B2563">
            <v>312102</v>
          </cell>
          <cell r="C2563" t="str">
            <v>PURCHASES-FINISHED GOODS</v>
          </cell>
        </row>
        <row r="2564">
          <cell r="A2564">
            <v>9681701</v>
          </cell>
          <cell r="B2564">
            <v>312102</v>
          </cell>
          <cell r="C2564" t="str">
            <v>PURCHASES-FINISHED GOODS</v>
          </cell>
        </row>
        <row r="2565">
          <cell r="A2565">
            <v>9681702</v>
          </cell>
          <cell r="B2565">
            <v>312102</v>
          </cell>
          <cell r="C2565" t="str">
            <v>PURCHASES-FINISHED GOODS</v>
          </cell>
        </row>
        <row r="2566">
          <cell r="A2566">
            <v>9681705</v>
          </cell>
          <cell r="B2566">
            <v>312102</v>
          </cell>
          <cell r="C2566" t="str">
            <v>PURCHASES-FINISHED GOODS</v>
          </cell>
        </row>
        <row r="2567">
          <cell r="A2567">
            <v>9681706</v>
          </cell>
          <cell r="B2567">
            <v>312102</v>
          </cell>
          <cell r="C2567" t="str">
            <v>PURCHASES-FINISHED GOODS</v>
          </cell>
        </row>
        <row r="2568">
          <cell r="A2568">
            <v>9681707</v>
          </cell>
          <cell r="B2568">
            <v>312102</v>
          </cell>
          <cell r="C2568" t="str">
            <v>PURCHASES-FINISHED GOODS</v>
          </cell>
        </row>
        <row r="2569">
          <cell r="A2569">
            <v>9681710</v>
          </cell>
          <cell r="B2569">
            <v>312102</v>
          </cell>
          <cell r="C2569" t="str">
            <v>PURCHASES-FINISHED GOODS</v>
          </cell>
        </row>
        <row r="2570">
          <cell r="A2570">
            <v>9681712</v>
          </cell>
          <cell r="B2570">
            <v>312102</v>
          </cell>
          <cell r="C2570" t="str">
            <v>PURCHASES-FINISHED GOODS</v>
          </cell>
        </row>
        <row r="2571">
          <cell r="A2571">
            <v>9681714</v>
          </cell>
          <cell r="B2571">
            <v>312102</v>
          </cell>
          <cell r="C2571" t="str">
            <v>PURCHASES-FINISHED GOODS</v>
          </cell>
        </row>
        <row r="2572">
          <cell r="A2572">
            <v>9681716</v>
          </cell>
          <cell r="B2572">
            <v>312102</v>
          </cell>
          <cell r="C2572" t="str">
            <v>PURCHASES-FINISHED GOODS</v>
          </cell>
        </row>
        <row r="2573">
          <cell r="A2573">
            <v>9681727</v>
          </cell>
          <cell r="B2573">
            <v>312102</v>
          </cell>
          <cell r="C2573" t="str">
            <v>PURCHASES-FINISHED GOODS</v>
          </cell>
        </row>
        <row r="2574">
          <cell r="A2574">
            <v>9681734</v>
          </cell>
          <cell r="B2574">
            <v>312102</v>
          </cell>
          <cell r="C2574" t="str">
            <v>PURCHASES-FINISHED GOODS</v>
          </cell>
        </row>
        <row r="2575">
          <cell r="A2575">
            <v>9681748</v>
          </cell>
          <cell r="B2575">
            <v>312102</v>
          </cell>
          <cell r="C2575" t="str">
            <v>PURCHASES-FINISHED GOODS</v>
          </cell>
        </row>
        <row r="2576">
          <cell r="A2576">
            <v>9681749</v>
          </cell>
          <cell r="B2576">
            <v>312102</v>
          </cell>
          <cell r="C2576" t="str">
            <v>PURCHASES-FINISHED GOODS</v>
          </cell>
        </row>
        <row r="2577">
          <cell r="A2577">
            <v>9681894</v>
          </cell>
          <cell r="B2577">
            <v>312102</v>
          </cell>
          <cell r="C2577" t="str">
            <v>PURCHASES-FINISHED GOODS</v>
          </cell>
        </row>
        <row r="2578">
          <cell r="A2578">
            <v>9681999</v>
          </cell>
          <cell r="B2578">
            <v>312102</v>
          </cell>
          <cell r="C2578" t="str">
            <v>PURCHASES-FINISHED GOODS</v>
          </cell>
        </row>
        <row r="2579">
          <cell r="A2579">
            <v>9682715</v>
          </cell>
          <cell r="B2579">
            <v>312102</v>
          </cell>
          <cell r="C2579" t="str">
            <v>PURCHASES-FINISHED GOODS</v>
          </cell>
        </row>
        <row r="2580">
          <cell r="A2580">
            <v>9682722</v>
          </cell>
          <cell r="B2580">
            <v>312102</v>
          </cell>
          <cell r="C2580" t="str">
            <v>PURCHASES-FINISHED GOODS</v>
          </cell>
        </row>
        <row r="2581">
          <cell r="A2581">
            <v>9682999</v>
          </cell>
          <cell r="B2581">
            <v>312102</v>
          </cell>
          <cell r="C2581" t="str">
            <v>PURCHASES-FINISHED GOODS</v>
          </cell>
        </row>
        <row r="2582">
          <cell r="A2582">
            <v>9683999</v>
          </cell>
          <cell r="B2582">
            <v>312102</v>
          </cell>
          <cell r="C2582" t="str">
            <v>PURCHASES-FINISHED GOODS</v>
          </cell>
        </row>
        <row r="2583">
          <cell r="A2583">
            <v>9684999</v>
          </cell>
          <cell r="B2583">
            <v>312102</v>
          </cell>
          <cell r="C2583" t="str">
            <v>PURCHASES-FINISHED GOODS</v>
          </cell>
        </row>
        <row r="2584">
          <cell r="A2584">
            <v>9685999</v>
          </cell>
          <cell r="B2584">
            <v>312102</v>
          </cell>
          <cell r="C2584" t="str">
            <v>PURCHASES-FINISHED GOODS</v>
          </cell>
        </row>
        <row r="2585">
          <cell r="A2585">
            <v>9689692</v>
          </cell>
          <cell r="B2585">
            <v>312102</v>
          </cell>
          <cell r="C2585" t="str">
            <v>PURCHASES-FINISHED GOODS</v>
          </cell>
        </row>
        <row r="2586">
          <cell r="A2586">
            <v>9689747</v>
          </cell>
          <cell r="B2586">
            <v>312102</v>
          </cell>
          <cell r="C2586" t="str">
            <v>PURCHASES-FINISHED GOODS</v>
          </cell>
        </row>
        <row r="2587">
          <cell r="A2587">
            <v>9689883</v>
          </cell>
          <cell r="B2587">
            <v>312102</v>
          </cell>
          <cell r="C2587" t="str">
            <v>PURCHASES-FINISHED GOODS</v>
          </cell>
        </row>
        <row r="2588">
          <cell r="A2588">
            <v>9689890</v>
          </cell>
          <cell r="B2588">
            <v>312102</v>
          </cell>
          <cell r="C2588" t="str">
            <v>PURCHASES-FINISHED GOODS</v>
          </cell>
        </row>
        <row r="2589">
          <cell r="A2589">
            <v>9689906</v>
          </cell>
          <cell r="B2589">
            <v>312102</v>
          </cell>
          <cell r="C2589" t="str">
            <v>PURCHASES-FINISHED GOODS</v>
          </cell>
        </row>
        <row r="2590">
          <cell r="A2590">
            <v>9689925</v>
          </cell>
          <cell r="B2590">
            <v>312102</v>
          </cell>
          <cell r="C2590" t="str">
            <v>PURCHASES-FINISHED GOODS</v>
          </cell>
        </row>
        <row r="2591">
          <cell r="A2591">
            <v>9689990</v>
          </cell>
          <cell r="B2591">
            <v>312102</v>
          </cell>
          <cell r="C2591" t="str">
            <v>PURCHASES-FINISHED GOODS</v>
          </cell>
        </row>
        <row r="2592">
          <cell r="A2592">
            <v>9689991</v>
          </cell>
          <cell r="B2592">
            <v>312102</v>
          </cell>
          <cell r="C2592" t="str">
            <v>PURCHASES-FINISHED GOODS</v>
          </cell>
        </row>
        <row r="2593">
          <cell r="A2593">
            <v>9689992</v>
          </cell>
          <cell r="B2593">
            <v>312102</v>
          </cell>
          <cell r="C2593" t="str">
            <v>PURCHASES-FINISHED GOODS</v>
          </cell>
        </row>
        <row r="2594">
          <cell r="A2594">
            <v>9689993</v>
          </cell>
          <cell r="B2594">
            <v>312102</v>
          </cell>
          <cell r="C2594" t="str">
            <v>PURCHASES-FINISHED GOODS</v>
          </cell>
        </row>
        <row r="2595">
          <cell r="A2595">
            <v>9689994</v>
          </cell>
          <cell r="B2595">
            <v>312102</v>
          </cell>
          <cell r="C2595" t="str">
            <v>PURCHASES-FINISHED GOODS</v>
          </cell>
        </row>
        <row r="2596">
          <cell r="A2596">
            <v>9720703</v>
          </cell>
          <cell r="B2596">
            <v>312102</v>
          </cell>
          <cell r="C2596" t="str">
            <v>PURCHASES-FINISHED GOODS</v>
          </cell>
        </row>
        <row r="2597">
          <cell r="A2597">
            <v>9720704</v>
          </cell>
          <cell r="B2597">
            <v>312102</v>
          </cell>
          <cell r="C2597" t="str">
            <v>PURCHASES-FINISHED GOODS</v>
          </cell>
        </row>
        <row r="2598">
          <cell r="A2598">
            <v>9720716</v>
          </cell>
          <cell r="B2598">
            <v>312102</v>
          </cell>
          <cell r="C2598" t="str">
            <v>PURCHASES-FINISHED GOODS</v>
          </cell>
        </row>
        <row r="2599">
          <cell r="A2599">
            <v>9722708</v>
          </cell>
          <cell r="B2599">
            <v>312102</v>
          </cell>
          <cell r="C2599" t="str">
            <v>PURCHASES-FINISHED GOODS</v>
          </cell>
        </row>
        <row r="2600">
          <cell r="A2600">
            <v>9722709</v>
          </cell>
          <cell r="B2600">
            <v>312102</v>
          </cell>
          <cell r="C2600" t="str">
            <v>PURCHASES-FINISHED GOODS</v>
          </cell>
        </row>
        <row r="2601">
          <cell r="A2601">
            <v>9722713</v>
          </cell>
          <cell r="B2601">
            <v>312102</v>
          </cell>
          <cell r="C2601" t="str">
            <v>PURCHASES-FINISHED GOODS</v>
          </cell>
        </row>
        <row r="2602">
          <cell r="A2602">
            <v>9723723</v>
          </cell>
          <cell r="B2602">
            <v>312102</v>
          </cell>
          <cell r="C2602" t="str">
            <v>PURCHASES-FINISHED GOODS</v>
          </cell>
        </row>
        <row r="2603">
          <cell r="A2603">
            <v>9723729</v>
          </cell>
          <cell r="B2603">
            <v>312102</v>
          </cell>
          <cell r="C2603" t="str">
            <v>PURCHASES-FINISHED GOODS</v>
          </cell>
        </row>
        <row r="2604">
          <cell r="A2604">
            <v>9724718</v>
          </cell>
          <cell r="B2604">
            <v>312102</v>
          </cell>
          <cell r="C2604" t="str">
            <v>PURCHASES-FINISHED GOODS</v>
          </cell>
        </row>
        <row r="2605">
          <cell r="A2605">
            <v>9724721</v>
          </cell>
          <cell r="B2605">
            <v>312102</v>
          </cell>
          <cell r="C2605" t="str">
            <v>PURCHASES-FINISHED GOODS</v>
          </cell>
        </row>
        <row r="2606">
          <cell r="A2606">
            <v>9724724</v>
          </cell>
          <cell r="B2606">
            <v>312102</v>
          </cell>
          <cell r="C2606" t="str">
            <v>PURCHASES-FINISHED GOODS</v>
          </cell>
        </row>
        <row r="2607">
          <cell r="A2607">
            <v>9724726</v>
          </cell>
          <cell r="B2607">
            <v>312102</v>
          </cell>
          <cell r="C2607" t="str">
            <v>PURCHASES-FINISHED GOODS</v>
          </cell>
        </row>
        <row r="2608">
          <cell r="A2608">
            <v>9725703</v>
          </cell>
          <cell r="B2608">
            <v>312102</v>
          </cell>
          <cell r="C2608" t="str">
            <v>PURCHASES-FINISHED GOODS</v>
          </cell>
        </row>
        <row r="2609">
          <cell r="A2609">
            <v>9725704</v>
          </cell>
          <cell r="B2609">
            <v>312102</v>
          </cell>
          <cell r="C2609" t="str">
            <v>PURCHASES-FINISHED GOODS</v>
          </cell>
        </row>
        <row r="2610">
          <cell r="A2610">
            <v>9725711</v>
          </cell>
          <cell r="B2610">
            <v>312102</v>
          </cell>
          <cell r="C2610" t="str">
            <v>PURCHASES-FINISHED GOODS</v>
          </cell>
        </row>
        <row r="2611">
          <cell r="A2611">
            <v>9725717</v>
          </cell>
          <cell r="B2611">
            <v>312102</v>
          </cell>
          <cell r="C2611" t="str">
            <v>PURCHASES-FINISHED GOODS</v>
          </cell>
        </row>
        <row r="2612">
          <cell r="A2612">
            <v>9725725</v>
          </cell>
          <cell r="B2612">
            <v>312102</v>
          </cell>
          <cell r="C2612" t="str">
            <v>PURCHASES-FINISHED GOODS</v>
          </cell>
        </row>
        <row r="2613">
          <cell r="A2613">
            <v>9080700</v>
          </cell>
          <cell r="B2613">
            <v>312114</v>
          </cell>
          <cell r="C2613" t="str">
            <v>STORE ALLOWANCES NOT IN COST</v>
          </cell>
        </row>
        <row r="2614">
          <cell r="A2614">
            <v>9080701</v>
          </cell>
          <cell r="B2614">
            <v>312114</v>
          </cell>
          <cell r="C2614" t="str">
            <v>STORE ALLOWANCES NOT IN COST</v>
          </cell>
        </row>
        <row r="2615">
          <cell r="A2615">
            <v>9080702</v>
          </cell>
          <cell r="B2615">
            <v>312114</v>
          </cell>
          <cell r="C2615" t="str">
            <v>STORE ALLOWANCES NOT IN COST</v>
          </cell>
        </row>
        <row r="2616">
          <cell r="A2616">
            <v>9080705</v>
          </cell>
          <cell r="B2616">
            <v>312114</v>
          </cell>
          <cell r="C2616" t="str">
            <v>STORE ALLOWANCES NOT IN COST</v>
          </cell>
        </row>
        <row r="2617">
          <cell r="A2617">
            <v>9080707</v>
          </cell>
          <cell r="B2617">
            <v>312114</v>
          </cell>
          <cell r="C2617" t="str">
            <v>STORE ALLOWANCES NOT IN COST</v>
          </cell>
        </row>
        <row r="2618">
          <cell r="A2618">
            <v>9080710</v>
          </cell>
          <cell r="B2618">
            <v>312114</v>
          </cell>
          <cell r="C2618" t="str">
            <v>STORE ALLOWANCES NOT IN COST</v>
          </cell>
        </row>
        <row r="2619">
          <cell r="A2619">
            <v>9090999</v>
          </cell>
          <cell r="B2619">
            <v>312114</v>
          </cell>
          <cell r="C2619" t="str">
            <v>STORE ALLOWANCES NOT IN COST</v>
          </cell>
        </row>
        <row r="2620">
          <cell r="A2620">
            <v>9100999</v>
          </cell>
          <cell r="B2620">
            <v>312114</v>
          </cell>
          <cell r="C2620" t="str">
            <v>STORE ALLOWANCES NOT IN COST</v>
          </cell>
        </row>
        <row r="2621">
          <cell r="A2621">
            <v>9110700</v>
          </cell>
          <cell r="B2621">
            <v>312114</v>
          </cell>
          <cell r="C2621" t="str">
            <v>STORE ALLOWANCES NOT IN COST</v>
          </cell>
        </row>
        <row r="2622">
          <cell r="A2622">
            <v>9110702</v>
          </cell>
          <cell r="B2622">
            <v>312114</v>
          </cell>
          <cell r="C2622" t="str">
            <v>STORE ALLOWANCES NOT IN COST</v>
          </cell>
        </row>
        <row r="2623">
          <cell r="A2623">
            <v>9110705</v>
          </cell>
          <cell r="B2623">
            <v>312114</v>
          </cell>
          <cell r="C2623" t="str">
            <v>STORE ALLOWANCES NOT IN COST</v>
          </cell>
        </row>
        <row r="2624">
          <cell r="A2624">
            <v>9110707</v>
          </cell>
          <cell r="B2624">
            <v>312114</v>
          </cell>
          <cell r="C2624" t="str">
            <v>STORE ALLOWANCES NOT IN COST</v>
          </cell>
        </row>
        <row r="2625">
          <cell r="A2625">
            <v>9680700</v>
          </cell>
          <cell r="B2625">
            <v>312114</v>
          </cell>
          <cell r="C2625" t="str">
            <v>STORE ALLOWANCES NOT IN COST</v>
          </cell>
        </row>
        <row r="2626">
          <cell r="A2626">
            <v>9680701</v>
          </cell>
          <cell r="B2626">
            <v>312114</v>
          </cell>
          <cell r="C2626" t="str">
            <v>STORE ALLOWANCES NOT IN COST</v>
          </cell>
        </row>
        <row r="2627">
          <cell r="A2627">
            <v>9680702</v>
          </cell>
          <cell r="B2627">
            <v>312114</v>
          </cell>
          <cell r="C2627" t="str">
            <v>STORE ALLOWANCES NOT IN COST</v>
          </cell>
        </row>
        <row r="2628">
          <cell r="A2628">
            <v>9680705</v>
          </cell>
          <cell r="B2628">
            <v>312114</v>
          </cell>
          <cell r="C2628" t="str">
            <v>STORE ALLOWANCES NOT IN COST</v>
          </cell>
        </row>
        <row r="2629">
          <cell r="A2629">
            <v>9680707</v>
          </cell>
          <cell r="B2629">
            <v>312114</v>
          </cell>
          <cell r="C2629" t="str">
            <v>STORE ALLOWANCES NOT IN COST</v>
          </cell>
        </row>
        <row r="2630">
          <cell r="A2630">
            <v>9680710</v>
          </cell>
          <cell r="B2630">
            <v>312114</v>
          </cell>
          <cell r="C2630" t="str">
            <v>STORE ALLOWANCES NOT IN COST</v>
          </cell>
        </row>
        <row r="2631">
          <cell r="A2631">
            <v>9680712</v>
          </cell>
          <cell r="B2631">
            <v>312114</v>
          </cell>
          <cell r="C2631" t="str">
            <v>STORE ALLOWANCES NOT IN COST</v>
          </cell>
        </row>
        <row r="2632">
          <cell r="A2632">
            <v>9680714</v>
          </cell>
          <cell r="B2632">
            <v>312114</v>
          </cell>
          <cell r="C2632" t="str">
            <v>STORE ALLOWANCES NOT IN COST</v>
          </cell>
        </row>
        <row r="2633">
          <cell r="A2633">
            <v>9680734</v>
          </cell>
          <cell r="B2633">
            <v>312114</v>
          </cell>
          <cell r="C2633" t="str">
            <v>STORE ALLOWANCES NOT IN COST</v>
          </cell>
        </row>
        <row r="2634">
          <cell r="A2634">
            <v>9680748</v>
          </cell>
          <cell r="B2634">
            <v>312114</v>
          </cell>
          <cell r="C2634" t="str">
            <v>STORE ALLOWANCES NOT IN COST</v>
          </cell>
        </row>
        <row r="2635">
          <cell r="A2635">
            <v>9680749</v>
          </cell>
          <cell r="B2635">
            <v>312114</v>
          </cell>
          <cell r="C2635" t="str">
            <v>STORE ALLOWANCES NOT IN COST</v>
          </cell>
        </row>
        <row r="2636">
          <cell r="A2636">
            <v>9680894</v>
          </cell>
          <cell r="B2636">
            <v>312114</v>
          </cell>
          <cell r="C2636" t="str">
            <v>STORE ALLOWANCES NOT IN COST</v>
          </cell>
        </row>
        <row r="2637">
          <cell r="A2637">
            <v>9680999</v>
          </cell>
          <cell r="B2637">
            <v>312114</v>
          </cell>
          <cell r="C2637" t="str">
            <v>STORE ALLOWANCES NOT IN COST</v>
          </cell>
        </row>
        <row r="2638">
          <cell r="A2638">
            <v>9681700</v>
          </cell>
          <cell r="B2638">
            <v>312114</v>
          </cell>
          <cell r="C2638" t="str">
            <v>STORE ALLOWANCES NOT IN COST</v>
          </cell>
        </row>
        <row r="2639">
          <cell r="A2639">
            <v>9681701</v>
          </cell>
          <cell r="B2639">
            <v>312114</v>
          </cell>
          <cell r="C2639" t="str">
            <v>STORE ALLOWANCES NOT IN COST</v>
          </cell>
        </row>
        <row r="2640">
          <cell r="A2640">
            <v>9681702</v>
          </cell>
          <cell r="B2640">
            <v>312114</v>
          </cell>
          <cell r="C2640" t="str">
            <v>STORE ALLOWANCES NOT IN COST</v>
          </cell>
        </row>
        <row r="2641">
          <cell r="A2641">
            <v>9681705</v>
          </cell>
          <cell r="B2641">
            <v>312114</v>
          </cell>
          <cell r="C2641" t="str">
            <v>STORE ALLOWANCES NOT IN COST</v>
          </cell>
        </row>
        <row r="2642">
          <cell r="A2642">
            <v>9681706</v>
          </cell>
          <cell r="B2642">
            <v>312114</v>
          </cell>
          <cell r="C2642" t="str">
            <v>STORE ALLOWANCES NOT IN COST</v>
          </cell>
        </row>
        <row r="2643">
          <cell r="A2643">
            <v>9681707</v>
          </cell>
          <cell r="B2643">
            <v>312114</v>
          </cell>
          <cell r="C2643" t="str">
            <v>STORE ALLOWANCES NOT IN COST</v>
          </cell>
        </row>
        <row r="2644">
          <cell r="A2644">
            <v>9681710</v>
          </cell>
          <cell r="B2644">
            <v>312114</v>
          </cell>
          <cell r="C2644" t="str">
            <v>STORE ALLOWANCES NOT IN COST</v>
          </cell>
        </row>
        <row r="2645">
          <cell r="A2645">
            <v>9681712</v>
          </cell>
          <cell r="B2645">
            <v>312114</v>
          </cell>
          <cell r="C2645" t="str">
            <v>STORE ALLOWANCES NOT IN COST</v>
          </cell>
        </row>
        <row r="2646">
          <cell r="A2646">
            <v>9681714</v>
          </cell>
          <cell r="B2646">
            <v>312114</v>
          </cell>
          <cell r="C2646" t="str">
            <v>STORE ALLOWANCES NOT IN COST</v>
          </cell>
        </row>
        <row r="2647">
          <cell r="A2647">
            <v>9681716</v>
          </cell>
          <cell r="B2647">
            <v>312114</v>
          </cell>
          <cell r="C2647" t="str">
            <v>STORE ALLOWANCES NOT IN COST</v>
          </cell>
        </row>
        <row r="2648">
          <cell r="A2648">
            <v>9681727</v>
          </cell>
          <cell r="B2648">
            <v>312114</v>
          </cell>
          <cell r="C2648" t="str">
            <v>STORE ALLOWANCES NOT IN COST</v>
          </cell>
        </row>
        <row r="2649">
          <cell r="A2649">
            <v>9681734</v>
          </cell>
          <cell r="B2649">
            <v>312114</v>
          </cell>
          <cell r="C2649" t="str">
            <v>STORE ALLOWANCES NOT IN COST</v>
          </cell>
        </row>
        <row r="2650">
          <cell r="A2650">
            <v>9681748</v>
          </cell>
          <cell r="B2650">
            <v>312114</v>
          </cell>
          <cell r="C2650" t="str">
            <v>STORE ALLOWANCES NOT IN COST</v>
          </cell>
        </row>
        <row r="2651">
          <cell r="A2651">
            <v>9681749</v>
          </cell>
          <cell r="B2651">
            <v>312114</v>
          </cell>
          <cell r="C2651" t="str">
            <v>STORE ALLOWANCES NOT IN COST</v>
          </cell>
        </row>
        <row r="2652">
          <cell r="A2652">
            <v>9681894</v>
          </cell>
          <cell r="B2652">
            <v>312114</v>
          </cell>
          <cell r="C2652" t="str">
            <v>STORE ALLOWANCES NOT IN COST</v>
          </cell>
        </row>
        <row r="2653">
          <cell r="A2653">
            <v>9681999</v>
          </cell>
          <cell r="B2653">
            <v>312114</v>
          </cell>
          <cell r="C2653" t="str">
            <v>STORE ALLOWANCES NOT IN COST</v>
          </cell>
        </row>
        <row r="2654">
          <cell r="A2654">
            <v>9682715</v>
          </cell>
          <cell r="B2654">
            <v>312114</v>
          </cell>
          <cell r="C2654" t="str">
            <v>STORE ALLOWANCES NOT IN COST</v>
          </cell>
        </row>
        <row r="2655">
          <cell r="A2655">
            <v>9682722</v>
          </cell>
          <cell r="B2655">
            <v>312114</v>
          </cell>
          <cell r="C2655" t="str">
            <v>STORE ALLOWANCES NOT IN COST</v>
          </cell>
        </row>
        <row r="2656">
          <cell r="A2656">
            <v>9682999</v>
          </cell>
          <cell r="B2656">
            <v>312114</v>
          </cell>
          <cell r="C2656" t="str">
            <v>STORE ALLOWANCES NOT IN COST</v>
          </cell>
        </row>
        <row r="2657">
          <cell r="A2657">
            <v>9683999</v>
          </cell>
          <cell r="B2657">
            <v>312114</v>
          </cell>
          <cell r="C2657" t="str">
            <v>STORE ALLOWANCES NOT IN COST</v>
          </cell>
        </row>
        <row r="2658">
          <cell r="A2658">
            <v>9684999</v>
          </cell>
          <cell r="B2658">
            <v>312114</v>
          </cell>
          <cell r="C2658" t="str">
            <v>STORE ALLOWANCES NOT IN COST</v>
          </cell>
        </row>
        <row r="2659">
          <cell r="A2659">
            <v>9685999</v>
          </cell>
          <cell r="B2659">
            <v>312114</v>
          </cell>
          <cell r="C2659" t="str">
            <v>STORE ALLOWANCES NOT IN COST</v>
          </cell>
        </row>
        <row r="2660">
          <cell r="A2660">
            <v>9689692</v>
          </cell>
          <cell r="B2660">
            <v>312114</v>
          </cell>
          <cell r="C2660" t="str">
            <v>STORE ALLOWANCES NOT IN COST</v>
          </cell>
        </row>
        <row r="2661">
          <cell r="A2661">
            <v>9689747</v>
          </cell>
          <cell r="B2661">
            <v>312114</v>
          </cell>
          <cell r="C2661" t="str">
            <v>STORE ALLOWANCES NOT IN COST</v>
          </cell>
        </row>
        <row r="2662">
          <cell r="A2662">
            <v>9689883</v>
          </cell>
          <cell r="B2662">
            <v>312114</v>
          </cell>
          <cell r="C2662" t="str">
            <v>STORE ALLOWANCES NOT IN COST</v>
          </cell>
        </row>
        <row r="2663">
          <cell r="A2663">
            <v>9689890</v>
          </cell>
          <cell r="B2663">
            <v>312114</v>
          </cell>
          <cell r="C2663" t="str">
            <v>STORE ALLOWANCES NOT IN COST</v>
          </cell>
        </row>
        <row r="2664">
          <cell r="A2664">
            <v>9689906</v>
          </cell>
          <cell r="B2664">
            <v>312114</v>
          </cell>
          <cell r="C2664" t="str">
            <v>STORE ALLOWANCES NOT IN COST</v>
          </cell>
        </row>
        <row r="2665">
          <cell r="A2665">
            <v>9689925</v>
          </cell>
          <cell r="B2665">
            <v>312114</v>
          </cell>
          <cell r="C2665" t="str">
            <v>STORE ALLOWANCES NOT IN COST</v>
          </cell>
        </row>
        <row r="2666">
          <cell r="A2666">
            <v>9689990</v>
          </cell>
          <cell r="B2666">
            <v>312114</v>
          </cell>
          <cell r="C2666" t="str">
            <v>STORE ALLOWANCES NOT IN COST</v>
          </cell>
        </row>
        <row r="2667">
          <cell r="A2667">
            <v>9689991</v>
          </cell>
          <cell r="B2667">
            <v>312114</v>
          </cell>
          <cell r="C2667" t="str">
            <v>STORE ALLOWANCES NOT IN COST</v>
          </cell>
        </row>
        <row r="2668">
          <cell r="A2668">
            <v>9689992</v>
          </cell>
          <cell r="B2668">
            <v>312114</v>
          </cell>
          <cell r="C2668" t="str">
            <v>STORE ALLOWANCES NOT IN COST</v>
          </cell>
        </row>
        <row r="2669">
          <cell r="A2669">
            <v>9689993</v>
          </cell>
          <cell r="B2669">
            <v>312114</v>
          </cell>
          <cell r="C2669" t="str">
            <v>STORE ALLOWANCES NOT IN COST</v>
          </cell>
        </row>
        <row r="2670">
          <cell r="A2670">
            <v>9689994</v>
          </cell>
          <cell r="B2670">
            <v>312114</v>
          </cell>
          <cell r="C2670" t="str">
            <v>STORE ALLOWANCES NOT IN COST</v>
          </cell>
        </row>
        <row r="2671">
          <cell r="A2671">
            <v>9720703</v>
          </cell>
          <cell r="B2671">
            <v>312114</v>
          </cell>
          <cell r="C2671" t="str">
            <v>STORE ALLOWANCES NOT IN COST</v>
          </cell>
        </row>
        <row r="2672">
          <cell r="A2672">
            <v>9720704</v>
          </cell>
          <cell r="B2672">
            <v>312114</v>
          </cell>
          <cell r="C2672" t="str">
            <v>STORE ALLOWANCES NOT IN COST</v>
          </cell>
        </row>
        <row r="2673">
          <cell r="A2673">
            <v>9720716</v>
          </cell>
          <cell r="B2673">
            <v>312114</v>
          </cell>
          <cell r="C2673" t="str">
            <v>STORE ALLOWANCES NOT IN COST</v>
          </cell>
        </row>
        <row r="2674">
          <cell r="A2674">
            <v>9722708</v>
          </cell>
          <cell r="B2674">
            <v>312114</v>
          </cell>
          <cell r="C2674" t="str">
            <v>STORE ALLOWANCES NOT IN COST</v>
          </cell>
        </row>
        <row r="2675">
          <cell r="A2675">
            <v>9722709</v>
          </cell>
          <cell r="B2675">
            <v>312114</v>
          </cell>
          <cell r="C2675" t="str">
            <v>STORE ALLOWANCES NOT IN COST</v>
          </cell>
        </row>
        <row r="2676">
          <cell r="A2676">
            <v>9722713</v>
          </cell>
          <cell r="B2676">
            <v>312114</v>
          </cell>
          <cell r="C2676" t="str">
            <v>STORE ALLOWANCES NOT IN COST</v>
          </cell>
        </row>
        <row r="2677">
          <cell r="A2677">
            <v>9723723</v>
          </cell>
          <cell r="B2677">
            <v>312114</v>
          </cell>
          <cell r="C2677" t="str">
            <v>STORE ALLOWANCES NOT IN COST</v>
          </cell>
        </row>
        <row r="2678">
          <cell r="A2678">
            <v>9723729</v>
          </cell>
          <cell r="B2678">
            <v>312114</v>
          </cell>
          <cell r="C2678" t="str">
            <v>STORE ALLOWANCES NOT IN COST</v>
          </cell>
        </row>
        <row r="2679">
          <cell r="A2679">
            <v>9724718</v>
          </cell>
          <cell r="B2679">
            <v>312114</v>
          </cell>
          <cell r="C2679" t="str">
            <v>STORE ALLOWANCES NOT IN COST</v>
          </cell>
        </row>
        <row r="2680">
          <cell r="A2680">
            <v>9724721</v>
          </cell>
          <cell r="B2680">
            <v>312114</v>
          </cell>
          <cell r="C2680" t="str">
            <v>STORE ALLOWANCES NOT IN COST</v>
          </cell>
        </row>
        <row r="2681">
          <cell r="A2681">
            <v>9724724</v>
          </cell>
          <cell r="B2681">
            <v>312114</v>
          </cell>
          <cell r="C2681" t="str">
            <v>STORE ALLOWANCES NOT IN COST</v>
          </cell>
        </row>
        <row r="2682">
          <cell r="A2682">
            <v>9724726</v>
          </cell>
          <cell r="B2682">
            <v>312114</v>
          </cell>
          <cell r="C2682" t="str">
            <v>STORE ALLOWANCES NOT IN COST</v>
          </cell>
        </row>
        <row r="2683">
          <cell r="A2683">
            <v>9725703</v>
          </cell>
          <cell r="B2683">
            <v>312114</v>
          </cell>
          <cell r="C2683" t="str">
            <v>STORE ALLOWANCES NOT IN COST</v>
          </cell>
        </row>
        <row r="2684">
          <cell r="A2684">
            <v>9725704</v>
          </cell>
          <cell r="B2684">
            <v>312114</v>
          </cell>
          <cell r="C2684" t="str">
            <v>STORE ALLOWANCES NOT IN COST</v>
          </cell>
        </row>
        <row r="2685">
          <cell r="A2685">
            <v>9725711</v>
          </cell>
          <cell r="B2685">
            <v>312114</v>
          </cell>
          <cell r="C2685" t="str">
            <v>STORE ALLOWANCES NOT IN COST</v>
          </cell>
        </row>
        <row r="2686">
          <cell r="A2686">
            <v>9725717</v>
          </cell>
          <cell r="B2686">
            <v>312114</v>
          </cell>
          <cell r="C2686" t="str">
            <v>STORE ALLOWANCES NOT IN COST</v>
          </cell>
        </row>
        <row r="2687">
          <cell r="A2687">
            <v>9725725</v>
          </cell>
          <cell r="B2687">
            <v>312114</v>
          </cell>
          <cell r="C2687" t="str">
            <v>STORE ALLOWANCES NOT IN COST</v>
          </cell>
        </row>
        <row r="2688">
          <cell r="A2688">
            <v>9080700</v>
          </cell>
          <cell r="B2688">
            <v>312124</v>
          </cell>
          <cell r="C2688" t="str">
            <v>FREIGHT CHARGES PAID</v>
          </cell>
        </row>
        <row r="2689">
          <cell r="A2689">
            <v>9080701</v>
          </cell>
          <cell r="B2689">
            <v>312124</v>
          </cell>
          <cell r="C2689" t="str">
            <v>FREIGHT CHARGES PAID</v>
          </cell>
        </row>
        <row r="2690">
          <cell r="A2690">
            <v>9080702</v>
          </cell>
          <cell r="B2690">
            <v>312124</v>
          </cell>
          <cell r="C2690" t="str">
            <v>FREIGHT CHARGES PAID</v>
          </cell>
        </row>
        <row r="2691">
          <cell r="A2691">
            <v>9080705</v>
          </cell>
          <cell r="B2691">
            <v>312124</v>
          </cell>
          <cell r="C2691" t="str">
            <v>FREIGHT CHARGES PAID</v>
          </cell>
        </row>
        <row r="2692">
          <cell r="A2692">
            <v>9080707</v>
          </cell>
          <cell r="B2692">
            <v>312124</v>
          </cell>
          <cell r="C2692" t="str">
            <v>FREIGHT CHARGES PAID</v>
          </cell>
        </row>
        <row r="2693">
          <cell r="A2693">
            <v>9080710</v>
          </cell>
          <cell r="B2693">
            <v>312124</v>
          </cell>
          <cell r="C2693" t="str">
            <v>FREIGHT CHARGES PAID</v>
          </cell>
        </row>
        <row r="2694">
          <cell r="A2694">
            <v>9090999</v>
          </cell>
          <cell r="B2694">
            <v>312124</v>
          </cell>
          <cell r="C2694" t="str">
            <v>FREIGHT CHARGES PAID</v>
          </cell>
        </row>
        <row r="2695">
          <cell r="A2695">
            <v>9100999</v>
          </cell>
          <cell r="B2695">
            <v>312124</v>
          </cell>
          <cell r="C2695" t="str">
            <v>FREIGHT CHARGES PAID</v>
          </cell>
        </row>
        <row r="2696">
          <cell r="A2696">
            <v>9110700</v>
          </cell>
          <cell r="B2696">
            <v>312124</v>
          </cell>
          <cell r="C2696" t="str">
            <v>FREIGHT CHARGES PAID</v>
          </cell>
        </row>
        <row r="2697">
          <cell r="A2697">
            <v>9110702</v>
          </cell>
          <cell r="B2697">
            <v>312124</v>
          </cell>
          <cell r="C2697" t="str">
            <v>FREIGHT CHARGES PAID</v>
          </cell>
        </row>
        <row r="2698">
          <cell r="A2698">
            <v>9110705</v>
          </cell>
          <cell r="B2698">
            <v>312124</v>
          </cell>
          <cell r="C2698" t="str">
            <v>FREIGHT CHARGES PAID</v>
          </cell>
        </row>
        <row r="2699">
          <cell r="A2699">
            <v>9110707</v>
          </cell>
          <cell r="B2699">
            <v>312124</v>
          </cell>
          <cell r="C2699" t="str">
            <v>FREIGHT CHARGES PAID</v>
          </cell>
        </row>
        <row r="2700">
          <cell r="A2700">
            <v>9680700</v>
          </cell>
          <cell r="B2700">
            <v>312124</v>
          </cell>
          <cell r="C2700" t="str">
            <v>FREIGHT CHARGES PAID</v>
          </cell>
        </row>
        <row r="2701">
          <cell r="A2701">
            <v>9680701</v>
          </cell>
          <cell r="B2701">
            <v>312124</v>
          </cell>
          <cell r="C2701" t="str">
            <v>FREIGHT CHARGES PAID</v>
          </cell>
        </row>
        <row r="2702">
          <cell r="A2702">
            <v>9680702</v>
          </cell>
          <cell r="B2702">
            <v>312124</v>
          </cell>
          <cell r="C2702" t="str">
            <v>FREIGHT CHARGES PAID</v>
          </cell>
        </row>
        <row r="2703">
          <cell r="A2703">
            <v>9680705</v>
          </cell>
          <cell r="B2703">
            <v>312124</v>
          </cell>
          <cell r="C2703" t="str">
            <v>FREIGHT CHARGES PAID</v>
          </cell>
        </row>
        <row r="2704">
          <cell r="A2704">
            <v>9680707</v>
          </cell>
          <cell r="B2704">
            <v>312124</v>
          </cell>
          <cell r="C2704" t="str">
            <v>FREIGHT CHARGES PAID</v>
          </cell>
        </row>
        <row r="2705">
          <cell r="A2705">
            <v>9680710</v>
          </cell>
          <cell r="B2705">
            <v>312124</v>
          </cell>
          <cell r="C2705" t="str">
            <v>FREIGHT CHARGES PAID</v>
          </cell>
        </row>
        <row r="2706">
          <cell r="A2706">
            <v>9680712</v>
          </cell>
          <cell r="B2706">
            <v>312124</v>
          </cell>
          <cell r="C2706" t="str">
            <v>FREIGHT CHARGES PAID</v>
          </cell>
        </row>
        <row r="2707">
          <cell r="A2707">
            <v>9680714</v>
          </cell>
          <cell r="B2707">
            <v>312124</v>
          </cell>
          <cell r="C2707" t="str">
            <v>FREIGHT CHARGES PAID</v>
          </cell>
        </row>
        <row r="2708">
          <cell r="A2708">
            <v>9680734</v>
          </cell>
          <cell r="B2708">
            <v>312124</v>
          </cell>
          <cell r="C2708" t="str">
            <v>FREIGHT CHARGES PAID</v>
          </cell>
        </row>
        <row r="2709">
          <cell r="A2709">
            <v>9680748</v>
          </cell>
          <cell r="B2709">
            <v>312124</v>
          </cell>
          <cell r="C2709" t="str">
            <v>FREIGHT CHARGES PAID</v>
          </cell>
        </row>
        <row r="2710">
          <cell r="A2710">
            <v>9680749</v>
          </cell>
          <cell r="B2710">
            <v>312124</v>
          </cell>
          <cell r="C2710" t="str">
            <v>FREIGHT CHARGES PAID</v>
          </cell>
        </row>
        <row r="2711">
          <cell r="A2711">
            <v>9680894</v>
          </cell>
          <cell r="B2711">
            <v>312124</v>
          </cell>
          <cell r="C2711" t="str">
            <v>FREIGHT CHARGES PAID</v>
          </cell>
        </row>
        <row r="2712">
          <cell r="A2712">
            <v>9680999</v>
          </cell>
          <cell r="B2712">
            <v>312124</v>
          </cell>
          <cell r="C2712" t="str">
            <v>FREIGHT CHARGES PAID</v>
          </cell>
        </row>
        <row r="2713">
          <cell r="A2713">
            <v>9681700</v>
          </cell>
          <cell r="B2713">
            <v>312124</v>
          </cell>
          <cell r="C2713" t="str">
            <v>FREIGHT CHARGES PAID</v>
          </cell>
        </row>
        <row r="2714">
          <cell r="A2714">
            <v>9681701</v>
          </cell>
          <cell r="B2714">
            <v>312124</v>
          </cell>
          <cell r="C2714" t="str">
            <v>FREIGHT CHARGES PAID</v>
          </cell>
        </row>
        <row r="2715">
          <cell r="A2715">
            <v>9681702</v>
          </cell>
          <cell r="B2715">
            <v>312124</v>
          </cell>
          <cell r="C2715" t="str">
            <v>FREIGHT CHARGES PAID</v>
          </cell>
        </row>
        <row r="2716">
          <cell r="A2716">
            <v>9681705</v>
          </cell>
          <cell r="B2716">
            <v>312124</v>
          </cell>
          <cell r="C2716" t="str">
            <v>FREIGHT CHARGES PAID</v>
          </cell>
        </row>
        <row r="2717">
          <cell r="A2717">
            <v>9681706</v>
          </cell>
          <cell r="B2717">
            <v>312124</v>
          </cell>
          <cell r="C2717" t="str">
            <v>FREIGHT CHARGES PAID</v>
          </cell>
        </row>
        <row r="2718">
          <cell r="A2718">
            <v>9681707</v>
          </cell>
          <cell r="B2718">
            <v>312124</v>
          </cell>
          <cell r="C2718" t="str">
            <v>FREIGHT CHARGES PAID</v>
          </cell>
        </row>
        <row r="2719">
          <cell r="A2719">
            <v>9681710</v>
          </cell>
          <cell r="B2719">
            <v>312124</v>
          </cell>
          <cell r="C2719" t="str">
            <v>FREIGHT CHARGES PAID</v>
          </cell>
        </row>
        <row r="2720">
          <cell r="A2720">
            <v>9681712</v>
          </cell>
          <cell r="B2720">
            <v>312124</v>
          </cell>
          <cell r="C2720" t="str">
            <v>FREIGHT CHARGES PAID</v>
          </cell>
        </row>
        <row r="2721">
          <cell r="A2721">
            <v>9681714</v>
          </cell>
          <cell r="B2721">
            <v>312124</v>
          </cell>
          <cell r="C2721" t="str">
            <v>FREIGHT CHARGES PAID</v>
          </cell>
        </row>
        <row r="2722">
          <cell r="A2722">
            <v>9681716</v>
          </cell>
          <cell r="B2722">
            <v>312124</v>
          </cell>
          <cell r="C2722" t="str">
            <v>FREIGHT CHARGES PAID</v>
          </cell>
        </row>
        <row r="2723">
          <cell r="A2723">
            <v>9681727</v>
          </cell>
          <cell r="B2723">
            <v>312124</v>
          </cell>
          <cell r="C2723" t="str">
            <v>FREIGHT CHARGES PAID</v>
          </cell>
        </row>
        <row r="2724">
          <cell r="A2724">
            <v>9681734</v>
          </cell>
          <cell r="B2724">
            <v>312124</v>
          </cell>
          <cell r="C2724" t="str">
            <v>FREIGHT CHARGES PAID</v>
          </cell>
        </row>
        <row r="2725">
          <cell r="A2725">
            <v>9681748</v>
          </cell>
          <cell r="B2725">
            <v>312124</v>
          </cell>
          <cell r="C2725" t="str">
            <v>FREIGHT CHARGES PAID</v>
          </cell>
        </row>
        <row r="2726">
          <cell r="A2726">
            <v>9681749</v>
          </cell>
          <cell r="B2726">
            <v>312124</v>
          </cell>
          <cell r="C2726" t="str">
            <v>FREIGHT CHARGES PAID</v>
          </cell>
        </row>
        <row r="2727">
          <cell r="A2727">
            <v>9681894</v>
          </cell>
          <cell r="B2727">
            <v>312124</v>
          </cell>
          <cell r="C2727" t="str">
            <v>FREIGHT CHARGES PAID</v>
          </cell>
        </row>
        <row r="2728">
          <cell r="A2728">
            <v>9681999</v>
          </cell>
          <cell r="B2728">
            <v>312124</v>
          </cell>
          <cell r="C2728" t="str">
            <v>FREIGHT CHARGES PAID</v>
          </cell>
        </row>
        <row r="2729">
          <cell r="A2729">
            <v>9682715</v>
          </cell>
          <cell r="B2729">
            <v>312124</v>
          </cell>
          <cell r="C2729" t="str">
            <v>FREIGHT CHARGES PAID</v>
          </cell>
        </row>
        <row r="2730">
          <cell r="A2730">
            <v>9682722</v>
          </cell>
          <cell r="B2730">
            <v>312124</v>
          </cell>
          <cell r="C2730" t="str">
            <v>FREIGHT CHARGES PAID</v>
          </cell>
        </row>
        <row r="2731">
          <cell r="A2731">
            <v>9682999</v>
          </cell>
          <cell r="B2731">
            <v>312124</v>
          </cell>
          <cell r="C2731" t="str">
            <v>FREIGHT CHARGES PAID</v>
          </cell>
        </row>
        <row r="2732">
          <cell r="A2732">
            <v>9683999</v>
          </cell>
          <cell r="B2732">
            <v>312124</v>
          </cell>
          <cell r="C2732" t="str">
            <v>FREIGHT CHARGES PAID</v>
          </cell>
        </row>
        <row r="2733">
          <cell r="A2733">
            <v>9684999</v>
          </cell>
          <cell r="B2733">
            <v>312124</v>
          </cell>
          <cell r="C2733" t="str">
            <v>FREIGHT CHARGES PAID</v>
          </cell>
        </row>
        <row r="2734">
          <cell r="A2734">
            <v>9685999</v>
          </cell>
          <cell r="B2734">
            <v>312124</v>
          </cell>
          <cell r="C2734" t="str">
            <v>FREIGHT CHARGES PAID</v>
          </cell>
        </row>
        <row r="2735">
          <cell r="A2735">
            <v>9689692</v>
          </cell>
          <cell r="B2735">
            <v>312124</v>
          </cell>
          <cell r="C2735" t="str">
            <v>FREIGHT CHARGES PAID</v>
          </cell>
        </row>
        <row r="2736">
          <cell r="A2736">
            <v>9689747</v>
          </cell>
          <cell r="B2736">
            <v>312124</v>
          </cell>
          <cell r="C2736" t="str">
            <v>FREIGHT CHARGES PAID</v>
          </cell>
        </row>
        <row r="2737">
          <cell r="A2737">
            <v>9689883</v>
          </cell>
          <cell r="B2737">
            <v>312124</v>
          </cell>
          <cell r="C2737" t="str">
            <v>FREIGHT CHARGES PAID</v>
          </cell>
        </row>
        <row r="2738">
          <cell r="A2738">
            <v>9689890</v>
          </cell>
          <cell r="B2738">
            <v>312124</v>
          </cell>
          <cell r="C2738" t="str">
            <v>FREIGHT CHARGES PAID</v>
          </cell>
        </row>
        <row r="2739">
          <cell r="A2739">
            <v>9689906</v>
          </cell>
          <cell r="B2739">
            <v>312124</v>
          </cell>
          <cell r="C2739" t="str">
            <v>FREIGHT CHARGES PAID</v>
          </cell>
        </row>
        <row r="2740">
          <cell r="A2740">
            <v>9689925</v>
          </cell>
          <cell r="B2740">
            <v>312124</v>
          </cell>
          <cell r="C2740" t="str">
            <v>FREIGHT CHARGES PAID</v>
          </cell>
        </row>
        <row r="2741">
          <cell r="A2741">
            <v>9689990</v>
          </cell>
          <cell r="B2741">
            <v>312124</v>
          </cell>
          <cell r="C2741" t="str">
            <v>FREIGHT CHARGES PAID</v>
          </cell>
        </row>
        <row r="2742">
          <cell r="A2742">
            <v>9689991</v>
          </cell>
          <cell r="B2742">
            <v>312124</v>
          </cell>
          <cell r="C2742" t="str">
            <v>FREIGHT CHARGES PAID</v>
          </cell>
        </row>
        <row r="2743">
          <cell r="A2743">
            <v>9689992</v>
          </cell>
          <cell r="B2743">
            <v>312124</v>
          </cell>
          <cell r="C2743" t="str">
            <v>FREIGHT CHARGES PAID</v>
          </cell>
        </row>
        <row r="2744">
          <cell r="A2744">
            <v>9689993</v>
          </cell>
          <cell r="B2744">
            <v>312124</v>
          </cell>
          <cell r="C2744" t="str">
            <v>FREIGHT CHARGES PAID</v>
          </cell>
        </row>
        <row r="2745">
          <cell r="A2745">
            <v>9689994</v>
          </cell>
          <cell r="B2745">
            <v>312124</v>
          </cell>
          <cell r="C2745" t="str">
            <v>FREIGHT CHARGES PAID</v>
          </cell>
        </row>
        <row r="2746">
          <cell r="A2746">
            <v>9720703</v>
          </cell>
          <cell r="B2746">
            <v>312124</v>
          </cell>
          <cell r="C2746" t="str">
            <v>FREIGHT CHARGES PAID</v>
          </cell>
        </row>
        <row r="2747">
          <cell r="A2747">
            <v>9720704</v>
          </cell>
          <cell r="B2747">
            <v>312124</v>
          </cell>
          <cell r="C2747" t="str">
            <v>FREIGHT CHARGES PAID</v>
          </cell>
        </row>
        <row r="2748">
          <cell r="A2748">
            <v>9720716</v>
          </cell>
          <cell r="B2748">
            <v>312124</v>
          </cell>
          <cell r="C2748" t="str">
            <v>FREIGHT CHARGES PAID</v>
          </cell>
        </row>
        <row r="2749">
          <cell r="A2749">
            <v>9722708</v>
          </cell>
          <cell r="B2749">
            <v>312124</v>
          </cell>
          <cell r="C2749" t="str">
            <v>FREIGHT CHARGES PAID</v>
          </cell>
        </row>
        <row r="2750">
          <cell r="A2750">
            <v>9722709</v>
          </cell>
          <cell r="B2750">
            <v>312124</v>
          </cell>
          <cell r="C2750" t="str">
            <v>FREIGHT CHARGES PAID</v>
          </cell>
        </row>
        <row r="2751">
          <cell r="A2751">
            <v>9722713</v>
          </cell>
          <cell r="B2751">
            <v>312124</v>
          </cell>
          <cell r="C2751" t="str">
            <v>FREIGHT CHARGES PAID</v>
          </cell>
        </row>
        <row r="2752">
          <cell r="A2752">
            <v>9723723</v>
          </cell>
          <cell r="B2752">
            <v>312124</v>
          </cell>
          <cell r="C2752" t="str">
            <v>FREIGHT CHARGES PAID</v>
          </cell>
        </row>
        <row r="2753">
          <cell r="A2753">
            <v>9723729</v>
          </cell>
          <cell r="B2753">
            <v>312124</v>
          </cell>
          <cell r="C2753" t="str">
            <v>FREIGHT CHARGES PAID</v>
          </cell>
        </row>
        <row r="2754">
          <cell r="A2754">
            <v>9724718</v>
          </cell>
          <cell r="B2754">
            <v>312124</v>
          </cell>
          <cell r="C2754" t="str">
            <v>FREIGHT CHARGES PAID</v>
          </cell>
        </row>
        <row r="2755">
          <cell r="A2755">
            <v>9724721</v>
          </cell>
          <cell r="B2755">
            <v>312124</v>
          </cell>
          <cell r="C2755" t="str">
            <v>FREIGHT CHARGES PAID</v>
          </cell>
        </row>
        <row r="2756">
          <cell r="A2756">
            <v>9724724</v>
          </cell>
          <cell r="B2756">
            <v>312124</v>
          </cell>
          <cell r="C2756" t="str">
            <v>FREIGHT CHARGES PAID</v>
          </cell>
        </row>
        <row r="2757">
          <cell r="A2757">
            <v>9724726</v>
          </cell>
          <cell r="B2757">
            <v>312124</v>
          </cell>
          <cell r="C2757" t="str">
            <v>FREIGHT CHARGES PAID</v>
          </cell>
        </row>
        <row r="2758">
          <cell r="A2758">
            <v>9725703</v>
          </cell>
          <cell r="B2758">
            <v>312124</v>
          </cell>
          <cell r="C2758" t="str">
            <v>FREIGHT CHARGES PAID</v>
          </cell>
        </row>
        <row r="2759">
          <cell r="A2759">
            <v>9725704</v>
          </cell>
          <cell r="B2759">
            <v>312124</v>
          </cell>
          <cell r="C2759" t="str">
            <v>FREIGHT CHARGES PAID</v>
          </cell>
        </row>
        <row r="2760">
          <cell r="A2760">
            <v>9725711</v>
          </cell>
          <cell r="B2760">
            <v>312124</v>
          </cell>
          <cell r="C2760" t="str">
            <v>FREIGHT CHARGES PAID</v>
          </cell>
        </row>
        <row r="2761">
          <cell r="A2761">
            <v>9725717</v>
          </cell>
          <cell r="B2761">
            <v>312124</v>
          </cell>
          <cell r="C2761" t="str">
            <v>FREIGHT CHARGES PAID</v>
          </cell>
        </row>
        <row r="2762">
          <cell r="A2762">
            <v>9725725</v>
          </cell>
          <cell r="B2762">
            <v>312124</v>
          </cell>
          <cell r="C2762" t="str">
            <v>FREIGHT CHARGES PAID</v>
          </cell>
        </row>
        <row r="2763">
          <cell r="A2763">
            <v>9723723</v>
          </cell>
          <cell r="B2763">
            <v>312142</v>
          </cell>
          <cell r="C2763" t="str">
            <v>TRANS IN-MERCH-WHSE-WHSE-OTHER</v>
          </cell>
        </row>
        <row r="2764">
          <cell r="A2764">
            <v>9723729</v>
          </cell>
          <cell r="B2764">
            <v>312142</v>
          </cell>
          <cell r="C2764" t="str">
            <v>TRANS IN-MERCH-WHSE-WHSE-OTHER</v>
          </cell>
        </row>
        <row r="2765">
          <cell r="A2765">
            <v>9681701</v>
          </cell>
          <cell r="B2765">
            <v>312162</v>
          </cell>
          <cell r="C2765" t="str">
            <v>PURCHASE ADJUST-NOT INCLUDED</v>
          </cell>
        </row>
        <row r="2766">
          <cell r="A2766">
            <v>9723723</v>
          </cell>
          <cell r="B2766">
            <v>312162</v>
          </cell>
          <cell r="C2766" t="str">
            <v>PURCHASE ADJUST-NOT INCLUDED</v>
          </cell>
        </row>
        <row r="2767">
          <cell r="A2767">
            <v>9723729</v>
          </cell>
          <cell r="B2767">
            <v>312162</v>
          </cell>
          <cell r="C2767" t="str">
            <v>PURCHASE ADJUST-NOT INCLUDED</v>
          </cell>
        </row>
        <row r="2768">
          <cell r="A2768">
            <v>9080700</v>
          </cell>
          <cell r="B2768">
            <v>312171</v>
          </cell>
          <cell r="C2768" t="str">
            <v>WAREHOUSE EXPENSE</v>
          </cell>
        </row>
        <row r="2769">
          <cell r="A2769">
            <v>9080999</v>
          </cell>
          <cell r="B2769">
            <v>312171</v>
          </cell>
          <cell r="C2769" t="str">
            <v>WAREHOUSE EXPENSE</v>
          </cell>
        </row>
        <row r="2770">
          <cell r="A2770">
            <v>9110700</v>
          </cell>
          <cell r="B2770">
            <v>312171</v>
          </cell>
          <cell r="C2770" t="str">
            <v>WAREHOUSE EXPENSE</v>
          </cell>
        </row>
        <row r="2771">
          <cell r="A2771">
            <v>9110999</v>
          </cell>
          <cell r="B2771">
            <v>312171</v>
          </cell>
          <cell r="C2771" t="str">
            <v>WAREHOUSE EXPENSE</v>
          </cell>
        </row>
        <row r="2772">
          <cell r="A2772">
            <v>9689994</v>
          </cell>
          <cell r="B2772">
            <v>312171</v>
          </cell>
          <cell r="C2772" t="str">
            <v>WAREHOUSE EXPENSE</v>
          </cell>
        </row>
        <row r="2773">
          <cell r="A2773">
            <v>9725711</v>
          </cell>
          <cell r="B2773">
            <v>312171</v>
          </cell>
          <cell r="C2773" t="str">
            <v>WAREHOUSE EXPENSE</v>
          </cell>
        </row>
        <row r="2774">
          <cell r="A2774">
            <v>9723723</v>
          </cell>
          <cell r="B2774">
            <v>312173</v>
          </cell>
          <cell r="C2774" t="str">
            <v>O/S STORAGE-INVESTMENT BUYING</v>
          </cell>
        </row>
        <row r="2775">
          <cell r="A2775">
            <v>9723729</v>
          </cell>
          <cell r="B2775">
            <v>312173</v>
          </cell>
          <cell r="C2775" t="str">
            <v>O/S STORAGE-INVESTMENT BUYING</v>
          </cell>
        </row>
        <row r="2776">
          <cell r="A2776" t="str">
            <v>ZONE-9999-POST</v>
          </cell>
          <cell r="B2776">
            <v>312188</v>
          </cell>
          <cell r="C2776" t="str">
            <v>CASH DISCOUNTS</v>
          </cell>
        </row>
        <row r="2777">
          <cell r="A2777">
            <v>9080700</v>
          </cell>
          <cell r="B2777">
            <v>312298</v>
          </cell>
          <cell r="C2777" t="str">
            <v>ADVERTISING EXPENSE - ALLOCATED</v>
          </cell>
        </row>
        <row r="2778">
          <cell r="A2778">
            <v>9080701</v>
          </cell>
          <cell r="B2778">
            <v>312298</v>
          </cell>
          <cell r="C2778" t="str">
            <v>ADVERTISING EXPENSE - ALLOCATED</v>
          </cell>
        </row>
        <row r="2779">
          <cell r="A2779">
            <v>9080702</v>
          </cell>
          <cell r="B2779">
            <v>312298</v>
          </cell>
          <cell r="C2779" t="str">
            <v>ADVERTISING EXPENSE - ALLOCATED</v>
          </cell>
        </row>
        <row r="2780">
          <cell r="A2780">
            <v>9080705</v>
          </cell>
          <cell r="B2780">
            <v>312298</v>
          </cell>
          <cell r="C2780" t="str">
            <v>ADVERTISING EXPENSE - ALLOCATED</v>
          </cell>
        </row>
        <row r="2781">
          <cell r="A2781">
            <v>9080707</v>
          </cell>
          <cell r="B2781">
            <v>312298</v>
          </cell>
          <cell r="C2781" t="str">
            <v>ADVERTISING EXPENSE - ALLOCATED</v>
          </cell>
        </row>
        <row r="2782">
          <cell r="A2782">
            <v>9080710</v>
          </cell>
          <cell r="B2782">
            <v>312298</v>
          </cell>
          <cell r="C2782" t="str">
            <v>ADVERTISING EXPENSE - ALLOCATED</v>
          </cell>
        </row>
        <row r="2783">
          <cell r="A2783">
            <v>9090999</v>
          </cell>
          <cell r="B2783">
            <v>312298</v>
          </cell>
          <cell r="C2783" t="str">
            <v>ADVERTISING EXPENSE - ALLOCATED</v>
          </cell>
        </row>
        <row r="2784">
          <cell r="A2784">
            <v>9100999</v>
          </cell>
          <cell r="B2784">
            <v>312298</v>
          </cell>
          <cell r="C2784" t="str">
            <v>ADVERTISING EXPENSE - ALLOCATED</v>
          </cell>
        </row>
        <row r="2785">
          <cell r="A2785">
            <v>9110700</v>
          </cell>
          <cell r="B2785">
            <v>312298</v>
          </cell>
          <cell r="C2785" t="str">
            <v>ADVERTISING EXPENSE - ALLOCATED</v>
          </cell>
        </row>
        <row r="2786">
          <cell r="A2786">
            <v>9110702</v>
          </cell>
          <cell r="B2786">
            <v>312298</v>
          </cell>
          <cell r="C2786" t="str">
            <v>ADVERTISING EXPENSE - ALLOCATED</v>
          </cell>
        </row>
        <row r="2787">
          <cell r="A2787">
            <v>9110705</v>
          </cell>
          <cell r="B2787">
            <v>312298</v>
          </cell>
          <cell r="C2787" t="str">
            <v>ADVERTISING EXPENSE - ALLOCATED</v>
          </cell>
        </row>
        <row r="2788">
          <cell r="A2788">
            <v>9110707</v>
          </cell>
          <cell r="B2788">
            <v>312298</v>
          </cell>
          <cell r="C2788" t="str">
            <v>ADVERTISING EXPENSE - ALLOCATED</v>
          </cell>
        </row>
        <row r="2789">
          <cell r="A2789">
            <v>9680700</v>
          </cell>
          <cell r="B2789">
            <v>312298</v>
          </cell>
          <cell r="C2789" t="str">
            <v>ADVERTISING EXPENSE - ALLOCATED</v>
          </cell>
        </row>
        <row r="2790">
          <cell r="A2790">
            <v>9680701</v>
          </cell>
          <cell r="B2790">
            <v>312298</v>
          </cell>
          <cell r="C2790" t="str">
            <v>ADVERTISING EXPENSE - ALLOCATED</v>
          </cell>
        </row>
        <row r="2791">
          <cell r="A2791">
            <v>9680702</v>
          </cell>
          <cell r="B2791">
            <v>312298</v>
          </cell>
          <cell r="C2791" t="str">
            <v>ADVERTISING EXPENSE - ALLOCATED</v>
          </cell>
        </row>
        <row r="2792">
          <cell r="A2792">
            <v>9680705</v>
          </cell>
          <cell r="B2792">
            <v>312298</v>
          </cell>
          <cell r="C2792" t="str">
            <v>ADVERTISING EXPENSE - ALLOCATED</v>
          </cell>
        </row>
        <row r="2793">
          <cell r="A2793">
            <v>9680707</v>
          </cell>
          <cell r="B2793">
            <v>312298</v>
          </cell>
          <cell r="C2793" t="str">
            <v>ADVERTISING EXPENSE - ALLOCATED</v>
          </cell>
        </row>
        <row r="2794">
          <cell r="A2794">
            <v>9680710</v>
          </cell>
          <cell r="B2794">
            <v>312298</v>
          </cell>
          <cell r="C2794" t="str">
            <v>ADVERTISING EXPENSE - ALLOCATED</v>
          </cell>
        </row>
        <row r="2795">
          <cell r="A2795">
            <v>9680712</v>
          </cell>
          <cell r="B2795">
            <v>312298</v>
          </cell>
          <cell r="C2795" t="str">
            <v>ADVERTISING EXPENSE - ALLOCATED</v>
          </cell>
        </row>
        <row r="2796">
          <cell r="A2796">
            <v>9680714</v>
          </cell>
          <cell r="B2796">
            <v>312298</v>
          </cell>
          <cell r="C2796" t="str">
            <v>ADVERTISING EXPENSE - ALLOCATED</v>
          </cell>
        </row>
        <row r="2797">
          <cell r="A2797">
            <v>9680734</v>
          </cell>
          <cell r="B2797">
            <v>312298</v>
          </cell>
          <cell r="C2797" t="str">
            <v>ADVERTISING EXPENSE - ALLOCATED</v>
          </cell>
        </row>
        <row r="2798">
          <cell r="A2798">
            <v>9680748</v>
          </cell>
          <cell r="B2798">
            <v>312298</v>
          </cell>
          <cell r="C2798" t="str">
            <v>ADVERTISING EXPENSE - ALLOCATED</v>
          </cell>
        </row>
        <row r="2799">
          <cell r="A2799">
            <v>9680749</v>
          </cell>
          <cell r="B2799">
            <v>312298</v>
          </cell>
          <cell r="C2799" t="str">
            <v>ADVERTISING EXPENSE - ALLOCATED</v>
          </cell>
        </row>
        <row r="2800">
          <cell r="A2800">
            <v>9680894</v>
          </cell>
          <cell r="B2800">
            <v>312298</v>
          </cell>
          <cell r="C2800" t="str">
            <v>ADVERTISING EXPENSE - ALLOCATED</v>
          </cell>
        </row>
        <row r="2801">
          <cell r="A2801">
            <v>9680999</v>
          </cell>
          <cell r="B2801">
            <v>312298</v>
          </cell>
          <cell r="C2801" t="str">
            <v>ADVERTISING EXPENSE - ALLOCATED</v>
          </cell>
        </row>
        <row r="2802">
          <cell r="A2802">
            <v>9681700</v>
          </cell>
          <cell r="B2802">
            <v>312298</v>
          </cell>
          <cell r="C2802" t="str">
            <v>ADVERTISING EXPENSE - ALLOCATED</v>
          </cell>
        </row>
        <row r="2803">
          <cell r="A2803">
            <v>9681701</v>
          </cell>
          <cell r="B2803">
            <v>312298</v>
          </cell>
          <cell r="C2803" t="str">
            <v>ADVERTISING EXPENSE - ALLOCATED</v>
          </cell>
        </row>
        <row r="2804">
          <cell r="A2804">
            <v>9681702</v>
          </cell>
          <cell r="B2804">
            <v>312298</v>
          </cell>
          <cell r="C2804" t="str">
            <v>ADVERTISING EXPENSE - ALLOCATED</v>
          </cell>
        </row>
        <row r="2805">
          <cell r="A2805">
            <v>9681705</v>
          </cell>
          <cell r="B2805">
            <v>312298</v>
          </cell>
          <cell r="C2805" t="str">
            <v>ADVERTISING EXPENSE - ALLOCATED</v>
          </cell>
        </row>
        <row r="2806">
          <cell r="A2806">
            <v>9681706</v>
          </cell>
          <cell r="B2806">
            <v>312298</v>
          </cell>
          <cell r="C2806" t="str">
            <v>ADVERTISING EXPENSE - ALLOCATED</v>
          </cell>
        </row>
        <row r="2807">
          <cell r="A2807">
            <v>9681707</v>
          </cell>
          <cell r="B2807">
            <v>312298</v>
          </cell>
          <cell r="C2807" t="str">
            <v>ADVERTISING EXPENSE - ALLOCATED</v>
          </cell>
        </row>
        <row r="2808">
          <cell r="A2808">
            <v>9681710</v>
          </cell>
          <cell r="B2808">
            <v>312298</v>
          </cell>
          <cell r="C2808" t="str">
            <v>ADVERTISING EXPENSE - ALLOCATED</v>
          </cell>
        </row>
        <row r="2809">
          <cell r="A2809">
            <v>9681712</v>
          </cell>
          <cell r="B2809">
            <v>312298</v>
          </cell>
          <cell r="C2809" t="str">
            <v>ADVERTISING EXPENSE - ALLOCATED</v>
          </cell>
        </row>
        <row r="2810">
          <cell r="A2810">
            <v>9681714</v>
          </cell>
          <cell r="B2810">
            <v>312298</v>
          </cell>
          <cell r="C2810" t="str">
            <v>ADVERTISING EXPENSE - ALLOCATED</v>
          </cell>
        </row>
        <row r="2811">
          <cell r="A2811">
            <v>9681716</v>
          </cell>
          <cell r="B2811">
            <v>312298</v>
          </cell>
          <cell r="C2811" t="str">
            <v>ADVERTISING EXPENSE - ALLOCATED</v>
          </cell>
        </row>
        <row r="2812">
          <cell r="A2812">
            <v>9681727</v>
          </cell>
          <cell r="B2812">
            <v>312298</v>
          </cell>
          <cell r="C2812" t="str">
            <v>ADVERTISING EXPENSE - ALLOCATED</v>
          </cell>
        </row>
        <row r="2813">
          <cell r="A2813">
            <v>9681734</v>
          </cell>
          <cell r="B2813">
            <v>312298</v>
          </cell>
          <cell r="C2813" t="str">
            <v>ADVERTISING EXPENSE - ALLOCATED</v>
          </cell>
        </row>
        <row r="2814">
          <cell r="A2814">
            <v>9681748</v>
          </cell>
          <cell r="B2814">
            <v>312298</v>
          </cell>
          <cell r="C2814" t="str">
            <v>ADVERTISING EXPENSE - ALLOCATED</v>
          </cell>
        </row>
        <row r="2815">
          <cell r="A2815">
            <v>9681749</v>
          </cell>
          <cell r="B2815">
            <v>312298</v>
          </cell>
          <cell r="C2815" t="str">
            <v>ADVERTISING EXPENSE - ALLOCATED</v>
          </cell>
        </row>
        <row r="2816">
          <cell r="A2816">
            <v>9681894</v>
          </cell>
          <cell r="B2816">
            <v>312298</v>
          </cell>
          <cell r="C2816" t="str">
            <v>ADVERTISING EXPENSE - ALLOCATED</v>
          </cell>
        </row>
        <row r="2817">
          <cell r="A2817">
            <v>9681999</v>
          </cell>
          <cell r="B2817">
            <v>312298</v>
          </cell>
          <cell r="C2817" t="str">
            <v>ADVERTISING EXPENSE - ALLOCATED</v>
          </cell>
        </row>
        <row r="2818">
          <cell r="A2818">
            <v>9682715</v>
          </cell>
          <cell r="B2818">
            <v>312298</v>
          </cell>
          <cell r="C2818" t="str">
            <v>ADVERTISING EXPENSE - ALLOCATED</v>
          </cell>
        </row>
        <row r="2819">
          <cell r="A2819">
            <v>9682722</v>
          </cell>
          <cell r="B2819">
            <v>312298</v>
          </cell>
          <cell r="C2819" t="str">
            <v>ADVERTISING EXPENSE - ALLOCATED</v>
          </cell>
        </row>
        <row r="2820">
          <cell r="A2820">
            <v>9682999</v>
          </cell>
          <cell r="B2820">
            <v>312298</v>
          </cell>
          <cell r="C2820" t="str">
            <v>ADVERTISING EXPENSE - ALLOCATED</v>
          </cell>
        </row>
        <row r="2821">
          <cell r="A2821">
            <v>9683999</v>
          </cell>
          <cell r="B2821">
            <v>312298</v>
          </cell>
          <cell r="C2821" t="str">
            <v>ADVERTISING EXPENSE - ALLOCATED</v>
          </cell>
        </row>
        <row r="2822">
          <cell r="A2822">
            <v>9684999</v>
          </cell>
          <cell r="B2822">
            <v>312298</v>
          </cell>
          <cell r="C2822" t="str">
            <v>ADVERTISING EXPENSE - ALLOCATED</v>
          </cell>
        </row>
        <row r="2823">
          <cell r="A2823">
            <v>9685999</v>
          </cell>
          <cell r="B2823">
            <v>312298</v>
          </cell>
          <cell r="C2823" t="str">
            <v>ADVERTISING EXPENSE - ALLOCATED</v>
          </cell>
        </row>
        <row r="2824">
          <cell r="A2824">
            <v>9689692</v>
          </cell>
          <cell r="B2824">
            <v>312298</v>
          </cell>
          <cell r="C2824" t="str">
            <v>ADVERTISING EXPENSE - ALLOCATED</v>
          </cell>
        </row>
        <row r="2825">
          <cell r="A2825">
            <v>9689747</v>
          </cell>
          <cell r="B2825">
            <v>312298</v>
          </cell>
          <cell r="C2825" t="str">
            <v>ADVERTISING EXPENSE - ALLOCATED</v>
          </cell>
        </row>
        <row r="2826">
          <cell r="A2826">
            <v>9689883</v>
          </cell>
          <cell r="B2826">
            <v>312298</v>
          </cell>
          <cell r="C2826" t="str">
            <v>ADVERTISING EXPENSE - ALLOCATED</v>
          </cell>
        </row>
        <row r="2827">
          <cell r="A2827">
            <v>9689890</v>
          </cell>
          <cell r="B2827">
            <v>312298</v>
          </cell>
          <cell r="C2827" t="str">
            <v>ADVERTISING EXPENSE - ALLOCATED</v>
          </cell>
        </row>
        <row r="2828">
          <cell r="A2828">
            <v>9689906</v>
          </cell>
          <cell r="B2828">
            <v>312298</v>
          </cell>
          <cell r="C2828" t="str">
            <v>ADVERTISING EXPENSE - ALLOCATED</v>
          </cell>
        </row>
        <row r="2829">
          <cell r="A2829">
            <v>9689925</v>
          </cell>
          <cell r="B2829">
            <v>312298</v>
          </cell>
          <cell r="C2829" t="str">
            <v>ADVERTISING EXPENSE - ALLOCATED</v>
          </cell>
        </row>
        <row r="2830">
          <cell r="A2830">
            <v>9689990</v>
          </cell>
          <cell r="B2830">
            <v>312298</v>
          </cell>
          <cell r="C2830" t="str">
            <v>ADVERTISING EXPENSE - ALLOCATED</v>
          </cell>
        </row>
        <row r="2831">
          <cell r="A2831">
            <v>9689991</v>
          </cell>
          <cell r="B2831">
            <v>312298</v>
          </cell>
          <cell r="C2831" t="str">
            <v>ADVERTISING EXPENSE - ALLOCATED</v>
          </cell>
        </row>
        <row r="2832">
          <cell r="A2832">
            <v>9689992</v>
          </cell>
          <cell r="B2832">
            <v>312298</v>
          </cell>
          <cell r="C2832" t="str">
            <v>ADVERTISING EXPENSE - ALLOCATED</v>
          </cell>
        </row>
        <row r="2833">
          <cell r="A2833">
            <v>9689993</v>
          </cell>
          <cell r="B2833">
            <v>312298</v>
          </cell>
          <cell r="C2833" t="str">
            <v>ADVERTISING EXPENSE - ALLOCATED</v>
          </cell>
        </row>
        <row r="2834">
          <cell r="A2834">
            <v>9689994</v>
          </cell>
          <cell r="B2834">
            <v>312298</v>
          </cell>
          <cell r="C2834" t="str">
            <v>ADVERTISING EXPENSE - ALLOCATED</v>
          </cell>
        </row>
        <row r="2835">
          <cell r="A2835">
            <v>9720703</v>
          </cell>
          <cell r="B2835">
            <v>312298</v>
          </cell>
          <cell r="C2835" t="str">
            <v>ADVERTISING EXPENSE - ALLOCATED</v>
          </cell>
        </row>
        <row r="2836">
          <cell r="A2836">
            <v>9720704</v>
          </cell>
          <cell r="B2836">
            <v>312298</v>
          </cell>
          <cell r="C2836" t="str">
            <v>ADVERTISING EXPENSE - ALLOCATED</v>
          </cell>
        </row>
        <row r="2837">
          <cell r="A2837">
            <v>9720716</v>
          </cell>
          <cell r="B2837">
            <v>312298</v>
          </cell>
          <cell r="C2837" t="str">
            <v>ADVERTISING EXPENSE - ALLOCATED</v>
          </cell>
        </row>
        <row r="2838">
          <cell r="A2838">
            <v>9722708</v>
          </cell>
          <cell r="B2838">
            <v>312298</v>
          </cell>
          <cell r="C2838" t="str">
            <v>ADVERTISING EXPENSE - ALLOCATED</v>
          </cell>
        </row>
        <row r="2839">
          <cell r="A2839">
            <v>9722709</v>
          </cell>
          <cell r="B2839">
            <v>312298</v>
          </cell>
          <cell r="C2839" t="str">
            <v>ADVERTISING EXPENSE - ALLOCATED</v>
          </cell>
        </row>
        <row r="2840">
          <cell r="A2840">
            <v>9722713</v>
          </cell>
          <cell r="B2840">
            <v>312298</v>
          </cell>
          <cell r="C2840" t="str">
            <v>ADVERTISING EXPENSE - ALLOCATED</v>
          </cell>
        </row>
        <row r="2841">
          <cell r="A2841">
            <v>9723723</v>
          </cell>
          <cell r="B2841">
            <v>312298</v>
          </cell>
          <cell r="C2841" t="str">
            <v>ADVERTISING EXPENSE - ALLOCATED</v>
          </cell>
        </row>
        <row r="2842">
          <cell r="A2842">
            <v>9723729</v>
          </cell>
          <cell r="B2842">
            <v>312298</v>
          </cell>
          <cell r="C2842" t="str">
            <v>ADVERTISING EXPENSE - ALLOCATED</v>
          </cell>
        </row>
        <row r="2843">
          <cell r="A2843">
            <v>9724718</v>
          </cell>
          <cell r="B2843">
            <v>312298</v>
          </cell>
          <cell r="C2843" t="str">
            <v>ADVERTISING EXPENSE - ALLOCATED</v>
          </cell>
        </row>
        <row r="2844">
          <cell r="A2844">
            <v>9724721</v>
          </cell>
          <cell r="B2844">
            <v>312298</v>
          </cell>
          <cell r="C2844" t="str">
            <v>ADVERTISING EXPENSE - ALLOCATED</v>
          </cell>
        </row>
        <row r="2845">
          <cell r="A2845">
            <v>9724724</v>
          </cell>
          <cell r="B2845">
            <v>312298</v>
          </cell>
          <cell r="C2845" t="str">
            <v>ADVERTISING EXPENSE - ALLOCATED</v>
          </cell>
        </row>
        <row r="2846">
          <cell r="A2846">
            <v>9724726</v>
          </cell>
          <cell r="B2846">
            <v>312298</v>
          </cell>
          <cell r="C2846" t="str">
            <v>ADVERTISING EXPENSE - ALLOCATED</v>
          </cell>
        </row>
        <row r="2847">
          <cell r="A2847">
            <v>9725703</v>
          </cell>
          <cell r="B2847">
            <v>312298</v>
          </cell>
          <cell r="C2847" t="str">
            <v>ADVERTISING EXPENSE - ALLOCATED</v>
          </cell>
        </row>
        <row r="2848">
          <cell r="A2848">
            <v>9725704</v>
          </cell>
          <cell r="B2848">
            <v>312298</v>
          </cell>
          <cell r="C2848" t="str">
            <v>ADVERTISING EXPENSE - ALLOCATED</v>
          </cell>
        </row>
        <row r="2849">
          <cell r="A2849">
            <v>9725711</v>
          </cell>
          <cell r="B2849">
            <v>312298</v>
          </cell>
          <cell r="C2849" t="str">
            <v>ADVERTISING EXPENSE - ALLOCATED</v>
          </cell>
        </row>
        <row r="2850">
          <cell r="A2850">
            <v>9725717</v>
          </cell>
          <cell r="B2850">
            <v>312298</v>
          </cell>
          <cell r="C2850" t="str">
            <v>ADVERTISING EXPENSE - ALLOCATED</v>
          </cell>
        </row>
        <row r="2851">
          <cell r="A2851">
            <v>9725725</v>
          </cell>
          <cell r="B2851">
            <v>312298</v>
          </cell>
          <cell r="C2851" t="str">
            <v>ADVERTISING EXPENSE - ALLOCATED</v>
          </cell>
        </row>
        <row r="2852">
          <cell r="A2852">
            <v>8001054179</v>
          </cell>
          <cell r="B2852">
            <v>312416</v>
          </cell>
          <cell r="C2852" t="str">
            <v>CONSIGNMENT SALES INCOME</v>
          </cell>
        </row>
        <row r="2853">
          <cell r="A2853">
            <v>8001059542</v>
          </cell>
          <cell r="B2853">
            <v>312416</v>
          </cell>
          <cell r="C2853" t="str">
            <v>CONSIGNMENT SALES INCOME</v>
          </cell>
        </row>
        <row r="2854">
          <cell r="A2854">
            <v>8010512510</v>
          </cell>
          <cell r="B2854">
            <v>312416</v>
          </cell>
          <cell r="C2854" t="str">
            <v>CONSIGNMENT SALES INCOME</v>
          </cell>
        </row>
        <row r="2855">
          <cell r="A2855">
            <v>9969681</v>
          </cell>
          <cell r="B2855">
            <v>312416</v>
          </cell>
          <cell r="C2855" t="str">
            <v>CONSIGNMENT SALES INCOME</v>
          </cell>
        </row>
        <row r="2856">
          <cell r="A2856">
            <v>9969901</v>
          </cell>
          <cell r="B2856">
            <v>312416</v>
          </cell>
          <cell r="C2856" t="str">
            <v>CONSIGNMENT SALES INCOME</v>
          </cell>
        </row>
        <row r="2857">
          <cell r="A2857" t="str">
            <v>ZONE-0105-POST</v>
          </cell>
          <cell r="B2857">
            <v>312416</v>
          </cell>
          <cell r="C2857" t="str">
            <v>CONSIGNMENT SALES INCOME</v>
          </cell>
        </row>
        <row r="2858">
          <cell r="A2858" t="str">
            <v>ZONE-0112-POST</v>
          </cell>
          <cell r="B2858">
            <v>312416</v>
          </cell>
          <cell r="C2858" t="str">
            <v>CONSIGNMENT SALES INCOME</v>
          </cell>
        </row>
        <row r="2859">
          <cell r="A2859">
            <v>8001054179</v>
          </cell>
          <cell r="B2859">
            <v>321200</v>
          </cell>
          <cell r="C2859" t="str">
            <v>SALARIES AND WAGES</v>
          </cell>
        </row>
        <row r="2860">
          <cell r="A2860">
            <v>8001059542</v>
          </cell>
          <cell r="B2860">
            <v>321200</v>
          </cell>
          <cell r="C2860" t="str">
            <v>SALARIES AND WAGES</v>
          </cell>
        </row>
        <row r="2861">
          <cell r="A2861">
            <v>8010512510</v>
          </cell>
          <cell r="B2861">
            <v>321200</v>
          </cell>
          <cell r="C2861" t="str">
            <v>SALARIES AND WAGES</v>
          </cell>
        </row>
        <row r="2862">
          <cell r="A2862">
            <v>9080700</v>
          </cell>
          <cell r="B2862">
            <v>321200</v>
          </cell>
          <cell r="C2862" t="str">
            <v>SALARIES AND WAGES</v>
          </cell>
        </row>
        <row r="2863">
          <cell r="A2863">
            <v>9080701</v>
          </cell>
          <cell r="B2863">
            <v>321200</v>
          </cell>
          <cell r="C2863" t="str">
            <v>SALARIES AND WAGES</v>
          </cell>
        </row>
        <row r="2864">
          <cell r="A2864">
            <v>9080702</v>
          </cell>
          <cell r="B2864">
            <v>321200</v>
          </cell>
          <cell r="C2864" t="str">
            <v>SALARIES AND WAGES</v>
          </cell>
        </row>
        <row r="2865">
          <cell r="A2865">
            <v>9080705</v>
          </cell>
          <cell r="B2865">
            <v>321200</v>
          </cell>
          <cell r="C2865" t="str">
            <v>SALARIES AND WAGES</v>
          </cell>
        </row>
        <row r="2866">
          <cell r="A2866">
            <v>9080707</v>
          </cell>
          <cell r="B2866">
            <v>321200</v>
          </cell>
          <cell r="C2866" t="str">
            <v>SALARIES AND WAGES</v>
          </cell>
        </row>
        <row r="2867">
          <cell r="A2867">
            <v>9080710</v>
          </cell>
          <cell r="B2867">
            <v>321200</v>
          </cell>
          <cell r="C2867" t="str">
            <v>SALARIES AND WAGES</v>
          </cell>
        </row>
        <row r="2868">
          <cell r="A2868">
            <v>9080999</v>
          </cell>
          <cell r="B2868">
            <v>321200</v>
          </cell>
          <cell r="C2868" t="str">
            <v>SALARIES AND WAGES</v>
          </cell>
        </row>
        <row r="2869">
          <cell r="A2869">
            <v>9090710</v>
          </cell>
          <cell r="B2869">
            <v>321200</v>
          </cell>
          <cell r="C2869" t="str">
            <v>SALARIES AND WAGES</v>
          </cell>
        </row>
        <row r="2870">
          <cell r="A2870">
            <v>9090999</v>
          </cell>
          <cell r="B2870">
            <v>321200</v>
          </cell>
          <cell r="C2870" t="str">
            <v>SALARIES AND WAGES</v>
          </cell>
        </row>
        <row r="2871">
          <cell r="A2871">
            <v>9100710</v>
          </cell>
          <cell r="B2871">
            <v>321200</v>
          </cell>
          <cell r="C2871" t="str">
            <v>SALARIES AND WAGES</v>
          </cell>
        </row>
        <row r="2872">
          <cell r="A2872">
            <v>9100999</v>
          </cell>
          <cell r="B2872">
            <v>321200</v>
          </cell>
          <cell r="C2872" t="str">
            <v>SALARIES AND WAGES</v>
          </cell>
        </row>
        <row r="2873">
          <cell r="A2873">
            <v>9110700</v>
          </cell>
          <cell r="B2873">
            <v>321200</v>
          </cell>
          <cell r="C2873" t="str">
            <v>SALARIES AND WAGES</v>
          </cell>
        </row>
        <row r="2874">
          <cell r="A2874">
            <v>9110702</v>
          </cell>
          <cell r="B2874">
            <v>321200</v>
          </cell>
          <cell r="C2874" t="str">
            <v>SALARIES AND WAGES</v>
          </cell>
        </row>
        <row r="2875">
          <cell r="A2875">
            <v>9110705</v>
          </cell>
          <cell r="B2875">
            <v>321200</v>
          </cell>
          <cell r="C2875" t="str">
            <v>SALARIES AND WAGES</v>
          </cell>
        </row>
        <row r="2876">
          <cell r="A2876">
            <v>9110707</v>
          </cell>
          <cell r="B2876">
            <v>321200</v>
          </cell>
          <cell r="C2876" t="str">
            <v>SALARIES AND WAGES</v>
          </cell>
        </row>
        <row r="2877">
          <cell r="A2877">
            <v>9110999</v>
          </cell>
          <cell r="B2877">
            <v>321200</v>
          </cell>
          <cell r="C2877" t="str">
            <v>SALARIES AND WAGES</v>
          </cell>
        </row>
        <row r="2878">
          <cell r="A2878">
            <v>9680700</v>
          </cell>
          <cell r="B2878">
            <v>321200</v>
          </cell>
          <cell r="C2878" t="str">
            <v>SALARIES AND WAGES</v>
          </cell>
        </row>
        <row r="2879">
          <cell r="A2879">
            <v>9680701</v>
          </cell>
          <cell r="B2879">
            <v>321200</v>
          </cell>
          <cell r="C2879" t="str">
            <v>SALARIES AND WAGES</v>
          </cell>
        </row>
        <row r="2880">
          <cell r="A2880">
            <v>9680702</v>
          </cell>
          <cell r="B2880">
            <v>321200</v>
          </cell>
          <cell r="C2880" t="str">
            <v>SALARIES AND WAGES</v>
          </cell>
        </row>
        <row r="2881">
          <cell r="A2881">
            <v>9680705</v>
          </cell>
          <cell r="B2881">
            <v>321200</v>
          </cell>
          <cell r="C2881" t="str">
            <v>SALARIES AND WAGES</v>
          </cell>
        </row>
        <row r="2882">
          <cell r="A2882">
            <v>9680707</v>
          </cell>
          <cell r="B2882">
            <v>321200</v>
          </cell>
          <cell r="C2882" t="str">
            <v>SALARIES AND WAGES</v>
          </cell>
        </row>
        <row r="2883">
          <cell r="A2883">
            <v>9680710</v>
          </cell>
          <cell r="B2883">
            <v>321200</v>
          </cell>
          <cell r="C2883" t="str">
            <v>SALARIES AND WAGES</v>
          </cell>
        </row>
        <row r="2884">
          <cell r="A2884">
            <v>9680712</v>
          </cell>
          <cell r="B2884">
            <v>321200</v>
          </cell>
          <cell r="C2884" t="str">
            <v>SALARIES AND WAGES</v>
          </cell>
        </row>
        <row r="2885">
          <cell r="A2885">
            <v>9680714</v>
          </cell>
          <cell r="B2885">
            <v>321200</v>
          </cell>
          <cell r="C2885" t="str">
            <v>SALARIES AND WAGES</v>
          </cell>
        </row>
        <row r="2886">
          <cell r="A2886">
            <v>9680734</v>
          </cell>
          <cell r="B2886">
            <v>321200</v>
          </cell>
          <cell r="C2886" t="str">
            <v>SALARIES AND WAGES</v>
          </cell>
        </row>
        <row r="2887">
          <cell r="A2887">
            <v>9680748</v>
          </cell>
          <cell r="B2887">
            <v>321200</v>
          </cell>
          <cell r="C2887" t="str">
            <v>SALARIES AND WAGES</v>
          </cell>
        </row>
        <row r="2888">
          <cell r="A2888">
            <v>9680749</v>
          </cell>
          <cell r="B2888">
            <v>321200</v>
          </cell>
          <cell r="C2888" t="str">
            <v>SALARIES AND WAGES</v>
          </cell>
        </row>
        <row r="2889">
          <cell r="A2889">
            <v>9680894</v>
          </cell>
          <cell r="B2889">
            <v>321200</v>
          </cell>
          <cell r="C2889" t="str">
            <v>SALARIES AND WAGES</v>
          </cell>
        </row>
        <row r="2890">
          <cell r="A2890">
            <v>9680999</v>
          </cell>
          <cell r="B2890">
            <v>321200</v>
          </cell>
          <cell r="C2890" t="str">
            <v>SALARIES AND WAGES</v>
          </cell>
        </row>
        <row r="2891">
          <cell r="A2891">
            <v>9681700</v>
          </cell>
          <cell r="B2891">
            <v>321200</v>
          </cell>
          <cell r="C2891" t="str">
            <v>SALARIES AND WAGES</v>
          </cell>
        </row>
        <row r="2892">
          <cell r="A2892">
            <v>9681701</v>
          </cell>
          <cell r="B2892">
            <v>321200</v>
          </cell>
          <cell r="C2892" t="str">
            <v>SALARIES AND WAGES</v>
          </cell>
        </row>
        <row r="2893">
          <cell r="A2893">
            <v>9681702</v>
          </cell>
          <cell r="B2893">
            <v>321200</v>
          </cell>
          <cell r="C2893" t="str">
            <v>SALARIES AND WAGES</v>
          </cell>
        </row>
        <row r="2894">
          <cell r="A2894">
            <v>9681705</v>
          </cell>
          <cell r="B2894">
            <v>321200</v>
          </cell>
          <cell r="C2894" t="str">
            <v>SALARIES AND WAGES</v>
          </cell>
        </row>
        <row r="2895">
          <cell r="A2895">
            <v>9681706</v>
          </cell>
          <cell r="B2895">
            <v>321200</v>
          </cell>
          <cell r="C2895" t="str">
            <v>SALARIES AND WAGES</v>
          </cell>
        </row>
        <row r="2896">
          <cell r="A2896">
            <v>9681707</v>
          </cell>
          <cell r="B2896">
            <v>321200</v>
          </cell>
          <cell r="C2896" t="str">
            <v>SALARIES AND WAGES</v>
          </cell>
        </row>
        <row r="2897">
          <cell r="A2897">
            <v>9681710</v>
          </cell>
          <cell r="B2897">
            <v>321200</v>
          </cell>
          <cell r="C2897" t="str">
            <v>SALARIES AND WAGES</v>
          </cell>
        </row>
        <row r="2898">
          <cell r="A2898">
            <v>9681712</v>
          </cell>
          <cell r="B2898">
            <v>321200</v>
          </cell>
          <cell r="C2898" t="str">
            <v>SALARIES AND WAGES</v>
          </cell>
        </row>
        <row r="2899">
          <cell r="A2899">
            <v>9681727</v>
          </cell>
          <cell r="B2899">
            <v>321200</v>
          </cell>
          <cell r="C2899" t="str">
            <v>SALARIES AND WAGES</v>
          </cell>
        </row>
        <row r="2900">
          <cell r="A2900">
            <v>9681734</v>
          </cell>
          <cell r="B2900">
            <v>321200</v>
          </cell>
          <cell r="C2900" t="str">
            <v>SALARIES AND WAGES</v>
          </cell>
        </row>
        <row r="2901">
          <cell r="A2901">
            <v>9681748</v>
          </cell>
          <cell r="B2901">
            <v>321200</v>
          </cell>
          <cell r="C2901" t="str">
            <v>SALARIES AND WAGES</v>
          </cell>
        </row>
        <row r="2902">
          <cell r="A2902">
            <v>9681749</v>
          </cell>
          <cell r="B2902">
            <v>321200</v>
          </cell>
          <cell r="C2902" t="str">
            <v>SALARIES AND WAGES</v>
          </cell>
        </row>
        <row r="2903">
          <cell r="A2903">
            <v>9681894</v>
          </cell>
          <cell r="B2903">
            <v>321200</v>
          </cell>
          <cell r="C2903" t="str">
            <v>SALARIES AND WAGES</v>
          </cell>
        </row>
        <row r="2904">
          <cell r="A2904">
            <v>9681999</v>
          </cell>
          <cell r="B2904">
            <v>321200</v>
          </cell>
          <cell r="C2904" t="str">
            <v>SALARIES AND WAGES</v>
          </cell>
        </row>
        <row r="2905">
          <cell r="A2905">
            <v>9682715</v>
          </cell>
          <cell r="B2905">
            <v>321200</v>
          </cell>
          <cell r="C2905" t="str">
            <v>SALARIES AND WAGES</v>
          </cell>
        </row>
        <row r="2906">
          <cell r="A2906">
            <v>9682722</v>
          </cell>
          <cell r="B2906">
            <v>321200</v>
          </cell>
          <cell r="C2906" t="str">
            <v>SALARIES AND WAGES</v>
          </cell>
        </row>
        <row r="2907">
          <cell r="A2907">
            <v>9682999</v>
          </cell>
          <cell r="B2907">
            <v>321200</v>
          </cell>
          <cell r="C2907" t="str">
            <v>SALARIES AND WAGES</v>
          </cell>
        </row>
        <row r="2908">
          <cell r="A2908">
            <v>9683999</v>
          </cell>
          <cell r="B2908">
            <v>321200</v>
          </cell>
          <cell r="C2908" t="str">
            <v>SALARIES AND WAGES</v>
          </cell>
        </row>
        <row r="2909">
          <cell r="A2909">
            <v>9684999</v>
          </cell>
          <cell r="B2909">
            <v>321200</v>
          </cell>
          <cell r="C2909" t="str">
            <v>SALARIES AND WAGES</v>
          </cell>
        </row>
        <row r="2910">
          <cell r="A2910">
            <v>9685999</v>
          </cell>
          <cell r="B2910">
            <v>321200</v>
          </cell>
          <cell r="C2910" t="str">
            <v>SALARIES AND WAGES</v>
          </cell>
        </row>
        <row r="2911">
          <cell r="A2911">
            <v>9689692</v>
          </cell>
          <cell r="B2911">
            <v>321200</v>
          </cell>
          <cell r="C2911" t="str">
            <v>SALARIES AND WAGES</v>
          </cell>
        </row>
        <row r="2912">
          <cell r="A2912">
            <v>9689747</v>
          </cell>
          <cell r="B2912">
            <v>321200</v>
          </cell>
          <cell r="C2912" t="str">
            <v>SALARIES AND WAGES</v>
          </cell>
        </row>
        <row r="2913">
          <cell r="A2913">
            <v>9689883</v>
          </cell>
          <cell r="B2913">
            <v>321200</v>
          </cell>
          <cell r="C2913" t="str">
            <v>SALARIES AND WAGES</v>
          </cell>
        </row>
        <row r="2914">
          <cell r="A2914">
            <v>9689890</v>
          </cell>
          <cell r="B2914">
            <v>321200</v>
          </cell>
          <cell r="C2914" t="str">
            <v>SALARIES AND WAGES</v>
          </cell>
        </row>
        <row r="2915">
          <cell r="A2915">
            <v>9689906</v>
          </cell>
          <cell r="B2915">
            <v>321200</v>
          </cell>
          <cell r="C2915" t="str">
            <v>SALARIES AND WAGES</v>
          </cell>
        </row>
        <row r="2916">
          <cell r="A2916">
            <v>9689925</v>
          </cell>
          <cell r="B2916">
            <v>321200</v>
          </cell>
          <cell r="C2916" t="str">
            <v>SALARIES AND WAGES</v>
          </cell>
        </row>
        <row r="2917">
          <cell r="A2917">
            <v>9689990</v>
          </cell>
          <cell r="B2917">
            <v>321200</v>
          </cell>
          <cell r="C2917" t="str">
            <v>SALARIES AND WAGES</v>
          </cell>
        </row>
        <row r="2918">
          <cell r="A2918">
            <v>9689991</v>
          </cell>
          <cell r="B2918">
            <v>321200</v>
          </cell>
          <cell r="C2918" t="str">
            <v>SALARIES AND WAGES</v>
          </cell>
        </row>
        <row r="2919">
          <cell r="A2919">
            <v>9689992</v>
          </cell>
          <cell r="B2919">
            <v>321200</v>
          </cell>
          <cell r="C2919" t="str">
            <v>SALARIES AND WAGES</v>
          </cell>
        </row>
        <row r="2920">
          <cell r="A2920">
            <v>9689993</v>
          </cell>
          <cell r="B2920">
            <v>321200</v>
          </cell>
          <cell r="C2920" t="str">
            <v>SALARIES AND WAGES</v>
          </cell>
        </row>
        <row r="2921">
          <cell r="A2921">
            <v>9689994</v>
          </cell>
          <cell r="B2921">
            <v>321200</v>
          </cell>
          <cell r="C2921" t="str">
            <v>SALARIES AND WAGES</v>
          </cell>
        </row>
        <row r="2922">
          <cell r="A2922">
            <v>9689999</v>
          </cell>
          <cell r="B2922">
            <v>321200</v>
          </cell>
          <cell r="C2922" t="str">
            <v>SALARIES AND WAGES</v>
          </cell>
        </row>
        <row r="2923">
          <cell r="A2923">
            <v>9969681</v>
          </cell>
          <cell r="B2923">
            <v>321200</v>
          </cell>
          <cell r="C2923" t="str">
            <v>SALARIES AND WAGES</v>
          </cell>
        </row>
        <row r="2924">
          <cell r="A2924">
            <v>9969901</v>
          </cell>
          <cell r="B2924">
            <v>321200</v>
          </cell>
          <cell r="C2924" t="str">
            <v>SALARIES AND WAGES</v>
          </cell>
        </row>
        <row r="2925">
          <cell r="A2925" t="str">
            <v>ZONE-0105-POST</v>
          </cell>
          <cell r="B2925">
            <v>321200</v>
          </cell>
          <cell r="C2925" t="str">
            <v>SALARIES AND WAGES</v>
          </cell>
        </row>
        <row r="2926">
          <cell r="A2926" t="str">
            <v>ZONE-0112-POST</v>
          </cell>
          <cell r="B2926">
            <v>321200</v>
          </cell>
          <cell r="C2926" t="str">
            <v>SALARIES AND WAGES</v>
          </cell>
        </row>
        <row r="2927">
          <cell r="A2927">
            <v>9685999</v>
          </cell>
          <cell r="B2927">
            <v>321200</v>
          </cell>
          <cell r="C2927" t="str">
            <v>SALARIES AND WAGES - VACATION</v>
          </cell>
        </row>
        <row r="2928">
          <cell r="A2928">
            <v>9080700</v>
          </cell>
          <cell r="B2928">
            <v>321200</v>
          </cell>
          <cell r="C2928" t="str">
            <v>SALARIES AND WAGES - LEAVE OF</v>
          </cell>
        </row>
        <row r="2929">
          <cell r="A2929">
            <v>9080701</v>
          </cell>
          <cell r="B2929">
            <v>321200</v>
          </cell>
          <cell r="C2929" t="str">
            <v>SALARIES AND WAGES - LEAVE OF</v>
          </cell>
        </row>
        <row r="2930">
          <cell r="A2930">
            <v>9080702</v>
          </cell>
          <cell r="B2930">
            <v>321200</v>
          </cell>
          <cell r="C2930" t="str">
            <v>SALARIES AND WAGES - LEAVE OF</v>
          </cell>
        </row>
        <row r="2931">
          <cell r="A2931">
            <v>9080705</v>
          </cell>
          <cell r="B2931">
            <v>321200</v>
          </cell>
          <cell r="C2931" t="str">
            <v>SALARIES AND WAGES - LEAVE OF</v>
          </cell>
        </row>
        <row r="2932">
          <cell r="A2932">
            <v>9080707</v>
          </cell>
          <cell r="B2932">
            <v>321200</v>
          </cell>
          <cell r="C2932" t="str">
            <v>SALARIES AND WAGES - LEAVE OF</v>
          </cell>
        </row>
        <row r="2933">
          <cell r="A2933">
            <v>9080710</v>
          </cell>
          <cell r="B2933">
            <v>321200</v>
          </cell>
          <cell r="C2933" t="str">
            <v>SALARIES AND WAGES - LEAVE OF</v>
          </cell>
        </row>
        <row r="2934">
          <cell r="A2934">
            <v>9080712</v>
          </cell>
          <cell r="B2934">
            <v>321200</v>
          </cell>
          <cell r="C2934" t="str">
            <v>SALARIES AND WAGES - LEAVE OF</v>
          </cell>
        </row>
        <row r="2935">
          <cell r="A2935">
            <v>9080999</v>
          </cell>
          <cell r="B2935">
            <v>321200</v>
          </cell>
          <cell r="C2935" t="str">
            <v>SALARIES AND WAGES - LEAVE OF</v>
          </cell>
        </row>
        <row r="2936">
          <cell r="A2936">
            <v>9110700</v>
          </cell>
          <cell r="B2936">
            <v>321200</v>
          </cell>
          <cell r="C2936" t="str">
            <v>SALARIES AND WAGES - LEAVE OF</v>
          </cell>
        </row>
        <row r="2937">
          <cell r="A2937">
            <v>9110702</v>
          </cell>
          <cell r="B2937">
            <v>321200</v>
          </cell>
          <cell r="C2937" t="str">
            <v>SALARIES AND WAGES - LEAVE OF</v>
          </cell>
        </row>
        <row r="2938">
          <cell r="A2938">
            <v>9110705</v>
          </cell>
          <cell r="B2938">
            <v>321200</v>
          </cell>
          <cell r="C2938" t="str">
            <v>SALARIES AND WAGES - LEAVE OF</v>
          </cell>
        </row>
        <row r="2939">
          <cell r="A2939">
            <v>9110707</v>
          </cell>
          <cell r="B2939">
            <v>321200</v>
          </cell>
          <cell r="C2939" t="str">
            <v>SALARIES AND WAGES - LEAVE OF</v>
          </cell>
        </row>
        <row r="2940">
          <cell r="A2940">
            <v>9110712</v>
          </cell>
          <cell r="B2940">
            <v>321200</v>
          </cell>
          <cell r="C2940" t="str">
            <v>SALARIES AND WAGES - LEAVE OF</v>
          </cell>
        </row>
        <row r="2941">
          <cell r="A2941">
            <v>9110999</v>
          </cell>
          <cell r="B2941">
            <v>321200</v>
          </cell>
          <cell r="C2941" t="str">
            <v>SALARIES AND WAGES - LEAVE OF</v>
          </cell>
        </row>
        <row r="2942">
          <cell r="A2942">
            <v>9681700</v>
          </cell>
          <cell r="B2942">
            <v>321200</v>
          </cell>
          <cell r="C2942" t="str">
            <v>SALARIES AND WAGES - LEAVE OF</v>
          </cell>
        </row>
        <row r="2943">
          <cell r="A2943">
            <v>9681701</v>
          </cell>
          <cell r="B2943">
            <v>321200</v>
          </cell>
          <cell r="C2943" t="str">
            <v>SALARIES AND WAGES - LEAVE OF</v>
          </cell>
        </row>
        <row r="2944">
          <cell r="A2944">
            <v>9681702</v>
          </cell>
          <cell r="B2944">
            <v>321200</v>
          </cell>
          <cell r="C2944" t="str">
            <v>SALARIES AND WAGES - LEAVE OF</v>
          </cell>
        </row>
        <row r="2945">
          <cell r="A2945">
            <v>9681705</v>
          </cell>
          <cell r="B2945">
            <v>321200</v>
          </cell>
          <cell r="C2945" t="str">
            <v>SALARIES AND WAGES - LEAVE OF</v>
          </cell>
        </row>
        <row r="2946">
          <cell r="A2946">
            <v>9681706</v>
          </cell>
          <cell r="B2946">
            <v>321200</v>
          </cell>
          <cell r="C2946" t="str">
            <v>SALARIES AND WAGES - LEAVE OF</v>
          </cell>
        </row>
        <row r="2947">
          <cell r="A2947">
            <v>9681707</v>
          </cell>
          <cell r="B2947">
            <v>321200</v>
          </cell>
          <cell r="C2947" t="str">
            <v>SALARIES AND WAGES - LEAVE OF</v>
          </cell>
        </row>
        <row r="2948">
          <cell r="A2948">
            <v>9681712</v>
          </cell>
          <cell r="B2948">
            <v>321200</v>
          </cell>
          <cell r="C2948" t="str">
            <v>SALARIES AND WAGES - LEAVE OF</v>
          </cell>
        </row>
        <row r="2949">
          <cell r="A2949">
            <v>9681727</v>
          </cell>
          <cell r="B2949">
            <v>321200</v>
          </cell>
          <cell r="C2949" t="str">
            <v>SALARIES AND WAGES - LEAVE OF</v>
          </cell>
        </row>
        <row r="2950">
          <cell r="A2950">
            <v>9681749</v>
          </cell>
          <cell r="B2950">
            <v>321200</v>
          </cell>
          <cell r="C2950" t="str">
            <v>SALARIES AND WAGES - LEAVE OF</v>
          </cell>
        </row>
        <row r="2951">
          <cell r="A2951">
            <v>9681999</v>
          </cell>
          <cell r="B2951">
            <v>321200</v>
          </cell>
          <cell r="C2951" t="str">
            <v>SALARIES AND WAGES - LEAVE OF</v>
          </cell>
        </row>
        <row r="2952">
          <cell r="A2952">
            <v>9683999</v>
          </cell>
          <cell r="B2952">
            <v>321200</v>
          </cell>
          <cell r="C2952" t="str">
            <v>SALARIES AND WAGES - LEAVE OF</v>
          </cell>
        </row>
        <row r="2953">
          <cell r="A2953">
            <v>9684999</v>
          </cell>
          <cell r="B2953">
            <v>321200</v>
          </cell>
          <cell r="C2953" t="str">
            <v>SALARIES AND WAGES - LEAVE OF</v>
          </cell>
        </row>
        <row r="2954">
          <cell r="A2954">
            <v>9685999</v>
          </cell>
          <cell r="B2954">
            <v>321200</v>
          </cell>
          <cell r="C2954" t="str">
            <v>SALARIES AND WAGES - LEAVE OF</v>
          </cell>
        </row>
        <row r="2955">
          <cell r="A2955">
            <v>9689692</v>
          </cell>
          <cell r="B2955">
            <v>321200</v>
          </cell>
          <cell r="C2955" t="str">
            <v>SALARIES AND WAGES - LEAVE OF</v>
          </cell>
        </row>
        <row r="2956">
          <cell r="A2956">
            <v>9689747</v>
          </cell>
          <cell r="B2956">
            <v>321200</v>
          </cell>
          <cell r="C2956" t="str">
            <v>SALARIES AND WAGES - LEAVE OF</v>
          </cell>
        </row>
        <row r="2957">
          <cell r="A2957">
            <v>9689883</v>
          </cell>
          <cell r="B2957">
            <v>321200</v>
          </cell>
          <cell r="C2957" t="str">
            <v>SALARIES AND WAGES - LEAVE OF</v>
          </cell>
        </row>
        <row r="2958">
          <cell r="A2958">
            <v>9689890</v>
          </cell>
          <cell r="B2958">
            <v>321200</v>
          </cell>
          <cell r="C2958" t="str">
            <v>SALARIES AND WAGES - LEAVE OF</v>
          </cell>
        </row>
        <row r="2959">
          <cell r="A2959">
            <v>9689906</v>
          </cell>
          <cell r="B2959">
            <v>321200</v>
          </cell>
          <cell r="C2959" t="str">
            <v>SALARIES AND WAGES - LEAVE OF</v>
          </cell>
        </row>
        <row r="2960">
          <cell r="A2960">
            <v>9689925</v>
          </cell>
          <cell r="B2960">
            <v>321200</v>
          </cell>
          <cell r="C2960" t="str">
            <v>SALARIES AND WAGES - LEAVE OF</v>
          </cell>
        </row>
        <row r="2961">
          <cell r="A2961">
            <v>9689990</v>
          </cell>
          <cell r="B2961">
            <v>321200</v>
          </cell>
          <cell r="C2961" t="str">
            <v>SALARIES AND WAGES - LEAVE OF</v>
          </cell>
        </row>
        <row r="2962">
          <cell r="A2962">
            <v>9689992</v>
          </cell>
          <cell r="B2962">
            <v>321200</v>
          </cell>
          <cell r="C2962" t="str">
            <v>SALARIES AND WAGES - LEAVE OF</v>
          </cell>
        </row>
        <row r="2963">
          <cell r="A2963">
            <v>9689999</v>
          </cell>
          <cell r="B2963">
            <v>321200</v>
          </cell>
          <cell r="C2963" t="str">
            <v>SALARIES AND WAGES - LEAVE OF</v>
          </cell>
        </row>
        <row r="2964">
          <cell r="A2964">
            <v>8001054179</v>
          </cell>
          <cell r="B2964">
            <v>321200</v>
          </cell>
          <cell r="C2964" t="str">
            <v>SALARIES AND WAGES - FULL TIME HEAD</v>
          </cell>
        </row>
        <row r="2965">
          <cell r="A2965">
            <v>8001059542</v>
          </cell>
          <cell r="B2965">
            <v>321200</v>
          </cell>
          <cell r="C2965" t="str">
            <v>SALARIES AND WAGES - FULL TIME HEAD</v>
          </cell>
        </row>
        <row r="2966">
          <cell r="A2966">
            <v>8010512510</v>
          </cell>
          <cell r="B2966">
            <v>321200</v>
          </cell>
          <cell r="C2966" t="str">
            <v>SALARIES AND WAGES - FULL TIME HEAD</v>
          </cell>
        </row>
        <row r="2967">
          <cell r="A2967">
            <v>9080700</v>
          </cell>
          <cell r="B2967">
            <v>321200</v>
          </cell>
          <cell r="C2967" t="str">
            <v>SALARIES AND WAGES - FULL TIME HEAD</v>
          </cell>
        </row>
        <row r="2968">
          <cell r="A2968">
            <v>9080701</v>
          </cell>
          <cell r="B2968">
            <v>321200</v>
          </cell>
          <cell r="C2968" t="str">
            <v>SALARIES AND WAGES - FULL TIME HEAD</v>
          </cell>
        </row>
        <row r="2969">
          <cell r="A2969">
            <v>9080702</v>
          </cell>
          <cell r="B2969">
            <v>321200</v>
          </cell>
          <cell r="C2969" t="str">
            <v>SALARIES AND WAGES - FULL TIME HEAD</v>
          </cell>
        </row>
        <row r="2970">
          <cell r="A2970">
            <v>9080705</v>
          </cell>
          <cell r="B2970">
            <v>321200</v>
          </cell>
          <cell r="C2970" t="str">
            <v>SALARIES AND WAGES - FULL TIME HEAD</v>
          </cell>
        </row>
        <row r="2971">
          <cell r="A2971">
            <v>9080707</v>
          </cell>
          <cell r="B2971">
            <v>321200</v>
          </cell>
          <cell r="C2971" t="str">
            <v>SALARIES AND WAGES - FULL TIME HEAD</v>
          </cell>
        </row>
        <row r="2972">
          <cell r="A2972">
            <v>9080710</v>
          </cell>
          <cell r="B2972">
            <v>321200</v>
          </cell>
          <cell r="C2972" t="str">
            <v>SALARIES AND WAGES - FULL TIME HEAD</v>
          </cell>
        </row>
        <row r="2973">
          <cell r="A2973">
            <v>9080712</v>
          </cell>
          <cell r="B2973">
            <v>321200</v>
          </cell>
          <cell r="C2973" t="str">
            <v>SALARIES AND WAGES - FULL TIME HEAD</v>
          </cell>
        </row>
        <row r="2974">
          <cell r="A2974">
            <v>9080999</v>
          </cell>
          <cell r="B2974">
            <v>321200</v>
          </cell>
          <cell r="C2974" t="str">
            <v>SALARIES AND WAGES - FULL TIME HEAD</v>
          </cell>
        </row>
        <row r="2975">
          <cell r="A2975">
            <v>9090999</v>
          </cell>
          <cell r="B2975">
            <v>321200</v>
          </cell>
          <cell r="C2975" t="str">
            <v>SALARIES AND WAGES - FULL TIME HEAD</v>
          </cell>
        </row>
        <row r="2976">
          <cell r="A2976">
            <v>9100999</v>
          </cell>
          <cell r="B2976">
            <v>321200</v>
          </cell>
          <cell r="C2976" t="str">
            <v>SALARIES AND WAGES - FULL TIME HEAD</v>
          </cell>
        </row>
        <row r="2977">
          <cell r="A2977">
            <v>9110700</v>
          </cell>
          <cell r="B2977">
            <v>321200</v>
          </cell>
          <cell r="C2977" t="str">
            <v>SALARIES AND WAGES - FULL TIME HEAD</v>
          </cell>
        </row>
        <row r="2978">
          <cell r="A2978">
            <v>9110702</v>
          </cell>
          <cell r="B2978">
            <v>321200</v>
          </cell>
          <cell r="C2978" t="str">
            <v>SALARIES AND WAGES - FULL TIME HEAD</v>
          </cell>
        </row>
        <row r="2979">
          <cell r="A2979">
            <v>9110705</v>
          </cell>
          <cell r="B2979">
            <v>321200</v>
          </cell>
          <cell r="C2979" t="str">
            <v>SALARIES AND WAGES - FULL TIME HEAD</v>
          </cell>
        </row>
        <row r="2980">
          <cell r="A2980">
            <v>9110707</v>
          </cell>
          <cell r="B2980">
            <v>321200</v>
          </cell>
          <cell r="C2980" t="str">
            <v>SALARIES AND WAGES - FULL TIME HEAD</v>
          </cell>
        </row>
        <row r="2981">
          <cell r="A2981">
            <v>9110712</v>
          </cell>
          <cell r="B2981">
            <v>321200</v>
          </cell>
          <cell r="C2981" t="str">
            <v>SALARIES AND WAGES - FULL TIME HEAD</v>
          </cell>
        </row>
        <row r="2982">
          <cell r="A2982">
            <v>9110999</v>
          </cell>
          <cell r="B2982">
            <v>321200</v>
          </cell>
          <cell r="C2982" t="str">
            <v>SALARIES AND WAGES - FULL TIME HEAD</v>
          </cell>
        </row>
        <row r="2983">
          <cell r="A2983">
            <v>9680700</v>
          </cell>
          <cell r="B2983">
            <v>321200</v>
          </cell>
          <cell r="C2983" t="str">
            <v>SALARIES AND WAGES - FULL TIME HEAD</v>
          </cell>
        </row>
        <row r="2984">
          <cell r="A2984">
            <v>9680701</v>
          </cell>
          <cell r="B2984">
            <v>321200</v>
          </cell>
          <cell r="C2984" t="str">
            <v>SALARIES AND WAGES - FULL TIME HEAD</v>
          </cell>
        </row>
        <row r="2985">
          <cell r="A2985">
            <v>9680702</v>
          </cell>
          <cell r="B2985">
            <v>321200</v>
          </cell>
          <cell r="C2985" t="str">
            <v>SALARIES AND WAGES - FULL TIME HEAD</v>
          </cell>
        </row>
        <row r="2986">
          <cell r="A2986">
            <v>9680705</v>
          </cell>
          <cell r="B2986">
            <v>321200</v>
          </cell>
          <cell r="C2986" t="str">
            <v>SALARIES AND WAGES - FULL TIME HEAD</v>
          </cell>
        </row>
        <row r="2987">
          <cell r="A2987">
            <v>9680707</v>
          </cell>
          <cell r="B2987">
            <v>321200</v>
          </cell>
          <cell r="C2987" t="str">
            <v>SALARIES AND WAGES - FULL TIME HEAD</v>
          </cell>
        </row>
        <row r="2988">
          <cell r="A2988">
            <v>9680710</v>
          </cell>
          <cell r="B2988">
            <v>321200</v>
          </cell>
          <cell r="C2988" t="str">
            <v>SALARIES AND WAGES - FULL TIME HEAD</v>
          </cell>
        </row>
        <row r="2989">
          <cell r="A2989">
            <v>9680712</v>
          </cell>
          <cell r="B2989">
            <v>321200</v>
          </cell>
          <cell r="C2989" t="str">
            <v>SALARIES AND WAGES - FULL TIME HEAD</v>
          </cell>
        </row>
        <row r="2990">
          <cell r="A2990">
            <v>9680714</v>
          </cell>
          <cell r="B2990">
            <v>321200</v>
          </cell>
          <cell r="C2990" t="str">
            <v>SALARIES AND WAGES - FULL TIME HEAD</v>
          </cell>
        </row>
        <row r="2991">
          <cell r="A2991">
            <v>9680734</v>
          </cell>
          <cell r="B2991">
            <v>321200</v>
          </cell>
          <cell r="C2991" t="str">
            <v>SALARIES AND WAGES - FULL TIME HEAD</v>
          </cell>
        </row>
        <row r="2992">
          <cell r="A2992">
            <v>9680748</v>
          </cell>
          <cell r="B2992">
            <v>321200</v>
          </cell>
          <cell r="C2992" t="str">
            <v>SALARIES AND WAGES - FULL TIME HEAD</v>
          </cell>
        </row>
        <row r="2993">
          <cell r="A2993">
            <v>9680749</v>
          </cell>
          <cell r="B2993">
            <v>321200</v>
          </cell>
          <cell r="C2993" t="str">
            <v>SALARIES AND WAGES - FULL TIME HEAD</v>
          </cell>
        </row>
        <row r="2994">
          <cell r="A2994">
            <v>9680894</v>
          </cell>
          <cell r="B2994">
            <v>321200</v>
          </cell>
          <cell r="C2994" t="str">
            <v>SALARIES AND WAGES - FULL TIME HEAD</v>
          </cell>
        </row>
        <row r="2995">
          <cell r="A2995">
            <v>9680999</v>
          </cell>
          <cell r="B2995">
            <v>321200</v>
          </cell>
          <cell r="C2995" t="str">
            <v>SALARIES AND WAGES - FULL TIME HEAD</v>
          </cell>
        </row>
        <row r="2996">
          <cell r="A2996">
            <v>9681700</v>
          </cell>
          <cell r="B2996">
            <v>321200</v>
          </cell>
          <cell r="C2996" t="str">
            <v>SALARIES AND WAGES - FULL TIME HEAD</v>
          </cell>
        </row>
        <row r="2997">
          <cell r="A2997">
            <v>9681701</v>
          </cell>
          <cell r="B2997">
            <v>321200</v>
          </cell>
          <cell r="C2997" t="str">
            <v>SALARIES AND WAGES - FULL TIME HEAD</v>
          </cell>
        </row>
        <row r="2998">
          <cell r="A2998">
            <v>9681702</v>
          </cell>
          <cell r="B2998">
            <v>321200</v>
          </cell>
          <cell r="C2998" t="str">
            <v>SALARIES AND WAGES - FULL TIME HEAD</v>
          </cell>
        </row>
        <row r="2999">
          <cell r="A2999">
            <v>9681705</v>
          </cell>
          <cell r="B2999">
            <v>321200</v>
          </cell>
          <cell r="C2999" t="str">
            <v>SALARIES AND WAGES - FULL TIME HEAD</v>
          </cell>
        </row>
        <row r="3000">
          <cell r="A3000">
            <v>9681706</v>
          </cell>
          <cell r="B3000">
            <v>321200</v>
          </cell>
          <cell r="C3000" t="str">
            <v>SALARIES AND WAGES - FULL TIME HEAD</v>
          </cell>
        </row>
        <row r="3001">
          <cell r="A3001">
            <v>9681707</v>
          </cell>
          <cell r="B3001">
            <v>321200</v>
          </cell>
          <cell r="C3001" t="str">
            <v>SALARIES AND WAGES - FULL TIME HEAD</v>
          </cell>
        </row>
        <row r="3002">
          <cell r="A3002">
            <v>9681710</v>
          </cell>
          <cell r="B3002">
            <v>321200</v>
          </cell>
          <cell r="C3002" t="str">
            <v>SALARIES AND WAGES - FULL TIME HEAD</v>
          </cell>
        </row>
        <row r="3003">
          <cell r="A3003">
            <v>9681712</v>
          </cell>
          <cell r="B3003">
            <v>321200</v>
          </cell>
          <cell r="C3003" t="str">
            <v>SALARIES AND WAGES - FULL TIME HEAD</v>
          </cell>
        </row>
        <row r="3004">
          <cell r="A3004">
            <v>9681727</v>
          </cell>
          <cell r="B3004">
            <v>321200</v>
          </cell>
          <cell r="C3004" t="str">
            <v>SALARIES AND WAGES - FULL TIME HEAD</v>
          </cell>
        </row>
        <row r="3005">
          <cell r="A3005">
            <v>9681734</v>
          </cell>
          <cell r="B3005">
            <v>321200</v>
          </cell>
          <cell r="C3005" t="str">
            <v>SALARIES AND WAGES - FULL TIME HEAD</v>
          </cell>
        </row>
        <row r="3006">
          <cell r="A3006">
            <v>9681748</v>
          </cell>
          <cell r="B3006">
            <v>321200</v>
          </cell>
          <cell r="C3006" t="str">
            <v>SALARIES AND WAGES - FULL TIME HEAD</v>
          </cell>
        </row>
        <row r="3007">
          <cell r="A3007">
            <v>9681749</v>
          </cell>
          <cell r="B3007">
            <v>321200</v>
          </cell>
          <cell r="C3007" t="str">
            <v>SALARIES AND WAGES - FULL TIME HEAD</v>
          </cell>
        </row>
        <row r="3008">
          <cell r="A3008">
            <v>9681894</v>
          </cell>
          <cell r="B3008">
            <v>321200</v>
          </cell>
          <cell r="C3008" t="str">
            <v>SALARIES AND WAGES - FULL TIME HEAD</v>
          </cell>
        </row>
        <row r="3009">
          <cell r="A3009">
            <v>9681999</v>
          </cell>
          <cell r="B3009">
            <v>321200</v>
          </cell>
          <cell r="C3009" t="str">
            <v>SALARIES AND WAGES - FULL TIME HEAD</v>
          </cell>
        </row>
        <row r="3010">
          <cell r="A3010">
            <v>9682715</v>
          </cell>
          <cell r="B3010">
            <v>321200</v>
          </cell>
          <cell r="C3010" t="str">
            <v>SALARIES AND WAGES - FULL TIME HEAD</v>
          </cell>
        </row>
        <row r="3011">
          <cell r="A3011">
            <v>9682722</v>
          </cell>
          <cell r="B3011">
            <v>321200</v>
          </cell>
          <cell r="C3011" t="str">
            <v>SALARIES AND WAGES - FULL TIME HEAD</v>
          </cell>
        </row>
        <row r="3012">
          <cell r="A3012">
            <v>9682999</v>
          </cell>
          <cell r="B3012">
            <v>321200</v>
          </cell>
          <cell r="C3012" t="str">
            <v>SALARIES AND WAGES - FULL TIME HEAD</v>
          </cell>
        </row>
        <row r="3013">
          <cell r="A3013">
            <v>9683999</v>
          </cell>
          <cell r="B3013">
            <v>321200</v>
          </cell>
          <cell r="C3013" t="str">
            <v>SALARIES AND WAGES - FULL TIME HEAD</v>
          </cell>
        </row>
        <row r="3014">
          <cell r="A3014">
            <v>9684999</v>
          </cell>
          <cell r="B3014">
            <v>321200</v>
          </cell>
          <cell r="C3014" t="str">
            <v>SALARIES AND WAGES - FULL TIME HEAD</v>
          </cell>
        </row>
        <row r="3015">
          <cell r="A3015">
            <v>9685999</v>
          </cell>
          <cell r="B3015">
            <v>321200</v>
          </cell>
          <cell r="C3015" t="str">
            <v>SALARIES AND WAGES - FULL TIME HEAD</v>
          </cell>
        </row>
        <row r="3016">
          <cell r="A3016">
            <v>9689692</v>
          </cell>
          <cell r="B3016">
            <v>321200</v>
          </cell>
          <cell r="C3016" t="str">
            <v>SALARIES AND WAGES - FULL TIME HEAD</v>
          </cell>
        </row>
        <row r="3017">
          <cell r="A3017">
            <v>9689747</v>
          </cell>
          <cell r="B3017">
            <v>321200</v>
          </cell>
          <cell r="C3017" t="str">
            <v>SALARIES AND WAGES - FULL TIME HEAD</v>
          </cell>
        </row>
        <row r="3018">
          <cell r="A3018">
            <v>9689883</v>
          </cell>
          <cell r="B3018">
            <v>321200</v>
          </cell>
          <cell r="C3018" t="str">
            <v>SALARIES AND WAGES - FULL TIME HEAD</v>
          </cell>
        </row>
        <row r="3019">
          <cell r="A3019">
            <v>9689890</v>
          </cell>
          <cell r="B3019">
            <v>321200</v>
          </cell>
          <cell r="C3019" t="str">
            <v>SALARIES AND WAGES - FULL TIME HEAD</v>
          </cell>
        </row>
        <row r="3020">
          <cell r="A3020">
            <v>9689906</v>
          </cell>
          <cell r="B3020">
            <v>321200</v>
          </cell>
          <cell r="C3020" t="str">
            <v>SALARIES AND WAGES - FULL TIME HEAD</v>
          </cell>
        </row>
        <row r="3021">
          <cell r="A3021">
            <v>9689925</v>
          </cell>
          <cell r="B3021">
            <v>321200</v>
          </cell>
          <cell r="C3021" t="str">
            <v>SALARIES AND WAGES - FULL TIME HEAD</v>
          </cell>
        </row>
        <row r="3022">
          <cell r="A3022">
            <v>9689990</v>
          </cell>
          <cell r="B3022">
            <v>321200</v>
          </cell>
          <cell r="C3022" t="str">
            <v>SALARIES AND WAGES - FULL TIME HEAD</v>
          </cell>
        </row>
        <row r="3023">
          <cell r="A3023">
            <v>9689991</v>
          </cell>
          <cell r="B3023">
            <v>321200</v>
          </cell>
          <cell r="C3023" t="str">
            <v>SALARIES AND WAGES - FULL TIME HEAD</v>
          </cell>
        </row>
        <row r="3024">
          <cell r="A3024">
            <v>9689992</v>
          </cell>
          <cell r="B3024">
            <v>321200</v>
          </cell>
          <cell r="C3024" t="str">
            <v>SALARIES AND WAGES - FULL TIME HEAD</v>
          </cell>
        </row>
        <row r="3025">
          <cell r="A3025">
            <v>9689993</v>
          </cell>
          <cell r="B3025">
            <v>321200</v>
          </cell>
          <cell r="C3025" t="str">
            <v>SALARIES AND WAGES - FULL TIME HEAD</v>
          </cell>
        </row>
        <row r="3026">
          <cell r="A3026">
            <v>9689999</v>
          </cell>
          <cell r="B3026">
            <v>321200</v>
          </cell>
          <cell r="C3026" t="str">
            <v>SALARIES AND WAGES - FULL TIME HEAD</v>
          </cell>
        </row>
        <row r="3027">
          <cell r="A3027">
            <v>9969681</v>
          </cell>
          <cell r="B3027">
            <v>321200</v>
          </cell>
          <cell r="C3027" t="str">
            <v>SALARIES AND WAGES - FULL TIME HEAD</v>
          </cell>
        </row>
        <row r="3028">
          <cell r="A3028">
            <v>9969901</v>
          </cell>
          <cell r="B3028">
            <v>321200</v>
          </cell>
          <cell r="C3028" t="str">
            <v>SALARIES AND WAGES - FULL TIME HEAD</v>
          </cell>
        </row>
        <row r="3029">
          <cell r="A3029" t="str">
            <v>ZONE-0105-POST</v>
          </cell>
          <cell r="B3029">
            <v>321200</v>
          </cell>
          <cell r="C3029" t="str">
            <v>SALARIES AND WAGES - FULL TIME HEAD</v>
          </cell>
        </row>
        <row r="3030">
          <cell r="A3030" t="str">
            <v>ZONE-0112-POST</v>
          </cell>
          <cell r="B3030">
            <v>321200</v>
          </cell>
          <cell r="C3030" t="str">
            <v>SALARIES AND WAGES - FULL TIME HEAD</v>
          </cell>
        </row>
        <row r="3031">
          <cell r="A3031">
            <v>9080700</v>
          </cell>
          <cell r="B3031">
            <v>321200</v>
          </cell>
          <cell r="C3031" t="str">
            <v>SALARIES AND WAGES - PART TIME HEAD</v>
          </cell>
        </row>
        <row r="3032">
          <cell r="A3032">
            <v>9080701</v>
          </cell>
          <cell r="B3032">
            <v>321200</v>
          </cell>
          <cell r="C3032" t="str">
            <v>SALARIES AND WAGES - PART TIME HEAD</v>
          </cell>
        </row>
        <row r="3033">
          <cell r="A3033">
            <v>9080702</v>
          </cell>
          <cell r="B3033">
            <v>321200</v>
          </cell>
          <cell r="C3033" t="str">
            <v>SALARIES AND WAGES - PART TIME HEAD</v>
          </cell>
        </row>
        <row r="3034">
          <cell r="A3034">
            <v>9080705</v>
          </cell>
          <cell r="B3034">
            <v>321200</v>
          </cell>
          <cell r="C3034" t="str">
            <v>SALARIES AND WAGES - PART TIME HEAD</v>
          </cell>
        </row>
        <row r="3035">
          <cell r="A3035">
            <v>9080707</v>
          </cell>
          <cell r="B3035">
            <v>321200</v>
          </cell>
          <cell r="C3035" t="str">
            <v>SALARIES AND WAGES - PART TIME HEAD</v>
          </cell>
        </row>
        <row r="3036">
          <cell r="A3036">
            <v>9080710</v>
          </cell>
          <cell r="B3036">
            <v>321200</v>
          </cell>
          <cell r="C3036" t="str">
            <v>SALARIES AND WAGES - PART TIME HEAD</v>
          </cell>
        </row>
        <row r="3037">
          <cell r="A3037">
            <v>9080712</v>
          </cell>
          <cell r="B3037">
            <v>321200</v>
          </cell>
          <cell r="C3037" t="str">
            <v>SALARIES AND WAGES - PART TIME HEAD</v>
          </cell>
        </row>
        <row r="3038">
          <cell r="A3038">
            <v>9080999</v>
          </cell>
          <cell r="B3038">
            <v>321200</v>
          </cell>
          <cell r="C3038" t="str">
            <v>SALARIES AND WAGES - PART TIME HEAD</v>
          </cell>
        </row>
        <row r="3039">
          <cell r="A3039">
            <v>9110700</v>
          </cell>
          <cell r="B3039">
            <v>321200</v>
          </cell>
          <cell r="C3039" t="str">
            <v>SALARIES AND WAGES - PART TIME HEAD</v>
          </cell>
        </row>
        <row r="3040">
          <cell r="A3040">
            <v>9110702</v>
          </cell>
          <cell r="B3040">
            <v>321200</v>
          </cell>
          <cell r="C3040" t="str">
            <v>SALARIES AND WAGES - PART TIME HEAD</v>
          </cell>
        </row>
        <row r="3041">
          <cell r="A3041">
            <v>9110705</v>
          </cell>
          <cell r="B3041">
            <v>321200</v>
          </cell>
          <cell r="C3041" t="str">
            <v>SALARIES AND WAGES - PART TIME HEAD</v>
          </cell>
        </row>
        <row r="3042">
          <cell r="A3042">
            <v>9110707</v>
          </cell>
          <cell r="B3042">
            <v>321200</v>
          </cell>
          <cell r="C3042" t="str">
            <v>SALARIES AND WAGES - PART TIME HEAD</v>
          </cell>
        </row>
        <row r="3043">
          <cell r="A3043">
            <v>9110712</v>
          </cell>
          <cell r="B3043">
            <v>321200</v>
          </cell>
          <cell r="C3043" t="str">
            <v>SALARIES AND WAGES - PART TIME HEAD</v>
          </cell>
        </row>
        <row r="3044">
          <cell r="A3044">
            <v>9110999</v>
          </cell>
          <cell r="B3044">
            <v>321200</v>
          </cell>
          <cell r="C3044" t="str">
            <v>SALARIES AND WAGES - PART TIME HEAD</v>
          </cell>
        </row>
        <row r="3045">
          <cell r="A3045">
            <v>9681700</v>
          </cell>
          <cell r="B3045">
            <v>321200</v>
          </cell>
          <cell r="C3045" t="str">
            <v>SALARIES AND WAGES - PART TIME HEAD</v>
          </cell>
        </row>
        <row r="3046">
          <cell r="A3046">
            <v>9681701</v>
          </cell>
          <cell r="B3046">
            <v>321200</v>
          </cell>
          <cell r="C3046" t="str">
            <v>SALARIES AND WAGES - PART TIME HEAD</v>
          </cell>
        </row>
        <row r="3047">
          <cell r="A3047">
            <v>9681702</v>
          </cell>
          <cell r="B3047">
            <v>321200</v>
          </cell>
          <cell r="C3047" t="str">
            <v>SALARIES AND WAGES - PART TIME HEAD</v>
          </cell>
        </row>
        <row r="3048">
          <cell r="A3048">
            <v>9681705</v>
          </cell>
          <cell r="B3048">
            <v>321200</v>
          </cell>
          <cell r="C3048" t="str">
            <v>SALARIES AND WAGES - PART TIME HEAD</v>
          </cell>
        </row>
        <row r="3049">
          <cell r="A3049">
            <v>9681706</v>
          </cell>
          <cell r="B3049">
            <v>321200</v>
          </cell>
          <cell r="C3049" t="str">
            <v>SALARIES AND WAGES - PART TIME HEAD</v>
          </cell>
        </row>
        <row r="3050">
          <cell r="A3050">
            <v>9681707</v>
          </cell>
          <cell r="B3050">
            <v>321200</v>
          </cell>
          <cell r="C3050" t="str">
            <v>SALARIES AND WAGES - PART TIME HEAD</v>
          </cell>
        </row>
        <row r="3051">
          <cell r="A3051">
            <v>9681712</v>
          </cell>
          <cell r="B3051">
            <v>321200</v>
          </cell>
          <cell r="C3051" t="str">
            <v>SALARIES AND WAGES - PART TIME HEAD</v>
          </cell>
        </row>
        <row r="3052">
          <cell r="A3052">
            <v>9681727</v>
          </cell>
          <cell r="B3052">
            <v>321200</v>
          </cell>
          <cell r="C3052" t="str">
            <v>SALARIES AND WAGES - PART TIME HEAD</v>
          </cell>
        </row>
        <row r="3053">
          <cell r="A3053">
            <v>9681749</v>
          </cell>
          <cell r="B3053">
            <v>321200</v>
          </cell>
          <cell r="C3053" t="str">
            <v>SALARIES AND WAGES - PART TIME HEAD</v>
          </cell>
        </row>
        <row r="3054">
          <cell r="A3054">
            <v>9681999</v>
          </cell>
          <cell r="B3054">
            <v>321200</v>
          </cell>
          <cell r="C3054" t="str">
            <v>SALARIES AND WAGES - PART TIME HEAD</v>
          </cell>
        </row>
        <row r="3055">
          <cell r="A3055">
            <v>9685999</v>
          </cell>
          <cell r="B3055">
            <v>321200</v>
          </cell>
          <cell r="C3055" t="str">
            <v>SALARIES AND WAGES - PART TIME HEAD</v>
          </cell>
        </row>
        <row r="3056">
          <cell r="A3056">
            <v>9689999</v>
          </cell>
          <cell r="B3056">
            <v>321200</v>
          </cell>
          <cell r="C3056" t="str">
            <v>SALARIES AND WAGES - PART TIME HEAD</v>
          </cell>
        </row>
        <row r="3057">
          <cell r="A3057">
            <v>9080701</v>
          </cell>
          <cell r="B3057">
            <v>321200</v>
          </cell>
          <cell r="C3057" t="str">
            <v>SALARIES AND WAGES - PROJECT HEAD</v>
          </cell>
        </row>
        <row r="3058">
          <cell r="A3058">
            <v>9080702</v>
          </cell>
          <cell r="B3058">
            <v>321200</v>
          </cell>
          <cell r="C3058" t="str">
            <v>SALARIES AND WAGES - PROJECT HEAD</v>
          </cell>
        </row>
        <row r="3059">
          <cell r="A3059">
            <v>9080705</v>
          </cell>
          <cell r="B3059">
            <v>321200</v>
          </cell>
          <cell r="C3059" t="str">
            <v>SALARIES AND WAGES - PROJECT HEAD</v>
          </cell>
        </row>
        <row r="3060">
          <cell r="A3060">
            <v>9080707</v>
          </cell>
          <cell r="B3060">
            <v>321200</v>
          </cell>
          <cell r="C3060" t="str">
            <v>SALARIES AND WAGES - PROJECT HEAD</v>
          </cell>
        </row>
        <row r="3061">
          <cell r="A3061">
            <v>9080710</v>
          </cell>
          <cell r="B3061">
            <v>321200</v>
          </cell>
          <cell r="C3061" t="str">
            <v>SALARIES AND WAGES - PROJECT HEAD</v>
          </cell>
        </row>
        <row r="3062">
          <cell r="A3062">
            <v>9080712</v>
          </cell>
          <cell r="B3062">
            <v>321200</v>
          </cell>
          <cell r="C3062" t="str">
            <v>SALARIES AND WAGES - PROJECT HEAD</v>
          </cell>
        </row>
        <row r="3063">
          <cell r="A3063">
            <v>9080999</v>
          </cell>
          <cell r="B3063">
            <v>321200</v>
          </cell>
          <cell r="C3063" t="str">
            <v>SALARIES AND WAGES - PROJECT HEAD</v>
          </cell>
        </row>
        <row r="3064">
          <cell r="A3064">
            <v>9110702</v>
          </cell>
          <cell r="B3064">
            <v>321200</v>
          </cell>
          <cell r="C3064" t="str">
            <v>SALARIES AND WAGES - PROJECT HEAD</v>
          </cell>
        </row>
        <row r="3065">
          <cell r="A3065">
            <v>9110705</v>
          </cell>
          <cell r="B3065">
            <v>321200</v>
          </cell>
          <cell r="C3065" t="str">
            <v>SALARIES AND WAGES - PROJECT HEAD</v>
          </cell>
        </row>
        <row r="3066">
          <cell r="A3066">
            <v>9110707</v>
          </cell>
          <cell r="B3066">
            <v>321200</v>
          </cell>
          <cell r="C3066" t="str">
            <v>SALARIES AND WAGES - PROJECT HEAD</v>
          </cell>
        </row>
        <row r="3067">
          <cell r="A3067">
            <v>9110712</v>
          </cell>
          <cell r="B3067">
            <v>321200</v>
          </cell>
          <cell r="C3067" t="str">
            <v>SALARIES AND WAGES - PROJECT HEAD</v>
          </cell>
        </row>
        <row r="3068">
          <cell r="A3068">
            <v>9110999</v>
          </cell>
          <cell r="B3068">
            <v>321200</v>
          </cell>
          <cell r="C3068" t="str">
            <v>SALARIES AND WAGES - PROJECT HEAD</v>
          </cell>
        </row>
        <row r="3069">
          <cell r="A3069">
            <v>9683999</v>
          </cell>
          <cell r="B3069">
            <v>321200</v>
          </cell>
          <cell r="C3069" t="str">
            <v>SALARIES AND WAGES - PROJECT HEAD</v>
          </cell>
        </row>
        <row r="3070">
          <cell r="A3070">
            <v>9685999</v>
          </cell>
          <cell r="B3070">
            <v>321200</v>
          </cell>
          <cell r="C3070" t="str">
            <v>SALARIES AND WAGES - PROJECT HEAD</v>
          </cell>
        </row>
        <row r="3071">
          <cell r="A3071">
            <v>9689991</v>
          </cell>
          <cell r="B3071">
            <v>321200</v>
          </cell>
          <cell r="C3071" t="str">
            <v>SALARIES AND WAGES - PROJECT HEAD</v>
          </cell>
        </row>
        <row r="3072">
          <cell r="A3072">
            <v>9689999</v>
          </cell>
          <cell r="B3072">
            <v>321200</v>
          </cell>
          <cell r="C3072" t="str">
            <v>SALARIES AND WAGES - PROJECT HEAD</v>
          </cell>
        </row>
        <row r="3073">
          <cell r="A3073">
            <v>8001054179</v>
          </cell>
          <cell r="B3073">
            <v>321200</v>
          </cell>
          <cell r="C3073" t="str">
            <v>SALARIES AND WAGES - FULL TIME HOURS</v>
          </cell>
        </row>
        <row r="3074">
          <cell r="A3074">
            <v>8001059542</v>
          </cell>
          <cell r="B3074">
            <v>321200</v>
          </cell>
          <cell r="C3074" t="str">
            <v>SALARIES AND WAGES - FULL TIME HOURS</v>
          </cell>
        </row>
        <row r="3075">
          <cell r="A3075">
            <v>8010512510</v>
          </cell>
          <cell r="B3075">
            <v>321200</v>
          </cell>
          <cell r="C3075" t="str">
            <v>SALARIES AND WAGES - FULL TIME HOURS</v>
          </cell>
        </row>
        <row r="3076">
          <cell r="A3076">
            <v>9080700</v>
          </cell>
          <cell r="B3076">
            <v>321200</v>
          </cell>
          <cell r="C3076" t="str">
            <v>SALARIES AND WAGES - FULL TIME HOURS</v>
          </cell>
        </row>
        <row r="3077">
          <cell r="A3077">
            <v>9080701</v>
          </cell>
          <cell r="B3077">
            <v>321200</v>
          </cell>
          <cell r="C3077" t="str">
            <v>SALARIES AND WAGES - FULL TIME HOURS</v>
          </cell>
        </row>
        <row r="3078">
          <cell r="A3078">
            <v>9080702</v>
          </cell>
          <cell r="B3078">
            <v>321200</v>
          </cell>
          <cell r="C3078" t="str">
            <v>SALARIES AND WAGES - FULL TIME HOURS</v>
          </cell>
        </row>
        <row r="3079">
          <cell r="A3079">
            <v>9080705</v>
          </cell>
          <cell r="B3079">
            <v>321200</v>
          </cell>
          <cell r="C3079" t="str">
            <v>SALARIES AND WAGES - FULL TIME HOURS</v>
          </cell>
        </row>
        <row r="3080">
          <cell r="A3080">
            <v>9080707</v>
          </cell>
          <cell r="B3080">
            <v>321200</v>
          </cell>
          <cell r="C3080" t="str">
            <v>SALARIES AND WAGES - FULL TIME HOURS</v>
          </cell>
        </row>
        <row r="3081">
          <cell r="A3081">
            <v>9080710</v>
          </cell>
          <cell r="B3081">
            <v>321200</v>
          </cell>
          <cell r="C3081" t="str">
            <v>SALARIES AND WAGES - FULL TIME HOURS</v>
          </cell>
        </row>
        <row r="3082">
          <cell r="A3082">
            <v>9080712</v>
          </cell>
          <cell r="B3082">
            <v>321200</v>
          </cell>
          <cell r="C3082" t="str">
            <v>SALARIES AND WAGES - FULL TIME HOURS</v>
          </cell>
        </row>
        <row r="3083">
          <cell r="A3083">
            <v>9080999</v>
          </cell>
          <cell r="B3083">
            <v>321200</v>
          </cell>
          <cell r="C3083" t="str">
            <v>SALARIES AND WAGES - FULL TIME HOURS</v>
          </cell>
        </row>
        <row r="3084">
          <cell r="A3084">
            <v>9090999</v>
          </cell>
          <cell r="B3084">
            <v>321200</v>
          </cell>
          <cell r="C3084" t="str">
            <v>SALARIES AND WAGES - FULL TIME HOURS</v>
          </cell>
        </row>
        <row r="3085">
          <cell r="A3085">
            <v>9100999</v>
          </cell>
          <cell r="B3085">
            <v>321200</v>
          </cell>
          <cell r="C3085" t="str">
            <v>SALARIES AND WAGES - FULL TIME HOURS</v>
          </cell>
        </row>
        <row r="3086">
          <cell r="A3086">
            <v>9110700</v>
          </cell>
          <cell r="B3086">
            <v>321200</v>
          </cell>
          <cell r="C3086" t="str">
            <v>SALARIES AND WAGES - FULL TIME HOURS</v>
          </cell>
        </row>
        <row r="3087">
          <cell r="A3087">
            <v>9110702</v>
          </cell>
          <cell r="B3087">
            <v>321200</v>
          </cell>
          <cell r="C3087" t="str">
            <v>SALARIES AND WAGES - FULL TIME HOURS</v>
          </cell>
        </row>
        <row r="3088">
          <cell r="A3088">
            <v>9110705</v>
          </cell>
          <cell r="B3088">
            <v>321200</v>
          </cell>
          <cell r="C3088" t="str">
            <v>SALARIES AND WAGES - FULL TIME HOURS</v>
          </cell>
        </row>
        <row r="3089">
          <cell r="A3089">
            <v>9110707</v>
          </cell>
          <cell r="B3089">
            <v>321200</v>
          </cell>
          <cell r="C3089" t="str">
            <v>SALARIES AND WAGES - FULL TIME HOURS</v>
          </cell>
        </row>
        <row r="3090">
          <cell r="A3090">
            <v>9110712</v>
          </cell>
          <cell r="B3090">
            <v>321200</v>
          </cell>
          <cell r="C3090" t="str">
            <v>SALARIES AND WAGES - FULL TIME HOURS</v>
          </cell>
        </row>
        <row r="3091">
          <cell r="A3091">
            <v>9110999</v>
          </cell>
          <cell r="B3091">
            <v>321200</v>
          </cell>
          <cell r="C3091" t="str">
            <v>SALARIES AND WAGES - FULL TIME HOURS</v>
          </cell>
        </row>
        <row r="3092">
          <cell r="A3092">
            <v>9680700</v>
          </cell>
          <cell r="B3092">
            <v>321200</v>
          </cell>
          <cell r="C3092" t="str">
            <v>SALARIES AND WAGES - FULL TIME HOURS</v>
          </cell>
        </row>
        <row r="3093">
          <cell r="A3093">
            <v>9680701</v>
          </cell>
          <cell r="B3093">
            <v>321200</v>
          </cell>
          <cell r="C3093" t="str">
            <v>SALARIES AND WAGES - FULL TIME HOURS</v>
          </cell>
        </row>
        <row r="3094">
          <cell r="A3094">
            <v>9680702</v>
          </cell>
          <cell r="B3094">
            <v>321200</v>
          </cell>
          <cell r="C3094" t="str">
            <v>SALARIES AND WAGES - FULL TIME HOURS</v>
          </cell>
        </row>
        <row r="3095">
          <cell r="A3095">
            <v>9680705</v>
          </cell>
          <cell r="B3095">
            <v>321200</v>
          </cell>
          <cell r="C3095" t="str">
            <v>SALARIES AND WAGES - FULL TIME HOURS</v>
          </cell>
        </row>
        <row r="3096">
          <cell r="A3096">
            <v>9680707</v>
          </cell>
          <cell r="B3096">
            <v>321200</v>
          </cell>
          <cell r="C3096" t="str">
            <v>SALARIES AND WAGES - FULL TIME HOURS</v>
          </cell>
        </row>
        <row r="3097">
          <cell r="A3097">
            <v>9680710</v>
          </cell>
          <cell r="B3097">
            <v>321200</v>
          </cell>
          <cell r="C3097" t="str">
            <v>SALARIES AND WAGES - FULL TIME HOURS</v>
          </cell>
        </row>
        <row r="3098">
          <cell r="A3098">
            <v>9680712</v>
          </cell>
          <cell r="B3098">
            <v>321200</v>
          </cell>
          <cell r="C3098" t="str">
            <v>SALARIES AND WAGES - FULL TIME HOURS</v>
          </cell>
        </row>
        <row r="3099">
          <cell r="A3099">
            <v>9680714</v>
          </cell>
          <cell r="B3099">
            <v>321200</v>
          </cell>
          <cell r="C3099" t="str">
            <v>SALARIES AND WAGES - FULL TIME HOURS</v>
          </cell>
        </row>
        <row r="3100">
          <cell r="A3100">
            <v>9680734</v>
          </cell>
          <cell r="B3100">
            <v>321200</v>
          </cell>
          <cell r="C3100" t="str">
            <v>SALARIES AND WAGES - FULL TIME HOURS</v>
          </cell>
        </row>
        <row r="3101">
          <cell r="A3101">
            <v>9680748</v>
          </cell>
          <cell r="B3101">
            <v>321200</v>
          </cell>
          <cell r="C3101" t="str">
            <v>SALARIES AND WAGES - FULL TIME HOURS</v>
          </cell>
        </row>
        <row r="3102">
          <cell r="A3102">
            <v>9680749</v>
          </cell>
          <cell r="B3102">
            <v>321200</v>
          </cell>
          <cell r="C3102" t="str">
            <v>SALARIES AND WAGES - FULL TIME HOURS</v>
          </cell>
        </row>
        <row r="3103">
          <cell r="A3103">
            <v>9680894</v>
          </cell>
          <cell r="B3103">
            <v>321200</v>
          </cell>
          <cell r="C3103" t="str">
            <v>SALARIES AND WAGES - FULL TIME HOURS</v>
          </cell>
        </row>
        <row r="3104">
          <cell r="A3104">
            <v>9680999</v>
          </cell>
          <cell r="B3104">
            <v>321200</v>
          </cell>
          <cell r="C3104" t="str">
            <v>SALARIES AND WAGES - FULL TIME HOURS</v>
          </cell>
        </row>
        <row r="3105">
          <cell r="A3105">
            <v>9681700</v>
          </cell>
          <cell r="B3105">
            <v>321200</v>
          </cell>
          <cell r="C3105" t="str">
            <v>SALARIES AND WAGES - FULL TIME HOURS</v>
          </cell>
        </row>
        <row r="3106">
          <cell r="A3106">
            <v>9681701</v>
          </cell>
          <cell r="B3106">
            <v>321200</v>
          </cell>
          <cell r="C3106" t="str">
            <v>SALARIES AND WAGES - FULL TIME HOURS</v>
          </cell>
        </row>
        <row r="3107">
          <cell r="A3107">
            <v>9681702</v>
          </cell>
          <cell r="B3107">
            <v>321200</v>
          </cell>
          <cell r="C3107" t="str">
            <v>SALARIES AND WAGES - FULL TIME HOURS</v>
          </cell>
        </row>
        <row r="3108">
          <cell r="A3108">
            <v>9681705</v>
          </cell>
          <cell r="B3108">
            <v>321200</v>
          </cell>
          <cell r="C3108" t="str">
            <v>SALARIES AND WAGES - FULL TIME HOURS</v>
          </cell>
        </row>
        <row r="3109">
          <cell r="A3109">
            <v>9681706</v>
          </cell>
          <cell r="B3109">
            <v>321200</v>
          </cell>
          <cell r="C3109" t="str">
            <v>SALARIES AND WAGES - FULL TIME HOURS</v>
          </cell>
        </row>
        <row r="3110">
          <cell r="A3110">
            <v>9681707</v>
          </cell>
          <cell r="B3110">
            <v>321200</v>
          </cell>
          <cell r="C3110" t="str">
            <v>SALARIES AND WAGES - FULL TIME HOURS</v>
          </cell>
        </row>
        <row r="3111">
          <cell r="A3111">
            <v>9681710</v>
          </cell>
          <cell r="B3111">
            <v>321200</v>
          </cell>
          <cell r="C3111" t="str">
            <v>SALARIES AND WAGES - FULL TIME HOURS</v>
          </cell>
        </row>
        <row r="3112">
          <cell r="A3112">
            <v>9681712</v>
          </cell>
          <cell r="B3112">
            <v>321200</v>
          </cell>
          <cell r="C3112" t="str">
            <v>SALARIES AND WAGES - FULL TIME HOURS</v>
          </cell>
        </row>
        <row r="3113">
          <cell r="A3113">
            <v>9681727</v>
          </cell>
          <cell r="B3113">
            <v>321200</v>
          </cell>
          <cell r="C3113" t="str">
            <v>SALARIES AND WAGES - FULL TIME HOURS</v>
          </cell>
        </row>
        <row r="3114">
          <cell r="A3114">
            <v>9681734</v>
          </cell>
          <cell r="B3114">
            <v>321200</v>
          </cell>
          <cell r="C3114" t="str">
            <v>SALARIES AND WAGES - FULL TIME HOURS</v>
          </cell>
        </row>
        <row r="3115">
          <cell r="A3115">
            <v>9681748</v>
          </cell>
          <cell r="B3115">
            <v>321200</v>
          </cell>
          <cell r="C3115" t="str">
            <v>SALARIES AND WAGES - FULL TIME HOURS</v>
          </cell>
        </row>
        <row r="3116">
          <cell r="A3116">
            <v>9681749</v>
          </cell>
          <cell r="B3116">
            <v>321200</v>
          </cell>
          <cell r="C3116" t="str">
            <v>SALARIES AND WAGES - FULL TIME HOURS</v>
          </cell>
        </row>
        <row r="3117">
          <cell r="A3117">
            <v>9681894</v>
          </cell>
          <cell r="B3117">
            <v>321200</v>
          </cell>
          <cell r="C3117" t="str">
            <v>SALARIES AND WAGES - FULL TIME HOURS</v>
          </cell>
        </row>
        <row r="3118">
          <cell r="A3118">
            <v>9681999</v>
          </cell>
          <cell r="B3118">
            <v>321200</v>
          </cell>
          <cell r="C3118" t="str">
            <v>SALARIES AND WAGES - FULL TIME HOURS</v>
          </cell>
        </row>
        <row r="3119">
          <cell r="A3119">
            <v>9682715</v>
          </cell>
          <cell r="B3119">
            <v>321200</v>
          </cell>
          <cell r="C3119" t="str">
            <v>SALARIES AND WAGES - FULL TIME HOURS</v>
          </cell>
        </row>
        <row r="3120">
          <cell r="A3120">
            <v>9682722</v>
          </cell>
          <cell r="B3120">
            <v>321200</v>
          </cell>
          <cell r="C3120" t="str">
            <v>SALARIES AND WAGES - FULL TIME HOURS</v>
          </cell>
        </row>
        <row r="3121">
          <cell r="A3121">
            <v>9682999</v>
          </cell>
          <cell r="B3121">
            <v>321200</v>
          </cell>
          <cell r="C3121" t="str">
            <v>SALARIES AND WAGES - FULL TIME HOURS</v>
          </cell>
        </row>
        <row r="3122">
          <cell r="A3122">
            <v>9683999</v>
          </cell>
          <cell r="B3122">
            <v>321200</v>
          </cell>
          <cell r="C3122" t="str">
            <v>SALARIES AND WAGES - FULL TIME HOURS</v>
          </cell>
        </row>
        <row r="3123">
          <cell r="A3123">
            <v>9684999</v>
          </cell>
          <cell r="B3123">
            <v>321200</v>
          </cell>
          <cell r="C3123" t="str">
            <v>SALARIES AND WAGES - FULL TIME HOURS</v>
          </cell>
        </row>
        <row r="3124">
          <cell r="A3124">
            <v>9685999</v>
          </cell>
          <cell r="B3124">
            <v>321200</v>
          </cell>
          <cell r="C3124" t="str">
            <v>SALARIES AND WAGES - FULL TIME HOURS</v>
          </cell>
        </row>
        <row r="3125">
          <cell r="A3125">
            <v>9689692</v>
          </cell>
          <cell r="B3125">
            <v>321200</v>
          </cell>
          <cell r="C3125" t="str">
            <v>SALARIES AND WAGES - FULL TIME HOURS</v>
          </cell>
        </row>
        <row r="3126">
          <cell r="A3126">
            <v>9689747</v>
          </cell>
          <cell r="B3126">
            <v>321200</v>
          </cell>
          <cell r="C3126" t="str">
            <v>SALARIES AND WAGES - FULL TIME HOURS</v>
          </cell>
        </row>
        <row r="3127">
          <cell r="A3127">
            <v>9689883</v>
          </cell>
          <cell r="B3127">
            <v>321200</v>
          </cell>
          <cell r="C3127" t="str">
            <v>SALARIES AND WAGES - FULL TIME HOURS</v>
          </cell>
        </row>
        <row r="3128">
          <cell r="A3128">
            <v>9689890</v>
          </cell>
          <cell r="B3128">
            <v>321200</v>
          </cell>
          <cell r="C3128" t="str">
            <v>SALARIES AND WAGES - FULL TIME HOURS</v>
          </cell>
        </row>
        <row r="3129">
          <cell r="A3129">
            <v>9689906</v>
          </cell>
          <cell r="B3129">
            <v>321200</v>
          </cell>
          <cell r="C3129" t="str">
            <v>SALARIES AND WAGES - FULL TIME HOURS</v>
          </cell>
        </row>
        <row r="3130">
          <cell r="A3130">
            <v>9689925</v>
          </cell>
          <cell r="B3130">
            <v>321200</v>
          </cell>
          <cell r="C3130" t="str">
            <v>SALARIES AND WAGES - FULL TIME HOURS</v>
          </cell>
        </row>
        <row r="3131">
          <cell r="A3131">
            <v>9689990</v>
          </cell>
          <cell r="B3131">
            <v>321200</v>
          </cell>
          <cell r="C3131" t="str">
            <v>SALARIES AND WAGES - FULL TIME HOURS</v>
          </cell>
        </row>
        <row r="3132">
          <cell r="A3132">
            <v>9689991</v>
          </cell>
          <cell r="B3132">
            <v>321200</v>
          </cell>
          <cell r="C3132" t="str">
            <v>SALARIES AND WAGES - FULL TIME HOURS</v>
          </cell>
        </row>
        <row r="3133">
          <cell r="A3133">
            <v>9689992</v>
          </cell>
          <cell r="B3133">
            <v>321200</v>
          </cell>
          <cell r="C3133" t="str">
            <v>SALARIES AND WAGES - FULL TIME HOURS</v>
          </cell>
        </row>
        <row r="3134">
          <cell r="A3134">
            <v>9689993</v>
          </cell>
          <cell r="B3134">
            <v>321200</v>
          </cell>
          <cell r="C3134" t="str">
            <v>SALARIES AND WAGES - FULL TIME HOURS</v>
          </cell>
        </row>
        <row r="3135">
          <cell r="A3135">
            <v>9689994</v>
          </cell>
          <cell r="B3135">
            <v>321200</v>
          </cell>
          <cell r="C3135" t="str">
            <v>SALARIES AND WAGES - FULL TIME HOURS</v>
          </cell>
        </row>
        <row r="3136">
          <cell r="A3136">
            <v>9689999</v>
          </cell>
          <cell r="B3136">
            <v>321200</v>
          </cell>
          <cell r="C3136" t="str">
            <v>SALARIES AND WAGES - FULL TIME HOURS</v>
          </cell>
        </row>
        <row r="3137">
          <cell r="A3137">
            <v>9969681</v>
          </cell>
          <cell r="B3137">
            <v>321200</v>
          </cell>
          <cell r="C3137" t="str">
            <v>SALARIES AND WAGES - FULL TIME HOURS</v>
          </cell>
        </row>
        <row r="3138">
          <cell r="A3138">
            <v>9969901</v>
          </cell>
          <cell r="B3138">
            <v>321200</v>
          </cell>
          <cell r="C3138" t="str">
            <v>SALARIES AND WAGES - FULL TIME HOURS</v>
          </cell>
        </row>
        <row r="3139">
          <cell r="A3139" t="str">
            <v>ZONE-0105-POST</v>
          </cell>
          <cell r="B3139">
            <v>321200</v>
          </cell>
          <cell r="C3139" t="str">
            <v>SALARIES AND WAGES - FULL TIME HOURS</v>
          </cell>
        </row>
        <row r="3140">
          <cell r="A3140" t="str">
            <v>ZONE-0112-POST</v>
          </cell>
          <cell r="B3140">
            <v>321200</v>
          </cell>
          <cell r="C3140" t="str">
            <v>SALARIES AND WAGES - FULL TIME HOURS</v>
          </cell>
        </row>
        <row r="3141">
          <cell r="A3141">
            <v>9080700</v>
          </cell>
          <cell r="B3141">
            <v>321200</v>
          </cell>
          <cell r="C3141" t="str">
            <v>SALARIES AND WAGES - PART TIME HOURS</v>
          </cell>
        </row>
        <row r="3142">
          <cell r="A3142">
            <v>9080701</v>
          </cell>
          <cell r="B3142">
            <v>321200</v>
          </cell>
          <cell r="C3142" t="str">
            <v>SALARIES AND WAGES - PART TIME HOURS</v>
          </cell>
        </row>
        <row r="3143">
          <cell r="A3143">
            <v>9080702</v>
          </cell>
          <cell r="B3143">
            <v>321200</v>
          </cell>
          <cell r="C3143" t="str">
            <v>SALARIES AND WAGES - PART TIME HOURS</v>
          </cell>
        </row>
        <row r="3144">
          <cell r="A3144">
            <v>9080705</v>
          </cell>
          <cell r="B3144">
            <v>321200</v>
          </cell>
          <cell r="C3144" t="str">
            <v>SALARIES AND WAGES - PART TIME HOURS</v>
          </cell>
        </row>
        <row r="3145">
          <cell r="A3145">
            <v>9080707</v>
          </cell>
          <cell r="B3145">
            <v>321200</v>
          </cell>
          <cell r="C3145" t="str">
            <v>SALARIES AND WAGES - PART TIME HOURS</v>
          </cell>
        </row>
        <row r="3146">
          <cell r="A3146">
            <v>9080710</v>
          </cell>
          <cell r="B3146">
            <v>321200</v>
          </cell>
          <cell r="C3146" t="str">
            <v>SALARIES AND WAGES - PART TIME HOURS</v>
          </cell>
        </row>
        <row r="3147">
          <cell r="A3147">
            <v>9080712</v>
          </cell>
          <cell r="B3147">
            <v>321200</v>
          </cell>
          <cell r="C3147" t="str">
            <v>SALARIES AND WAGES - PART TIME HOURS</v>
          </cell>
        </row>
        <row r="3148">
          <cell r="A3148">
            <v>9080999</v>
          </cell>
          <cell r="B3148">
            <v>321200</v>
          </cell>
          <cell r="C3148" t="str">
            <v>SALARIES AND WAGES - PART TIME HOURS</v>
          </cell>
        </row>
        <row r="3149">
          <cell r="A3149">
            <v>9110700</v>
          </cell>
          <cell r="B3149">
            <v>321200</v>
          </cell>
          <cell r="C3149" t="str">
            <v>SALARIES AND WAGES - PART TIME HOURS</v>
          </cell>
        </row>
        <row r="3150">
          <cell r="A3150">
            <v>9110702</v>
          </cell>
          <cell r="B3150">
            <v>321200</v>
          </cell>
          <cell r="C3150" t="str">
            <v>SALARIES AND WAGES - PART TIME HOURS</v>
          </cell>
        </row>
        <row r="3151">
          <cell r="A3151">
            <v>9110705</v>
          </cell>
          <cell r="B3151">
            <v>321200</v>
          </cell>
          <cell r="C3151" t="str">
            <v>SALARIES AND WAGES - PART TIME HOURS</v>
          </cell>
        </row>
        <row r="3152">
          <cell r="A3152">
            <v>9110707</v>
          </cell>
          <cell r="B3152">
            <v>321200</v>
          </cell>
          <cell r="C3152" t="str">
            <v>SALARIES AND WAGES - PART TIME HOURS</v>
          </cell>
        </row>
        <row r="3153">
          <cell r="A3153">
            <v>9110712</v>
          </cell>
          <cell r="B3153">
            <v>321200</v>
          </cell>
          <cell r="C3153" t="str">
            <v>SALARIES AND WAGES - PART TIME HOURS</v>
          </cell>
        </row>
        <row r="3154">
          <cell r="A3154">
            <v>9110999</v>
          </cell>
          <cell r="B3154">
            <v>321200</v>
          </cell>
          <cell r="C3154" t="str">
            <v>SALARIES AND WAGES - PART TIME HOURS</v>
          </cell>
        </row>
        <row r="3155">
          <cell r="A3155">
            <v>9681700</v>
          </cell>
          <cell r="B3155">
            <v>321200</v>
          </cell>
          <cell r="C3155" t="str">
            <v>SALARIES AND WAGES - PART TIME HOURS</v>
          </cell>
        </row>
        <row r="3156">
          <cell r="A3156">
            <v>9681701</v>
          </cell>
          <cell r="B3156">
            <v>321200</v>
          </cell>
          <cell r="C3156" t="str">
            <v>SALARIES AND WAGES - PART TIME HOURS</v>
          </cell>
        </row>
        <row r="3157">
          <cell r="A3157">
            <v>9681702</v>
          </cell>
          <cell r="B3157">
            <v>321200</v>
          </cell>
          <cell r="C3157" t="str">
            <v>SALARIES AND WAGES - PART TIME HOURS</v>
          </cell>
        </row>
        <row r="3158">
          <cell r="A3158">
            <v>9681705</v>
          </cell>
          <cell r="B3158">
            <v>321200</v>
          </cell>
          <cell r="C3158" t="str">
            <v>SALARIES AND WAGES - PART TIME HOURS</v>
          </cell>
        </row>
        <row r="3159">
          <cell r="A3159">
            <v>9681706</v>
          </cell>
          <cell r="B3159">
            <v>321200</v>
          </cell>
          <cell r="C3159" t="str">
            <v>SALARIES AND WAGES - PART TIME HOURS</v>
          </cell>
        </row>
        <row r="3160">
          <cell r="A3160">
            <v>9681707</v>
          </cell>
          <cell r="B3160">
            <v>321200</v>
          </cell>
          <cell r="C3160" t="str">
            <v>SALARIES AND WAGES - PART TIME HOURS</v>
          </cell>
        </row>
        <row r="3161">
          <cell r="A3161">
            <v>9681712</v>
          </cell>
          <cell r="B3161">
            <v>321200</v>
          </cell>
          <cell r="C3161" t="str">
            <v>SALARIES AND WAGES - PART TIME HOURS</v>
          </cell>
        </row>
        <row r="3162">
          <cell r="A3162">
            <v>9681727</v>
          </cell>
          <cell r="B3162">
            <v>321200</v>
          </cell>
          <cell r="C3162" t="str">
            <v>SALARIES AND WAGES - PART TIME HOURS</v>
          </cell>
        </row>
        <row r="3163">
          <cell r="A3163">
            <v>9681749</v>
          </cell>
          <cell r="B3163">
            <v>321200</v>
          </cell>
          <cell r="C3163" t="str">
            <v>SALARIES AND WAGES - PART TIME HOURS</v>
          </cell>
        </row>
        <row r="3164">
          <cell r="A3164">
            <v>9681999</v>
          </cell>
          <cell r="B3164">
            <v>321200</v>
          </cell>
          <cell r="C3164" t="str">
            <v>SALARIES AND WAGES - PART TIME HOURS</v>
          </cell>
        </row>
        <row r="3165">
          <cell r="A3165">
            <v>9682715</v>
          </cell>
          <cell r="B3165">
            <v>321200</v>
          </cell>
          <cell r="C3165" t="str">
            <v>SALARIES AND WAGES - PART TIME HOURS</v>
          </cell>
        </row>
        <row r="3166">
          <cell r="A3166">
            <v>9682722</v>
          </cell>
          <cell r="B3166">
            <v>321200</v>
          </cell>
          <cell r="C3166" t="str">
            <v>SALARIES AND WAGES - PART TIME HOURS</v>
          </cell>
        </row>
        <row r="3167">
          <cell r="A3167">
            <v>9682999</v>
          </cell>
          <cell r="B3167">
            <v>321200</v>
          </cell>
          <cell r="C3167" t="str">
            <v>SALARIES AND WAGES - PART TIME HOURS</v>
          </cell>
        </row>
        <row r="3168">
          <cell r="A3168">
            <v>9685999</v>
          </cell>
          <cell r="B3168">
            <v>321200</v>
          </cell>
          <cell r="C3168" t="str">
            <v>SALARIES AND WAGES - PART TIME HOURS</v>
          </cell>
        </row>
        <row r="3169">
          <cell r="A3169">
            <v>9689692</v>
          </cell>
          <cell r="B3169">
            <v>321200</v>
          </cell>
          <cell r="C3169" t="str">
            <v>SALARIES AND WAGES - PART TIME HOURS</v>
          </cell>
        </row>
        <row r="3170">
          <cell r="A3170">
            <v>9689747</v>
          </cell>
          <cell r="B3170">
            <v>321200</v>
          </cell>
          <cell r="C3170" t="str">
            <v>SALARIES AND WAGES - PART TIME HOURS</v>
          </cell>
        </row>
        <row r="3171">
          <cell r="A3171">
            <v>9689890</v>
          </cell>
          <cell r="B3171">
            <v>321200</v>
          </cell>
          <cell r="C3171" t="str">
            <v>SALARIES AND WAGES - PART TIME HOURS</v>
          </cell>
        </row>
        <row r="3172">
          <cell r="A3172">
            <v>9689925</v>
          </cell>
          <cell r="B3172">
            <v>321200</v>
          </cell>
          <cell r="C3172" t="str">
            <v>SALARIES AND WAGES - PART TIME HOURS</v>
          </cell>
        </row>
        <row r="3173">
          <cell r="A3173">
            <v>9689990</v>
          </cell>
          <cell r="B3173">
            <v>321200</v>
          </cell>
          <cell r="C3173" t="str">
            <v>SALARIES AND WAGES - PART TIME HOURS</v>
          </cell>
        </row>
        <row r="3174">
          <cell r="A3174">
            <v>9689991</v>
          </cell>
          <cell r="B3174">
            <v>321200</v>
          </cell>
          <cell r="C3174" t="str">
            <v>SALARIES AND WAGES - PART TIME HOURS</v>
          </cell>
        </row>
        <row r="3175">
          <cell r="A3175">
            <v>9689999</v>
          </cell>
          <cell r="B3175">
            <v>321200</v>
          </cell>
          <cell r="C3175" t="str">
            <v>SALARIES AND WAGES - PART TIME HOURS</v>
          </cell>
        </row>
        <row r="3176">
          <cell r="A3176">
            <v>9080701</v>
          </cell>
          <cell r="B3176">
            <v>321200</v>
          </cell>
          <cell r="C3176" t="str">
            <v>SALARIES AND WAGES - PROJECT HOURS</v>
          </cell>
        </row>
        <row r="3177">
          <cell r="A3177">
            <v>9080702</v>
          </cell>
          <cell r="B3177">
            <v>321200</v>
          </cell>
          <cell r="C3177" t="str">
            <v>SALARIES AND WAGES - PROJECT HOURS</v>
          </cell>
        </row>
        <row r="3178">
          <cell r="A3178">
            <v>9080705</v>
          </cell>
          <cell r="B3178">
            <v>321200</v>
          </cell>
          <cell r="C3178" t="str">
            <v>SALARIES AND WAGES - PROJECT HOURS</v>
          </cell>
        </row>
        <row r="3179">
          <cell r="A3179">
            <v>9080707</v>
          </cell>
          <cell r="B3179">
            <v>321200</v>
          </cell>
          <cell r="C3179" t="str">
            <v>SALARIES AND WAGES - PROJECT HOURS</v>
          </cell>
        </row>
        <row r="3180">
          <cell r="A3180">
            <v>9080710</v>
          </cell>
          <cell r="B3180">
            <v>321200</v>
          </cell>
          <cell r="C3180" t="str">
            <v>SALARIES AND WAGES - PROJECT HOURS</v>
          </cell>
        </row>
        <row r="3181">
          <cell r="A3181">
            <v>9080712</v>
          </cell>
          <cell r="B3181">
            <v>321200</v>
          </cell>
          <cell r="C3181" t="str">
            <v>SALARIES AND WAGES - PROJECT HOURS</v>
          </cell>
        </row>
        <row r="3182">
          <cell r="A3182">
            <v>9080999</v>
          </cell>
          <cell r="B3182">
            <v>321200</v>
          </cell>
          <cell r="C3182" t="str">
            <v>SALARIES AND WAGES - PROJECT HOURS</v>
          </cell>
        </row>
        <row r="3183">
          <cell r="A3183">
            <v>9110702</v>
          </cell>
          <cell r="B3183">
            <v>321200</v>
          </cell>
          <cell r="C3183" t="str">
            <v>SALARIES AND WAGES - PROJECT HOURS</v>
          </cell>
        </row>
        <row r="3184">
          <cell r="A3184">
            <v>9110705</v>
          </cell>
          <cell r="B3184">
            <v>321200</v>
          </cell>
          <cell r="C3184" t="str">
            <v>SALARIES AND WAGES - PROJECT HOURS</v>
          </cell>
        </row>
        <row r="3185">
          <cell r="A3185">
            <v>9110707</v>
          </cell>
          <cell r="B3185">
            <v>321200</v>
          </cell>
          <cell r="C3185" t="str">
            <v>SALARIES AND WAGES - PROJECT HOURS</v>
          </cell>
        </row>
        <row r="3186">
          <cell r="A3186">
            <v>9110712</v>
          </cell>
          <cell r="B3186">
            <v>321200</v>
          </cell>
          <cell r="C3186" t="str">
            <v>SALARIES AND WAGES - PROJECT HOURS</v>
          </cell>
        </row>
        <row r="3187">
          <cell r="A3187">
            <v>9110999</v>
          </cell>
          <cell r="B3187">
            <v>321200</v>
          </cell>
          <cell r="C3187" t="str">
            <v>SALARIES AND WAGES - PROJECT HOURS</v>
          </cell>
        </row>
        <row r="3188">
          <cell r="A3188">
            <v>9683999</v>
          </cell>
          <cell r="B3188">
            <v>321200</v>
          </cell>
          <cell r="C3188" t="str">
            <v>SALARIES AND WAGES - PROJECT HOURS</v>
          </cell>
        </row>
        <row r="3189">
          <cell r="A3189">
            <v>9684999</v>
          </cell>
          <cell r="B3189">
            <v>321200</v>
          </cell>
          <cell r="C3189" t="str">
            <v>SALARIES AND WAGES - PROJECT HOURS</v>
          </cell>
        </row>
        <row r="3190">
          <cell r="A3190">
            <v>9685999</v>
          </cell>
          <cell r="B3190">
            <v>321200</v>
          </cell>
          <cell r="C3190" t="str">
            <v>SALARIES AND WAGES - PROJECT HOURS</v>
          </cell>
        </row>
        <row r="3191">
          <cell r="A3191">
            <v>9689999</v>
          </cell>
          <cell r="B3191">
            <v>321200</v>
          </cell>
          <cell r="C3191" t="str">
            <v>SALARIES AND WAGES - PROJECT HOURS</v>
          </cell>
        </row>
        <row r="3192">
          <cell r="A3192">
            <v>9080700</v>
          </cell>
          <cell r="B3192">
            <v>321200</v>
          </cell>
          <cell r="C3192" t="str">
            <v>SALARIES AND WAGES - OVERTIME HOURS</v>
          </cell>
        </row>
        <row r="3193">
          <cell r="A3193">
            <v>9080701</v>
          </cell>
          <cell r="B3193">
            <v>321200</v>
          </cell>
          <cell r="C3193" t="str">
            <v>SALARIES AND WAGES - OVERTIME HOURS</v>
          </cell>
        </row>
        <row r="3194">
          <cell r="A3194">
            <v>9080702</v>
          </cell>
          <cell r="B3194">
            <v>321200</v>
          </cell>
          <cell r="C3194" t="str">
            <v>SALARIES AND WAGES - OVERTIME HOURS</v>
          </cell>
        </row>
        <row r="3195">
          <cell r="A3195">
            <v>9080705</v>
          </cell>
          <cell r="B3195">
            <v>321200</v>
          </cell>
          <cell r="C3195" t="str">
            <v>SALARIES AND WAGES - OVERTIME HOURS</v>
          </cell>
        </row>
        <row r="3196">
          <cell r="A3196">
            <v>9080707</v>
          </cell>
          <cell r="B3196">
            <v>321200</v>
          </cell>
          <cell r="C3196" t="str">
            <v>SALARIES AND WAGES - OVERTIME HOURS</v>
          </cell>
        </row>
        <row r="3197">
          <cell r="A3197">
            <v>9080710</v>
          </cell>
          <cell r="B3197">
            <v>321200</v>
          </cell>
          <cell r="C3197" t="str">
            <v>SALARIES AND WAGES - OVERTIME HOURS</v>
          </cell>
        </row>
        <row r="3198">
          <cell r="A3198">
            <v>9080712</v>
          </cell>
          <cell r="B3198">
            <v>321200</v>
          </cell>
          <cell r="C3198" t="str">
            <v>SALARIES AND WAGES - OVERTIME HOURS</v>
          </cell>
        </row>
        <row r="3199">
          <cell r="A3199">
            <v>9080999</v>
          </cell>
          <cell r="B3199">
            <v>321200</v>
          </cell>
          <cell r="C3199" t="str">
            <v>SALARIES AND WAGES - OVERTIME HOURS</v>
          </cell>
        </row>
        <row r="3200">
          <cell r="A3200">
            <v>9110700</v>
          </cell>
          <cell r="B3200">
            <v>321200</v>
          </cell>
          <cell r="C3200" t="str">
            <v>SALARIES AND WAGES - OVERTIME HOURS</v>
          </cell>
        </row>
        <row r="3201">
          <cell r="A3201">
            <v>9110702</v>
          </cell>
          <cell r="B3201">
            <v>321200</v>
          </cell>
          <cell r="C3201" t="str">
            <v>SALARIES AND WAGES - OVERTIME HOURS</v>
          </cell>
        </row>
        <row r="3202">
          <cell r="A3202">
            <v>9110705</v>
          </cell>
          <cell r="B3202">
            <v>321200</v>
          </cell>
          <cell r="C3202" t="str">
            <v>SALARIES AND WAGES - OVERTIME HOURS</v>
          </cell>
        </row>
        <row r="3203">
          <cell r="A3203">
            <v>9110707</v>
          </cell>
          <cell r="B3203">
            <v>321200</v>
          </cell>
          <cell r="C3203" t="str">
            <v>SALARIES AND WAGES - OVERTIME HOURS</v>
          </cell>
        </row>
        <row r="3204">
          <cell r="A3204">
            <v>9110712</v>
          </cell>
          <cell r="B3204">
            <v>321200</v>
          </cell>
          <cell r="C3204" t="str">
            <v>SALARIES AND WAGES - OVERTIME HOURS</v>
          </cell>
        </row>
        <row r="3205">
          <cell r="A3205">
            <v>9110999</v>
          </cell>
          <cell r="B3205">
            <v>321200</v>
          </cell>
          <cell r="C3205" t="str">
            <v>SALARIES AND WAGES - OVERTIME HOURS</v>
          </cell>
        </row>
        <row r="3206">
          <cell r="A3206">
            <v>9681700</v>
          </cell>
          <cell r="B3206">
            <v>321200</v>
          </cell>
          <cell r="C3206" t="str">
            <v>SALARIES AND WAGES - OVERTIME HOURS</v>
          </cell>
        </row>
        <row r="3207">
          <cell r="A3207">
            <v>9681701</v>
          </cell>
          <cell r="B3207">
            <v>321200</v>
          </cell>
          <cell r="C3207" t="str">
            <v>SALARIES AND WAGES - OVERTIME HOURS</v>
          </cell>
        </row>
        <row r="3208">
          <cell r="A3208">
            <v>9681702</v>
          </cell>
          <cell r="B3208">
            <v>321200</v>
          </cell>
          <cell r="C3208" t="str">
            <v>SALARIES AND WAGES - OVERTIME HOURS</v>
          </cell>
        </row>
        <row r="3209">
          <cell r="A3209">
            <v>9681705</v>
          </cell>
          <cell r="B3209">
            <v>321200</v>
          </cell>
          <cell r="C3209" t="str">
            <v>SALARIES AND WAGES - OVERTIME HOURS</v>
          </cell>
        </row>
        <row r="3210">
          <cell r="A3210">
            <v>9681706</v>
          </cell>
          <cell r="B3210">
            <v>321200</v>
          </cell>
          <cell r="C3210" t="str">
            <v>SALARIES AND WAGES - OVERTIME HOURS</v>
          </cell>
        </row>
        <row r="3211">
          <cell r="A3211">
            <v>9681707</v>
          </cell>
          <cell r="B3211">
            <v>321200</v>
          </cell>
          <cell r="C3211" t="str">
            <v>SALARIES AND WAGES - OVERTIME HOURS</v>
          </cell>
        </row>
        <row r="3212">
          <cell r="A3212">
            <v>9681712</v>
          </cell>
          <cell r="B3212">
            <v>321200</v>
          </cell>
          <cell r="C3212" t="str">
            <v>SALARIES AND WAGES - OVERTIME HOURS</v>
          </cell>
        </row>
        <row r="3213">
          <cell r="A3213">
            <v>9681727</v>
          </cell>
          <cell r="B3213">
            <v>321200</v>
          </cell>
          <cell r="C3213" t="str">
            <v>SALARIES AND WAGES - OVERTIME HOURS</v>
          </cell>
        </row>
        <row r="3214">
          <cell r="A3214">
            <v>9681749</v>
          </cell>
          <cell r="B3214">
            <v>321200</v>
          </cell>
          <cell r="C3214" t="str">
            <v>SALARIES AND WAGES - OVERTIME HOURS</v>
          </cell>
        </row>
        <row r="3215">
          <cell r="A3215">
            <v>9681999</v>
          </cell>
          <cell r="B3215">
            <v>321200</v>
          </cell>
          <cell r="C3215" t="str">
            <v>SALARIES AND WAGES - OVERTIME HOURS</v>
          </cell>
        </row>
        <row r="3216">
          <cell r="A3216">
            <v>9682715</v>
          </cell>
          <cell r="B3216">
            <v>321200</v>
          </cell>
          <cell r="C3216" t="str">
            <v>SALARIES AND WAGES - OVERTIME HOURS</v>
          </cell>
        </row>
        <row r="3217">
          <cell r="A3217">
            <v>9682722</v>
          </cell>
          <cell r="B3217">
            <v>321200</v>
          </cell>
          <cell r="C3217" t="str">
            <v>SALARIES AND WAGES - OVERTIME HOURS</v>
          </cell>
        </row>
        <row r="3218">
          <cell r="A3218">
            <v>9682999</v>
          </cell>
          <cell r="B3218">
            <v>321200</v>
          </cell>
          <cell r="C3218" t="str">
            <v>SALARIES AND WAGES - OVERTIME HOURS</v>
          </cell>
        </row>
        <row r="3219">
          <cell r="A3219">
            <v>9683999</v>
          </cell>
          <cell r="B3219">
            <v>321200</v>
          </cell>
          <cell r="C3219" t="str">
            <v>SALARIES AND WAGES - OVERTIME HOURS</v>
          </cell>
        </row>
        <row r="3220">
          <cell r="A3220">
            <v>9684999</v>
          </cell>
          <cell r="B3220">
            <v>321200</v>
          </cell>
          <cell r="C3220" t="str">
            <v>SALARIES AND WAGES - OVERTIME HOURS</v>
          </cell>
        </row>
        <row r="3221">
          <cell r="A3221">
            <v>9685999</v>
          </cell>
          <cell r="B3221">
            <v>321200</v>
          </cell>
          <cell r="C3221" t="str">
            <v>SALARIES AND WAGES - OVERTIME HOURS</v>
          </cell>
        </row>
        <row r="3222">
          <cell r="A3222">
            <v>9689692</v>
          </cell>
          <cell r="B3222">
            <v>321200</v>
          </cell>
          <cell r="C3222" t="str">
            <v>SALARIES AND WAGES - OVERTIME HOURS</v>
          </cell>
        </row>
        <row r="3223">
          <cell r="A3223">
            <v>9689747</v>
          </cell>
          <cell r="B3223">
            <v>321200</v>
          </cell>
          <cell r="C3223" t="str">
            <v>SALARIES AND WAGES - OVERTIME HOURS</v>
          </cell>
        </row>
        <row r="3224">
          <cell r="A3224">
            <v>9689883</v>
          </cell>
          <cell r="B3224">
            <v>321200</v>
          </cell>
          <cell r="C3224" t="str">
            <v>SALARIES AND WAGES - OVERTIME HOURS</v>
          </cell>
        </row>
        <row r="3225">
          <cell r="A3225">
            <v>9689890</v>
          </cell>
          <cell r="B3225">
            <v>321200</v>
          </cell>
          <cell r="C3225" t="str">
            <v>SALARIES AND WAGES - OVERTIME HOURS</v>
          </cell>
        </row>
        <row r="3226">
          <cell r="A3226">
            <v>9689906</v>
          </cell>
          <cell r="B3226">
            <v>321200</v>
          </cell>
          <cell r="C3226" t="str">
            <v>SALARIES AND WAGES - OVERTIME HOURS</v>
          </cell>
        </row>
        <row r="3227">
          <cell r="A3227">
            <v>9689925</v>
          </cell>
          <cell r="B3227">
            <v>321200</v>
          </cell>
          <cell r="C3227" t="str">
            <v>SALARIES AND WAGES - OVERTIME HOURS</v>
          </cell>
        </row>
        <row r="3228">
          <cell r="A3228">
            <v>9689990</v>
          </cell>
          <cell r="B3228">
            <v>321200</v>
          </cell>
          <cell r="C3228" t="str">
            <v>SALARIES AND WAGES - OVERTIME HOURS</v>
          </cell>
        </row>
        <row r="3229">
          <cell r="A3229">
            <v>9689991</v>
          </cell>
          <cell r="B3229">
            <v>321200</v>
          </cell>
          <cell r="C3229" t="str">
            <v>SALARIES AND WAGES - OVERTIME HOURS</v>
          </cell>
        </row>
        <row r="3230">
          <cell r="A3230">
            <v>9689992</v>
          </cell>
          <cell r="B3230">
            <v>321200</v>
          </cell>
          <cell r="C3230" t="str">
            <v>SALARIES AND WAGES - OVERTIME HOURS</v>
          </cell>
        </row>
        <row r="3231">
          <cell r="A3231">
            <v>9689993</v>
          </cell>
          <cell r="B3231">
            <v>321200</v>
          </cell>
          <cell r="C3231" t="str">
            <v>SALARIES AND WAGES - OVERTIME HOURS</v>
          </cell>
        </row>
        <row r="3232">
          <cell r="A3232">
            <v>9689999</v>
          </cell>
          <cell r="B3232">
            <v>321200</v>
          </cell>
          <cell r="C3232" t="str">
            <v>SALARIES AND WAGES - OVERTIME HOURS</v>
          </cell>
        </row>
        <row r="3233">
          <cell r="A3233">
            <v>9080700</v>
          </cell>
          <cell r="B3233">
            <v>321207</v>
          </cell>
          <cell r="C3233" t="str">
            <v>CONTRACT SIGNING PAYMENTS</v>
          </cell>
        </row>
        <row r="3234">
          <cell r="A3234">
            <v>9080701</v>
          </cell>
          <cell r="B3234">
            <v>321207</v>
          </cell>
          <cell r="C3234" t="str">
            <v>CONTRACT SIGNING PAYMENTS</v>
          </cell>
        </row>
        <row r="3235">
          <cell r="A3235">
            <v>9080702</v>
          </cell>
          <cell r="B3235">
            <v>321207</v>
          </cell>
          <cell r="C3235" t="str">
            <v>CONTRACT SIGNING PAYMENTS</v>
          </cell>
        </row>
        <row r="3236">
          <cell r="A3236">
            <v>9080705</v>
          </cell>
          <cell r="B3236">
            <v>321207</v>
          </cell>
          <cell r="C3236" t="str">
            <v>CONTRACT SIGNING PAYMENTS</v>
          </cell>
        </row>
        <row r="3237">
          <cell r="A3237">
            <v>9080707</v>
          </cell>
          <cell r="B3237">
            <v>321207</v>
          </cell>
          <cell r="C3237" t="str">
            <v>CONTRACT SIGNING PAYMENTS</v>
          </cell>
        </row>
        <row r="3238">
          <cell r="A3238">
            <v>9080710</v>
          </cell>
          <cell r="B3238">
            <v>321207</v>
          </cell>
          <cell r="C3238" t="str">
            <v>CONTRACT SIGNING PAYMENTS</v>
          </cell>
        </row>
        <row r="3239">
          <cell r="A3239">
            <v>9110700</v>
          </cell>
          <cell r="B3239">
            <v>321207</v>
          </cell>
          <cell r="C3239" t="str">
            <v>CONTRACT SIGNING PAYMENTS</v>
          </cell>
        </row>
        <row r="3240">
          <cell r="A3240">
            <v>9110702</v>
          </cell>
          <cell r="B3240">
            <v>321207</v>
          </cell>
          <cell r="C3240" t="str">
            <v>CONTRACT SIGNING PAYMENTS</v>
          </cell>
        </row>
        <row r="3241">
          <cell r="A3241">
            <v>9110705</v>
          </cell>
          <cell r="B3241">
            <v>321207</v>
          </cell>
          <cell r="C3241" t="str">
            <v>CONTRACT SIGNING PAYMENTS</v>
          </cell>
        </row>
        <row r="3242">
          <cell r="A3242">
            <v>9110707</v>
          </cell>
          <cell r="B3242">
            <v>321207</v>
          </cell>
          <cell r="C3242" t="str">
            <v>CONTRACT SIGNING PAYMENTS</v>
          </cell>
        </row>
        <row r="3243">
          <cell r="A3243">
            <v>9681700</v>
          </cell>
          <cell r="B3243">
            <v>321207</v>
          </cell>
          <cell r="C3243" t="str">
            <v>CONTRACT SIGNING PAYMENTS</v>
          </cell>
        </row>
        <row r="3244">
          <cell r="A3244">
            <v>9681701</v>
          </cell>
          <cell r="B3244">
            <v>321207</v>
          </cell>
          <cell r="C3244" t="str">
            <v>CONTRACT SIGNING PAYMENTS</v>
          </cell>
        </row>
        <row r="3245">
          <cell r="A3245">
            <v>9681702</v>
          </cell>
          <cell r="B3245">
            <v>321207</v>
          </cell>
          <cell r="C3245" t="str">
            <v>CONTRACT SIGNING PAYMENTS</v>
          </cell>
        </row>
        <row r="3246">
          <cell r="A3246">
            <v>9681705</v>
          </cell>
          <cell r="B3246">
            <v>321207</v>
          </cell>
          <cell r="C3246" t="str">
            <v>CONTRACT SIGNING PAYMENTS</v>
          </cell>
        </row>
        <row r="3247">
          <cell r="A3247">
            <v>9681706</v>
          </cell>
          <cell r="B3247">
            <v>321207</v>
          </cell>
          <cell r="C3247" t="str">
            <v>CONTRACT SIGNING PAYMENTS</v>
          </cell>
        </row>
        <row r="3248">
          <cell r="A3248">
            <v>9681707</v>
          </cell>
          <cell r="B3248">
            <v>321207</v>
          </cell>
          <cell r="C3248" t="str">
            <v>CONTRACT SIGNING PAYMENTS</v>
          </cell>
        </row>
        <row r="3249">
          <cell r="A3249">
            <v>9681712</v>
          </cell>
          <cell r="B3249">
            <v>321207</v>
          </cell>
          <cell r="C3249" t="str">
            <v>CONTRACT SIGNING PAYMENTS</v>
          </cell>
        </row>
        <row r="3250">
          <cell r="A3250">
            <v>9681727</v>
          </cell>
          <cell r="B3250">
            <v>321207</v>
          </cell>
          <cell r="C3250" t="str">
            <v>CONTRACT SIGNING PAYMENTS</v>
          </cell>
        </row>
        <row r="3251">
          <cell r="A3251">
            <v>9681749</v>
          </cell>
          <cell r="B3251">
            <v>321207</v>
          </cell>
          <cell r="C3251" t="str">
            <v>CONTRACT SIGNING PAYMENTS</v>
          </cell>
        </row>
        <row r="3252">
          <cell r="A3252">
            <v>9681999</v>
          </cell>
          <cell r="B3252">
            <v>321207</v>
          </cell>
          <cell r="C3252" t="str">
            <v>CONTRACT SIGNING PAYMENTS</v>
          </cell>
        </row>
        <row r="3253">
          <cell r="A3253">
            <v>9683999</v>
          </cell>
          <cell r="B3253">
            <v>321207</v>
          </cell>
          <cell r="C3253" t="str">
            <v>CONTRACT SIGNING PAYMENTS</v>
          </cell>
        </row>
        <row r="3254">
          <cell r="A3254">
            <v>9684999</v>
          </cell>
          <cell r="B3254">
            <v>321207</v>
          </cell>
          <cell r="C3254" t="str">
            <v>CONTRACT SIGNING PAYMENTS</v>
          </cell>
        </row>
        <row r="3255">
          <cell r="A3255">
            <v>9685999</v>
          </cell>
          <cell r="B3255">
            <v>321207</v>
          </cell>
          <cell r="C3255" t="str">
            <v>CONTRACT SIGNING PAYMENTS</v>
          </cell>
        </row>
        <row r="3256">
          <cell r="A3256">
            <v>9689993</v>
          </cell>
          <cell r="B3256">
            <v>321207</v>
          </cell>
          <cell r="C3256" t="str">
            <v>CONTRACT SIGNING PAYMENTS</v>
          </cell>
        </row>
        <row r="3257">
          <cell r="A3257">
            <v>9080700</v>
          </cell>
          <cell r="B3257">
            <v>321403</v>
          </cell>
          <cell r="C3257" t="str">
            <v>SEVERANCE PAY</v>
          </cell>
        </row>
        <row r="3258">
          <cell r="A3258">
            <v>9080701</v>
          </cell>
          <cell r="B3258">
            <v>321403</v>
          </cell>
          <cell r="C3258" t="str">
            <v>SEVERANCE PAY</v>
          </cell>
        </row>
        <row r="3259">
          <cell r="A3259">
            <v>9080702</v>
          </cell>
          <cell r="B3259">
            <v>321403</v>
          </cell>
          <cell r="C3259" t="str">
            <v>SEVERANCE PAY</v>
          </cell>
        </row>
        <row r="3260">
          <cell r="A3260">
            <v>9080705</v>
          </cell>
          <cell r="B3260">
            <v>321403</v>
          </cell>
          <cell r="C3260" t="str">
            <v>SEVERANCE PAY</v>
          </cell>
        </row>
        <row r="3261">
          <cell r="A3261">
            <v>9080707</v>
          </cell>
          <cell r="B3261">
            <v>321403</v>
          </cell>
          <cell r="C3261" t="str">
            <v>SEVERANCE PAY</v>
          </cell>
        </row>
        <row r="3262">
          <cell r="A3262">
            <v>9080710</v>
          </cell>
          <cell r="B3262">
            <v>321403</v>
          </cell>
          <cell r="C3262" t="str">
            <v>SEVERANCE PAY</v>
          </cell>
        </row>
        <row r="3263">
          <cell r="A3263">
            <v>9090710</v>
          </cell>
          <cell r="B3263">
            <v>321403</v>
          </cell>
          <cell r="C3263" t="str">
            <v>SEVERANCE PAY</v>
          </cell>
        </row>
        <row r="3264">
          <cell r="A3264">
            <v>9090999</v>
          </cell>
          <cell r="B3264">
            <v>321403</v>
          </cell>
          <cell r="C3264" t="str">
            <v>SEVERANCE PAY</v>
          </cell>
        </row>
        <row r="3265">
          <cell r="A3265">
            <v>9100710</v>
          </cell>
          <cell r="B3265">
            <v>321403</v>
          </cell>
          <cell r="C3265" t="str">
            <v>SEVERANCE PAY</v>
          </cell>
        </row>
        <row r="3266">
          <cell r="A3266">
            <v>9100999</v>
          </cell>
          <cell r="B3266">
            <v>321403</v>
          </cell>
          <cell r="C3266" t="str">
            <v>SEVERANCE PAY</v>
          </cell>
        </row>
        <row r="3267">
          <cell r="A3267">
            <v>9110700</v>
          </cell>
          <cell r="B3267">
            <v>321403</v>
          </cell>
          <cell r="C3267" t="str">
            <v>SEVERANCE PAY</v>
          </cell>
        </row>
        <row r="3268">
          <cell r="A3268">
            <v>9110702</v>
          </cell>
          <cell r="B3268">
            <v>321403</v>
          </cell>
          <cell r="C3268" t="str">
            <v>SEVERANCE PAY</v>
          </cell>
        </row>
        <row r="3269">
          <cell r="A3269">
            <v>9110705</v>
          </cell>
          <cell r="B3269">
            <v>321403</v>
          </cell>
          <cell r="C3269" t="str">
            <v>SEVERANCE PAY</v>
          </cell>
        </row>
        <row r="3270">
          <cell r="A3270">
            <v>9110707</v>
          </cell>
          <cell r="B3270">
            <v>321403</v>
          </cell>
          <cell r="C3270" t="str">
            <v>SEVERANCE PAY</v>
          </cell>
        </row>
        <row r="3271">
          <cell r="A3271">
            <v>9680999</v>
          </cell>
          <cell r="B3271">
            <v>321403</v>
          </cell>
          <cell r="C3271" t="str">
            <v>SEVERANCE PAY</v>
          </cell>
        </row>
        <row r="3272">
          <cell r="A3272">
            <v>9681700</v>
          </cell>
          <cell r="B3272">
            <v>321403</v>
          </cell>
          <cell r="C3272" t="str">
            <v>SEVERANCE PAY</v>
          </cell>
        </row>
        <row r="3273">
          <cell r="A3273">
            <v>9681701</v>
          </cell>
          <cell r="B3273">
            <v>321403</v>
          </cell>
          <cell r="C3273" t="str">
            <v>SEVERANCE PAY</v>
          </cell>
        </row>
        <row r="3274">
          <cell r="A3274">
            <v>9681702</v>
          </cell>
          <cell r="B3274">
            <v>321403</v>
          </cell>
          <cell r="C3274" t="str">
            <v>SEVERANCE PAY</v>
          </cell>
        </row>
        <row r="3275">
          <cell r="A3275">
            <v>9681705</v>
          </cell>
          <cell r="B3275">
            <v>321403</v>
          </cell>
          <cell r="C3275" t="str">
            <v>SEVERANCE PAY</v>
          </cell>
        </row>
        <row r="3276">
          <cell r="A3276">
            <v>9681706</v>
          </cell>
          <cell r="B3276">
            <v>321403</v>
          </cell>
          <cell r="C3276" t="str">
            <v>SEVERANCE PAY</v>
          </cell>
        </row>
        <row r="3277">
          <cell r="A3277">
            <v>9681707</v>
          </cell>
          <cell r="B3277">
            <v>321403</v>
          </cell>
          <cell r="C3277" t="str">
            <v>SEVERANCE PAY</v>
          </cell>
        </row>
        <row r="3278">
          <cell r="A3278">
            <v>9681712</v>
          </cell>
          <cell r="B3278">
            <v>321403</v>
          </cell>
          <cell r="C3278" t="str">
            <v>SEVERANCE PAY</v>
          </cell>
        </row>
        <row r="3279">
          <cell r="A3279">
            <v>9681727</v>
          </cell>
          <cell r="B3279">
            <v>321403</v>
          </cell>
          <cell r="C3279" t="str">
            <v>SEVERANCE PAY</v>
          </cell>
        </row>
        <row r="3280">
          <cell r="A3280">
            <v>9681749</v>
          </cell>
          <cell r="B3280">
            <v>321403</v>
          </cell>
          <cell r="C3280" t="str">
            <v>SEVERANCE PAY</v>
          </cell>
        </row>
        <row r="3281">
          <cell r="A3281">
            <v>9681999</v>
          </cell>
          <cell r="B3281">
            <v>321403</v>
          </cell>
          <cell r="C3281" t="str">
            <v>SEVERANCE PAY</v>
          </cell>
        </row>
        <row r="3282">
          <cell r="A3282">
            <v>9080999</v>
          </cell>
          <cell r="B3282">
            <v>321405</v>
          </cell>
          <cell r="C3282" t="str">
            <v>LUMP SUM PAYMENT AT RATIFICATION</v>
          </cell>
        </row>
        <row r="3283">
          <cell r="A3283">
            <v>9110999</v>
          </cell>
          <cell r="B3283">
            <v>321405</v>
          </cell>
          <cell r="C3283" t="str">
            <v>LUMP SUM PAYMENT AT RATIFICATION</v>
          </cell>
        </row>
        <row r="3284">
          <cell r="A3284">
            <v>9689999</v>
          </cell>
          <cell r="B3284">
            <v>321405</v>
          </cell>
          <cell r="C3284" t="str">
            <v>LUMP SUM PAYMENT AT RATIFICATION</v>
          </cell>
        </row>
        <row r="3285">
          <cell r="A3285">
            <v>9080700</v>
          </cell>
          <cell r="B3285">
            <v>321436</v>
          </cell>
          <cell r="C3285" t="str">
            <v>CONTRACT BONUS - PAID</v>
          </cell>
        </row>
        <row r="3286">
          <cell r="A3286">
            <v>9080701</v>
          </cell>
          <cell r="B3286">
            <v>321436</v>
          </cell>
          <cell r="C3286" t="str">
            <v>CONTRACT BONUS - PAID</v>
          </cell>
        </row>
        <row r="3287">
          <cell r="A3287">
            <v>9080702</v>
          </cell>
          <cell r="B3287">
            <v>321436</v>
          </cell>
          <cell r="C3287" t="str">
            <v>CONTRACT BONUS - PAID</v>
          </cell>
        </row>
        <row r="3288">
          <cell r="A3288">
            <v>9080705</v>
          </cell>
          <cell r="B3288">
            <v>321436</v>
          </cell>
          <cell r="C3288" t="str">
            <v>CONTRACT BONUS - PAID</v>
          </cell>
        </row>
        <row r="3289">
          <cell r="A3289">
            <v>9080707</v>
          </cell>
          <cell r="B3289">
            <v>321436</v>
          </cell>
          <cell r="C3289" t="str">
            <v>CONTRACT BONUS - PAID</v>
          </cell>
        </row>
        <row r="3290">
          <cell r="A3290">
            <v>9080710</v>
          </cell>
          <cell r="B3290">
            <v>321436</v>
          </cell>
          <cell r="C3290" t="str">
            <v>CONTRACT BONUS - PAID</v>
          </cell>
        </row>
        <row r="3291">
          <cell r="A3291">
            <v>9110700</v>
          </cell>
          <cell r="B3291">
            <v>321436</v>
          </cell>
          <cell r="C3291" t="str">
            <v>CONTRACT BONUS - PAID</v>
          </cell>
        </row>
        <row r="3292">
          <cell r="A3292">
            <v>9110702</v>
          </cell>
          <cell r="B3292">
            <v>321436</v>
          </cell>
          <cell r="C3292" t="str">
            <v>CONTRACT BONUS - PAID</v>
          </cell>
        </row>
        <row r="3293">
          <cell r="A3293">
            <v>9110705</v>
          </cell>
          <cell r="B3293">
            <v>321436</v>
          </cell>
          <cell r="C3293" t="str">
            <v>CONTRACT BONUS - PAID</v>
          </cell>
        </row>
        <row r="3294">
          <cell r="A3294">
            <v>9110707</v>
          </cell>
          <cell r="B3294">
            <v>321436</v>
          </cell>
          <cell r="C3294" t="str">
            <v>CONTRACT BONUS - PAID</v>
          </cell>
        </row>
        <row r="3295">
          <cell r="A3295">
            <v>9681700</v>
          </cell>
          <cell r="B3295">
            <v>321436</v>
          </cell>
          <cell r="C3295" t="str">
            <v>CONTRACT BONUS - PAID</v>
          </cell>
        </row>
        <row r="3296">
          <cell r="A3296">
            <v>9681701</v>
          </cell>
          <cell r="B3296">
            <v>321436</v>
          </cell>
          <cell r="C3296" t="str">
            <v>CONTRACT BONUS - PAID</v>
          </cell>
        </row>
        <row r="3297">
          <cell r="A3297">
            <v>9681702</v>
          </cell>
          <cell r="B3297">
            <v>321436</v>
          </cell>
          <cell r="C3297" t="str">
            <v>CONTRACT BONUS - PAID</v>
          </cell>
        </row>
        <row r="3298">
          <cell r="A3298">
            <v>9681705</v>
          </cell>
          <cell r="B3298">
            <v>321436</v>
          </cell>
          <cell r="C3298" t="str">
            <v>CONTRACT BONUS - PAID</v>
          </cell>
        </row>
        <row r="3299">
          <cell r="A3299">
            <v>9681706</v>
          </cell>
          <cell r="B3299">
            <v>321436</v>
          </cell>
          <cell r="C3299" t="str">
            <v>CONTRACT BONUS - PAID</v>
          </cell>
        </row>
        <row r="3300">
          <cell r="A3300">
            <v>9681707</v>
          </cell>
          <cell r="B3300">
            <v>321436</v>
          </cell>
          <cell r="C3300" t="str">
            <v>CONTRACT BONUS - PAID</v>
          </cell>
        </row>
        <row r="3301">
          <cell r="A3301">
            <v>9681712</v>
          </cell>
          <cell r="B3301">
            <v>321436</v>
          </cell>
          <cell r="C3301" t="str">
            <v>CONTRACT BONUS - PAID</v>
          </cell>
        </row>
        <row r="3302">
          <cell r="A3302">
            <v>9681727</v>
          </cell>
          <cell r="B3302">
            <v>321436</v>
          </cell>
          <cell r="C3302" t="str">
            <v>CONTRACT BONUS - PAID</v>
          </cell>
        </row>
        <row r="3303">
          <cell r="A3303">
            <v>9681749</v>
          </cell>
          <cell r="B3303">
            <v>321436</v>
          </cell>
          <cell r="C3303" t="str">
            <v>CONTRACT BONUS - PAID</v>
          </cell>
        </row>
        <row r="3304">
          <cell r="A3304">
            <v>9681999</v>
          </cell>
          <cell r="B3304">
            <v>321436</v>
          </cell>
          <cell r="C3304" t="str">
            <v>CONTRACT BONUS - PAID</v>
          </cell>
        </row>
        <row r="3305">
          <cell r="A3305">
            <v>9689883</v>
          </cell>
          <cell r="B3305">
            <v>321436</v>
          </cell>
          <cell r="C3305" t="str">
            <v>CONTRACT BONUS - PAID</v>
          </cell>
        </row>
        <row r="3306">
          <cell r="A3306">
            <v>9689992</v>
          </cell>
          <cell r="B3306">
            <v>321436</v>
          </cell>
          <cell r="C3306" t="str">
            <v>CONTRACT BONUS - PAID</v>
          </cell>
        </row>
        <row r="3307">
          <cell r="A3307">
            <v>9689993</v>
          </cell>
          <cell r="B3307">
            <v>321436</v>
          </cell>
          <cell r="C3307" t="str">
            <v>CONTRACT BONUS - PAID</v>
          </cell>
        </row>
        <row r="3308">
          <cell r="A3308">
            <v>9090710</v>
          </cell>
          <cell r="B3308">
            <v>321450</v>
          </cell>
          <cell r="C3308" t="str">
            <v>SALES COMMISSION</v>
          </cell>
        </row>
        <row r="3309">
          <cell r="A3309">
            <v>9100710</v>
          </cell>
          <cell r="B3309">
            <v>321450</v>
          </cell>
          <cell r="C3309" t="str">
            <v>SALES COMMISSION</v>
          </cell>
        </row>
        <row r="3310">
          <cell r="A3310">
            <v>8001054179</v>
          </cell>
          <cell r="B3310">
            <v>323831</v>
          </cell>
          <cell r="C3310" t="str">
            <v>OTHER DIVISION/ZONE STAFF</v>
          </cell>
        </row>
        <row r="3311">
          <cell r="A3311">
            <v>8001059542</v>
          </cell>
          <cell r="B3311">
            <v>323831</v>
          </cell>
          <cell r="C3311" t="str">
            <v>OTHER DIVISION/ZONE STAFF</v>
          </cell>
        </row>
        <row r="3312">
          <cell r="A3312">
            <v>8010512510</v>
          </cell>
          <cell r="B3312">
            <v>323831</v>
          </cell>
          <cell r="C3312" t="str">
            <v>OTHER DIVISION/ZONE STAFF</v>
          </cell>
        </row>
        <row r="3313">
          <cell r="A3313">
            <v>9090999</v>
          </cell>
          <cell r="B3313">
            <v>323831</v>
          </cell>
          <cell r="C3313" t="str">
            <v>OTHER DIVISION/ZONE STAFF</v>
          </cell>
        </row>
        <row r="3314">
          <cell r="A3314">
            <v>9100999</v>
          </cell>
          <cell r="B3314">
            <v>323831</v>
          </cell>
          <cell r="C3314" t="str">
            <v>OTHER DIVISION/ZONE STAFF</v>
          </cell>
        </row>
        <row r="3315">
          <cell r="A3315">
            <v>9969681</v>
          </cell>
          <cell r="B3315">
            <v>323831</v>
          </cell>
          <cell r="C3315" t="str">
            <v>OTHER DIVISION/ZONE STAFF</v>
          </cell>
        </row>
        <row r="3316">
          <cell r="A3316">
            <v>9969901</v>
          </cell>
          <cell r="B3316">
            <v>323831</v>
          </cell>
          <cell r="C3316" t="str">
            <v>OTHER DIVISION/ZONE STAFF</v>
          </cell>
        </row>
        <row r="3317">
          <cell r="A3317" t="str">
            <v>ZONE-0105-POST</v>
          </cell>
          <cell r="B3317">
            <v>323831</v>
          </cell>
          <cell r="C3317" t="str">
            <v>OTHER DIVISION/ZONE STAFF</v>
          </cell>
        </row>
        <row r="3318">
          <cell r="A3318" t="str">
            <v>ZONE-0112-POST</v>
          </cell>
          <cell r="B3318">
            <v>323831</v>
          </cell>
          <cell r="C3318" t="str">
            <v>OTHER DIVISION/ZONE STAFF</v>
          </cell>
        </row>
        <row r="3319">
          <cell r="A3319">
            <v>9090999</v>
          </cell>
          <cell r="B3319">
            <v>323860</v>
          </cell>
          <cell r="C3319" t="str">
            <v>EXECUTIVE OFFICERS</v>
          </cell>
        </row>
        <row r="3320">
          <cell r="A3320">
            <v>9100710</v>
          </cell>
          <cell r="B3320">
            <v>323860</v>
          </cell>
          <cell r="C3320" t="str">
            <v>EXECUTIVE OFFICERS</v>
          </cell>
        </row>
        <row r="3321">
          <cell r="A3321">
            <v>9100999</v>
          </cell>
          <cell r="B3321">
            <v>323860</v>
          </cell>
          <cell r="C3321" t="str">
            <v>EXECUTIVE OFFICERS</v>
          </cell>
        </row>
        <row r="3322">
          <cell r="A3322">
            <v>9689692</v>
          </cell>
          <cell r="B3322">
            <v>323860</v>
          </cell>
          <cell r="C3322" t="str">
            <v>EXECUTIVE OFFICERS</v>
          </cell>
        </row>
        <row r="3323">
          <cell r="A3323">
            <v>9689747</v>
          </cell>
          <cell r="B3323">
            <v>323860</v>
          </cell>
          <cell r="C3323" t="str">
            <v>EXECUTIVE OFFICERS</v>
          </cell>
        </row>
        <row r="3324">
          <cell r="A3324">
            <v>9689890</v>
          </cell>
          <cell r="B3324">
            <v>323860</v>
          </cell>
          <cell r="C3324" t="str">
            <v>EXECUTIVE OFFICERS</v>
          </cell>
        </row>
        <row r="3325">
          <cell r="A3325">
            <v>9689925</v>
          </cell>
          <cell r="B3325">
            <v>323860</v>
          </cell>
          <cell r="C3325" t="str">
            <v>EXECUTIVE OFFICERS</v>
          </cell>
        </row>
        <row r="3326">
          <cell r="A3326">
            <v>9689990</v>
          </cell>
          <cell r="B3326">
            <v>323860</v>
          </cell>
          <cell r="C3326" t="str">
            <v>EXECUTIVE OFFICERS</v>
          </cell>
        </row>
        <row r="3327">
          <cell r="A3327">
            <v>9689904</v>
          </cell>
          <cell r="B3327">
            <v>324404</v>
          </cell>
          <cell r="C3327" t="str">
            <v>ACCIDENT &amp; SICK-WAGES-COMPANY</v>
          </cell>
        </row>
        <row r="3328">
          <cell r="A3328">
            <v>9689904</v>
          </cell>
          <cell r="B3328">
            <v>324404</v>
          </cell>
          <cell r="C3328" t="str">
            <v>ACCIDENT &amp; SICK-WAGES-COMPANY - FULL TIME HOURS</v>
          </cell>
        </row>
        <row r="3329">
          <cell r="A3329">
            <v>9689904</v>
          </cell>
          <cell r="B3329">
            <v>324408</v>
          </cell>
          <cell r="C3329" t="str">
            <v>HOLIDAY WAGES</v>
          </cell>
        </row>
        <row r="3330">
          <cell r="A3330">
            <v>9689904</v>
          </cell>
          <cell r="B3330">
            <v>324408</v>
          </cell>
          <cell r="C3330" t="str">
            <v>HOLIDAY WAGES -FULL TIME HOURS</v>
          </cell>
        </row>
        <row r="3331">
          <cell r="A3331">
            <v>9080700</v>
          </cell>
          <cell r="B3331">
            <v>324409</v>
          </cell>
          <cell r="C3331" t="str">
            <v>VACATION WAGES</v>
          </cell>
        </row>
        <row r="3332">
          <cell r="A3332">
            <v>9080701</v>
          </cell>
          <cell r="B3332">
            <v>324409</v>
          </cell>
          <cell r="C3332" t="str">
            <v>VACATION WAGES</v>
          </cell>
        </row>
        <row r="3333">
          <cell r="A3333">
            <v>9080702</v>
          </cell>
          <cell r="B3333">
            <v>324409</v>
          </cell>
          <cell r="C3333" t="str">
            <v>VACATION WAGES</v>
          </cell>
        </row>
        <row r="3334">
          <cell r="A3334">
            <v>9080705</v>
          </cell>
          <cell r="B3334">
            <v>324409</v>
          </cell>
          <cell r="C3334" t="str">
            <v>VACATION WAGES</v>
          </cell>
        </row>
        <row r="3335">
          <cell r="A3335">
            <v>9080707</v>
          </cell>
          <cell r="B3335">
            <v>324409</v>
          </cell>
          <cell r="C3335" t="str">
            <v>VACATION WAGES</v>
          </cell>
        </row>
        <row r="3336">
          <cell r="A3336">
            <v>9080710</v>
          </cell>
          <cell r="B3336">
            <v>324409</v>
          </cell>
          <cell r="C3336" t="str">
            <v>VACATION WAGES</v>
          </cell>
        </row>
        <row r="3337">
          <cell r="A3337">
            <v>9090710</v>
          </cell>
          <cell r="B3337">
            <v>324409</v>
          </cell>
          <cell r="C3337" t="str">
            <v>VACATION WAGES</v>
          </cell>
        </row>
        <row r="3338">
          <cell r="A3338">
            <v>9090999</v>
          </cell>
          <cell r="B3338">
            <v>324409</v>
          </cell>
          <cell r="C3338" t="str">
            <v>VACATION WAGES</v>
          </cell>
        </row>
        <row r="3339">
          <cell r="A3339">
            <v>9100710</v>
          </cell>
          <cell r="B3339">
            <v>324409</v>
          </cell>
          <cell r="C3339" t="str">
            <v>VACATION WAGES</v>
          </cell>
        </row>
        <row r="3340">
          <cell r="A3340">
            <v>9100999</v>
          </cell>
          <cell r="B3340">
            <v>324409</v>
          </cell>
          <cell r="C3340" t="str">
            <v>VACATION WAGES</v>
          </cell>
        </row>
        <row r="3341">
          <cell r="A3341">
            <v>9110700</v>
          </cell>
          <cell r="B3341">
            <v>324409</v>
          </cell>
          <cell r="C3341" t="str">
            <v>VACATION WAGES</v>
          </cell>
        </row>
        <row r="3342">
          <cell r="A3342">
            <v>9110702</v>
          </cell>
          <cell r="B3342">
            <v>324409</v>
          </cell>
          <cell r="C3342" t="str">
            <v>VACATION WAGES</v>
          </cell>
        </row>
        <row r="3343">
          <cell r="A3343">
            <v>9110705</v>
          </cell>
          <cell r="B3343">
            <v>324409</v>
          </cell>
          <cell r="C3343" t="str">
            <v>VACATION WAGES</v>
          </cell>
        </row>
        <row r="3344">
          <cell r="A3344">
            <v>9110707</v>
          </cell>
          <cell r="B3344">
            <v>324409</v>
          </cell>
          <cell r="C3344" t="str">
            <v>VACATION WAGES</v>
          </cell>
        </row>
        <row r="3345">
          <cell r="A3345">
            <v>9680700</v>
          </cell>
          <cell r="B3345">
            <v>324409</v>
          </cell>
          <cell r="C3345" t="str">
            <v>VACATION WAGES</v>
          </cell>
        </row>
        <row r="3346">
          <cell r="A3346">
            <v>9680701</v>
          </cell>
          <cell r="B3346">
            <v>324409</v>
          </cell>
          <cell r="C3346" t="str">
            <v>VACATION WAGES</v>
          </cell>
        </row>
        <row r="3347">
          <cell r="A3347">
            <v>9680702</v>
          </cell>
          <cell r="B3347">
            <v>324409</v>
          </cell>
          <cell r="C3347" t="str">
            <v>VACATION WAGES</v>
          </cell>
        </row>
        <row r="3348">
          <cell r="A3348">
            <v>9680705</v>
          </cell>
          <cell r="B3348">
            <v>324409</v>
          </cell>
          <cell r="C3348" t="str">
            <v>VACATION WAGES</v>
          </cell>
        </row>
        <row r="3349">
          <cell r="A3349">
            <v>9680707</v>
          </cell>
          <cell r="B3349">
            <v>324409</v>
          </cell>
          <cell r="C3349" t="str">
            <v>VACATION WAGES</v>
          </cell>
        </row>
        <row r="3350">
          <cell r="A3350">
            <v>9680710</v>
          </cell>
          <cell r="B3350">
            <v>324409</v>
          </cell>
          <cell r="C3350" t="str">
            <v>VACATION WAGES</v>
          </cell>
        </row>
        <row r="3351">
          <cell r="A3351">
            <v>9680712</v>
          </cell>
          <cell r="B3351">
            <v>324409</v>
          </cell>
          <cell r="C3351" t="str">
            <v>VACATION WAGES</v>
          </cell>
        </row>
        <row r="3352">
          <cell r="A3352">
            <v>9680714</v>
          </cell>
          <cell r="B3352">
            <v>324409</v>
          </cell>
          <cell r="C3352" t="str">
            <v>VACATION WAGES</v>
          </cell>
        </row>
        <row r="3353">
          <cell r="A3353">
            <v>9680734</v>
          </cell>
          <cell r="B3353">
            <v>324409</v>
          </cell>
          <cell r="C3353" t="str">
            <v>VACATION WAGES</v>
          </cell>
        </row>
        <row r="3354">
          <cell r="A3354">
            <v>9680748</v>
          </cell>
          <cell r="B3354">
            <v>324409</v>
          </cell>
          <cell r="C3354" t="str">
            <v>VACATION WAGES</v>
          </cell>
        </row>
        <row r="3355">
          <cell r="A3355">
            <v>9680749</v>
          </cell>
          <cell r="B3355">
            <v>324409</v>
          </cell>
          <cell r="C3355" t="str">
            <v>VACATION WAGES</v>
          </cell>
        </row>
        <row r="3356">
          <cell r="A3356">
            <v>9680894</v>
          </cell>
          <cell r="B3356">
            <v>324409</v>
          </cell>
          <cell r="C3356" t="str">
            <v>VACATION WAGES</v>
          </cell>
        </row>
        <row r="3357">
          <cell r="A3357">
            <v>9680999</v>
          </cell>
          <cell r="B3357">
            <v>324409</v>
          </cell>
          <cell r="C3357" t="str">
            <v>VACATION WAGES</v>
          </cell>
        </row>
        <row r="3358">
          <cell r="A3358">
            <v>9681700</v>
          </cell>
          <cell r="B3358">
            <v>324409</v>
          </cell>
          <cell r="C3358" t="str">
            <v>VACATION WAGES</v>
          </cell>
        </row>
        <row r="3359">
          <cell r="A3359">
            <v>9681701</v>
          </cell>
          <cell r="B3359">
            <v>324409</v>
          </cell>
          <cell r="C3359" t="str">
            <v>VACATION WAGES</v>
          </cell>
        </row>
        <row r="3360">
          <cell r="A3360">
            <v>9681702</v>
          </cell>
          <cell r="B3360">
            <v>324409</v>
          </cell>
          <cell r="C3360" t="str">
            <v>VACATION WAGES</v>
          </cell>
        </row>
        <row r="3361">
          <cell r="A3361">
            <v>9681705</v>
          </cell>
          <cell r="B3361">
            <v>324409</v>
          </cell>
          <cell r="C3361" t="str">
            <v>VACATION WAGES</v>
          </cell>
        </row>
        <row r="3362">
          <cell r="A3362">
            <v>9681706</v>
          </cell>
          <cell r="B3362">
            <v>324409</v>
          </cell>
          <cell r="C3362" t="str">
            <v>VACATION WAGES</v>
          </cell>
        </row>
        <row r="3363">
          <cell r="A3363">
            <v>9681707</v>
          </cell>
          <cell r="B3363">
            <v>324409</v>
          </cell>
          <cell r="C3363" t="str">
            <v>VACATION WAGES</v>
          </cell>
        </row>
        <row r="3364">
          <cell r="A3364">
            <v>9681710</v>
          </cell>
          <cell r="B3364">
            <v>324409</v>
          </cell>
          <cell r="C3364" t="str">
            <v>VACATION WAGES</v>
          </cell>
        </row>
        <row r="3365">
          <cell r="A3365">
            <v>9681712</v>
          </cell>
          <cell r="B3365">
            <v>324409</v>
          </cell>
          <cell r="C3365" t="str">
            <v>VACATION WAGES</v>
          </cell>
        </row>
        <row r="3366">
          <cell r="A3366">
            <v>9681727</v>
          </cell>
          <cell r="B3366">
            <v>324409</v>
          </cell>
          <cell r="C3366" t="str">
            <v>VACATION WAGES</v>
          </cell>
        </row>
        <row r="3367">
          <cell r="A3367">
            <v>9681734</v>
          </cell>
          <cell r="B3367">
            <v>324409</v>
          </cell>
          <cell r="C3367" t="str">
            <v>VACATION WAGES</v>
          </cell>
        </row>
        <row r="3368">
          <cell r="A3368">
            <v>9681748</v>
          </cell>
          <cell r="B3368">
            <v>324409</v>
          </cell>
          <cell r="C3368" t="str">
            <v>VACATION WAGES</v>
          </cell>
        </row>
        <row r="3369">
          <cell r="A3369">
            <v>9681749</v>
          </cell>
          <cell r="B3369">
            <v>324409</v>
          </cell>
          <cell r="C3369" t="str">
            <v>VACATION WAGES</v>
          </cell>
        </row>
        <row r="3370">
          <cell r="A3370">
            <v>9681894</v>
          </cell>
          <cell r="B3370">
            <v>324409</v>
          </cell>
          <cell r="C3370" t="str">
            <v>VACATION WAGES</v>
          </cell>
        </row>
        <row r="3371">
          <cell r="A3371">
            <v>9681999</v>
          </cell>
          <cell r="B3371">
            <v>324409</v>
          </cell>
          <cell r="C3371" t="str">
            <v>VACATION WAGES</v>
          </cell>
        </row>
        <row r="3372">
          <cell r="A3372">
            <v>9682715</v>
          </cell>
          <cell r="B3372">
            <v>324409</v>
          </cell>
          <cell r="C3372" t="str">
            <v>VACATION WAGES</v>
          </cell>
        </row>
        <row r="3373">
          <cell r="A3373">
            <v>9682722</v>
          </cell>
          <cell r="B3373">
            <v>324409</v>
          </cell>
          <cell r="C3373" t="str">
            <v>VACATION WAGES</v>
          </cell>
        </row>
        <row r="3374">
          <cell r="A3374">
            <v>9682999</v>
          </cell>
          <cell r="B3374">
            <v>324409</v>
          </cell>
          <cell r="C3374" t="str">
            <v>VACATION WAGES</v>
          </cell>
        </row>
        <row r="3375">
          <cell r="A3375">
            <v>9683999</v>
          </cell>
          <cell r="B3375">
            <v>324409</v>
          </cell>
          <cell r="C3375" t="str">
            <v>VACATION WAGES</v>
          </cell>
        </row>
        <row r="3376">
          <cell r="A3376">
            <v>9684999</v>
          </cell>
          <cell r="B3376">
            <v>324409</v>
          </cell>
          <cell r="C3376" t="str">
            <v>VACATION WAGES</v>
          </cell>
        </row>
        <row r="3377">
          <cell r="A3377">
            <v>9685999</v>
          </cell>
          <cell r="B3377">
            <v>324409</v>
          </cell>
          <cell r="C3377" t="str">
            <v>VACATION WAGES</v>
          </cell>
        </row>
        <row r="3378">
          <cell r="A3378">
            <v>9689692</v>
          </cell>
          <cell r="B3378">
            <v>324409</v>
          </cell>
          <cell r="C3378" t="str">
            <v>VACATION WAGES</v>
          </cell>
        </row>
        <row r="3379">
          <cell r="A3379">
            <v>9689747</v>
          </cell>
          <cell r="B3379">
            <v>324409</v>
          </cell>
          <cell r="C3379" t="str">
            <v>VACATION WAGES</v>
          </cell>
        </row>
        <row r="3380">
          <cell r="A3380">
            <v>9689883</v>
          </cell>
          <cell r="B3380">
            <v>324409</v>
          </cell>
          <cell r="C3380" t="str">
            <v>VACATION WAGES</v>
          </cell>
        </row>
        <row r="3381">
          <cell r="A3381">
            <v>9689890</v>
          </cell>
          <cell r="B3381">
            <v>324409</v>
          </cell>
          <cell r="C3381" t="str">
            <v>VACATION WAGES</v>
          </cell>
        </row>
        <row r="3382">
          <cell r="A3382">
            <v>9689904</v>
          </cell>
          <cell r="B3382">
            <v>324409</v>
          </cell>
          <cell r="C3382" t="str">
            <v>VACATION WAGES</v>
          </cell>
        </row>
        <row r="3383">
          <cell r="A3383">
            <v>9689906</v>
          </cell>
          <cell r="B3383">
            <v>324409</v>
          </cell>
          <cell r="C3383" t="str">
            <v>VACATION WAGES</v>
          </cell>
        </row>
        <row r="3384">
          <cell r="A3384">
            <v>9689925</v>
          </cell>
          <cell r="B3384">
            <v>324409</v>
          </cell>
          <cell r="C3384" t="str">
            <v>VACATION WAGES</v>
          </cell>
        </row>
        <row r="3385">
          <cell r="A3385">
            <v>9689990</v>
          </cell>
          <cell r="B3385">
            <v>324409</v>
          </cell>
          <cell r="C3385" t="str">
            <v>VACATION WAGES</v>
          </cell>
        </row>
        <row r="3386">
          <cell r="A3386">
            <v>9689991</v>
          </cell>
          <cell r="B3386">
            <v>324409</v>
          </cell>
          <cell r="C3386" t="str">
            <v>VACATION WAGES</v>
          </cell>
        </row>
        <row r="3387">
          <cell r="A3387">
            <v>9689992</v>
          </cell>
          <cell r="B3387">
            <v>324409</v>
          </cell>
          <cell r="C3387" t="str">
            <v>VACATION WAGES</v>
          </cell>
        </row>
        <row r="3388">
          <cell r="A3388">
            <v>9689904</v>
          </cell>
          <cell r="B3388">
            <v>324418</v>
          </cell>
          <cell r="C3388" t="str">
            <v>FUNERAL, JURY, NATIONAL GUARD</v>
          </cell>
        </row>
        <row r="3389">
          <cell r="A3389">
            <v>9689904</v>
          </cell>
          <cell r="B3389">
            <v>324418</v>
          </cell>
          <cell r="C3389" t="str">
            <v>FUNERAL, JURY, NATIONAL GUARD - FULL TIME HOURS</v>
          </cell>
        </row>
        <row r="3390">
          <cell r="A3390">
            <v>9969901</v>
          </cell>
          <cell r="B3390">
            <v>324422</v>
          </cell>
          <cell r="C3390" t="str">
            <v>SALARIES REBILLED</v>
          </cell>
        </row>
        <row r="3391">
          <cell r="A3391">
            <v>9080700</v>
          </cell>
          <cell r="B3391">
            <v>324533</v>
          </cell>
          <cell r="C3391" t="str">
            <v>MOVING EXPENSE-PAID TO OTHER</v>
          </cell>
        </row>
        <row r="3392">
          <cell r="A3392">
            <v>9080701</v>
          </cell>
          <cell r="B3392">
            <v>324533</v>
          </cell>
          <cell r="C3392" t="str">
            <v>MOVING EXPENSE-PAID TO OTHER</v>
          </cell>
        </row>
        <row r="3393">
          <cell r="A3393">
            <v>9080702</v>
          </cell>
          <cell r="B3393">
            <v>324533</v>
          </cell>
          <cell r="C3393" t="str">
            <v>MOVING EXPENSE-PAID TO OTHER</v>
          </cell>
        </row>
        <row r="3394">
          <cell r="A3394">
            <v>9080705</v>
          </cell>
          <cell r="B3394">
            <v>324533</v>
          </cell>
          <cell r="C3394" t="str">
            <v>MOVING EXPENSE-PAID TO OTHER</v>
          </cell>
        </row>
        <row r="3395">
          <cell r="A3395">
            <v>9080707</v>
          </cell>
          <cell r="B3395">
            <v>324533</v>
          </cell>
          <cell r="C3395" t="str">
            <v>MOVING EXPENSE-PAID TO OTHER</v>
          </cell>
        </row>
        <row r="3396">
          <cell r="A3396">
            <v>9080710</v>
          </cell>
          <cell r="B3396">
            <v>324533</v>
          </cell>
          <cell r="C3396" t="str">
            <v>MOVING EXPENSE-PAID TO OTHER</v>
          </cell>
        </row>
        <row r="3397">
          <cell r="A3397">
            <v>9110700</v>
          </cell>
          <cell r="B3397">
            <v>324533</v>
          </cell>
          <cell r="C3397" t="str">
            <v>MOVING EXPENSE-PAID TO OTHER</v>
          </cell>
        </row>
        <row r="3398">
          <cell r="A3398">
            <v>9110702</v>
          </cell>
          <cell r="B3398">
            <v>324533</v>
          </cell>
          <cell r="C3398" t="str">
            <v>MOVING EXPENSE-PAID TO OTHER</v>
          </cell>
        </row>
        <row r="3399">
          <cell r="A3399">
            <v>9110705</v>
          </cell>
          <cell r="B3399">
            <v>324533</v>
          </cell>
          <cell r="C3399" t="str">
            <v>MOVING EXPENSE-PAID TO OTHER</v>
          </cell>
        </row>
        <row r="3400">
          <cell r="A3400">
            <v>9110707</v>
          </cell>
          <cell r="B3400">
            <v>324533</v>
          </cell>
          <cell r="C3400" t="str">
            <v>MOVING EXPENSE-PAID TO OTHER</v>
          </cell>
        </row>
        <row r="3401">
          <cell r="A3401">
            <v>9681700</v>
          </cell>
          <cell r="B3401">
            <v>324533</v>
          </cell>
          <cell r="C3401" t="str">
            <v>MOVING EXPENSE-PAID TO OTHER</v>
          </cell>
        </row>
        <row r="3402">
          <cell r="A3402">
            <v>9681701</v>
          </cell>
          <cell r="B3402">
            <v>324533</v>
          </cell>
          <cell r="C3402" t="str">
            <v>MOVING EXPENSE-PAID TO OTHER</v>
          </cell>
        </row>
        <row r="3403">
          <cell r="A3403">
            <v>9681702</v>
          </cell>
          <cell r="B3403">
            <v>324533</v>
          </cell>
          <cell r="C3403" t="str">
            <v>MOVING EXPENSE-PAID TO OTHER</v>
          </cell>
        </row>
        <row r="3404">
          <cell r="A3404">
            <v>9681705</v>
          </cell>
          <cell r="B3404">
            <v>324533</v>
          </cell>
          <cell r="C3404" t="str">
            <v>MOVING EXPENSE-PAID TO OTHER</v>
          </cell>
        </row>
        <row r="3405">
          <cell r="A3405">
            <v>9681706</v>
          </cell>
          <cell r="B3405">
            <v>324533</v>
          </cell>
          <cell r="C3405" t="str">
            <v>MOVING EXPENSE-PAID TO OTHER</v>
          </cell>
        </row>
        <row r="3406">
          <cell r="A3406">
            <v>9681707</v>
          </cell>
          <cell r="B3406">
            <v>324533</v>
          </cell>
          <cell r="C3406" t="str">
            <v>MOVING EXPENSE-PAID TO OTHER</v>
          </cell>
        </row>
        <row r="3407">
          <cell r="A3407">
            <v>9681712</v>
          </cell>
          <cell r="B3407">
            <v>324533</v>
          </cell>
          <cell r="C3407" t="str">
            <v>MOVING EXPENSE-PAID TO OTHER</v>
          </cell>
        </row>
        <row r="3408">
          <cell r="A3408">
            <v>9681727</v>
          </cell>
          <cell r="B3408">
            <v>324533</v>
          </cell>
          <cell r="C3408" t="str">
            <v>MOVING EXPENSE-PAID TO OTHER</v>
          </cell>
        </row>
        <row r="3409">
          <cell r="A3409">
            <v>9681749</v>
          </cell>
          <cell r="B3409">
            <v>324533</v>
          </cell>
          <cell r="C3409" t="str">
            <v>MOVING EXPENSE-PAID TO OTHER</v>
          </cell>
        </row>
        <row r="3410">
          <cell r="A3410">
            <v>9681999</v>
          </cell>
          <cell r="B3410">
            <v>324533</v>
          </cell>
          <cell r="C3410" t="str">
            <v>MOVING EXPENSE-PAID TO OTHER</v>
          </cell>
        </row>
        <row r="3411">
          <cell r="A3411">
            <v>9682715</v>
          </cell>
          <cell r="B3411">
            <v>324533</v>
          </cell>
          <cell r="C3411" t="str">
            <v>MOVING EXPENSE-PAID TO OTHER</v>
          </cell>
        </row>
        <row r="3412">
          <cell r="A3412">
            <v>9682722</v>
          </cell>
          <cell r="B3412">
            <v>324533</v>
          </cell>
          <cell r="C3412" t="str">
            <v>MOVING EXPENSE-PAID TO OTHER</v>
          </cell>
        </row>
        <row r="3413">
          <cell r="A3413">
            <v>9682999</v>
          </cell>
          <cell r="B3413">
            <v>324533</v>
          </cell>
          <cell r="C3413" t="str">
            <v>MOVING EXPENSE-PAID TO OTHER</v>
          </cell>
        </row>
        <row r="3414">
          <cell r="A3414">
            <v>9683999</v>
          </cell>
          <cell r="B3414">
            <v>324533</v>
          </cell>
          <cell r="C3414" t="str">
            <v>MOVING EXPENSE-PAID TO OTHER</v>
          </cell>
        </row>
        <row r="3415">
          <cell r="A3415">
            <v>9689883</v>
          </cell>
          <cell r="B3415">
            <v>324533</v>
          </cell>
          <cell r="C3415" t="str">
            <v>MOVING EXPENSE-PAID TO OTHER</v>
          </cell>
        </row>
        <row r="3416">
          <cell r="A3416">
            <v>9689904</v>
          </cell>
          <cell r="B3416">
            <v>324533</v>
          </cell>
          <cell r="C3416" t="str">
            <v>MOVING EXPENSE-PAID TO OTHER</v>
          </cell>
        </row>
        <row r="3417">
          <cell r="A3417">
            <v>9689906</v>
          </cell>
          <cell r="B3417">
            <v>324533</v>
          </cell>
          <cell r="C3417" t="str">
            <v>MOVING EXPENSE-PAID TO OTHER</v>
          </cell>
        </row>
        <row r="3418">
          <cell r="A3418">
            <v>9689992</v>
          </cell>
          <cell r="B3418">
            <v>324533</v>
          </cell>
          <cell r="C3418" t="str">
            <v>MOVING EXPENSE-PAID TO OTHER</v>
          </cell>
        </row>
        <row r="3419">
          <cell r="A3419">
            <v>9689904</v>
          </cell>
          <cell r="B3419">
            <v>324562</v>
          </cell>
          <cell r="C3419" t="str">
            <v>EDUCATIONAL REFUND PLAN</v>
          </cell>
        </row>
        <row r="3420">
          <cell r="A3420">
            <v>9689904</v>
          </cell>
          <cell r="B3420">
            <v>325460</v>
          </cell>
          <cell r="C3420" t="str">
            <v>GROUP INSUR-SAFEWAY-COMPANY EX</v>
          </cell>
        </row>
        <row r="3421">
          <cell r="A3421">
            <v>9689904</v>
          </cell>
          <cell r="B3421">
            <v>325466</v>
          </cell>
          <cell r="C3421" t="str">
            <v>GROUP INSUR-HEALTH MAINT ORGAN</v>
          </cell>
        </row>
        <row r="3422">
          <cell r="A3422">
            <v>9689904</v>
          </cell>
          <cell r="B3422">
            <v>325475</v>
          </cell>
          <cell r="C3422" t="str">
            <v>BASIC LIFE INS. ACTIVE EMPLOY</v>
          </cell>
        </row>
        <row r="3423">
          <cell r="A3423">
            <v>9689904</v>
          </cell>
          <cell r="B3423">
            <v>325476</v>
          </cell>
          <cell r="C3423" t="str">
            <v>S/T DISABILITY-ACTIVE EMPLOY.</v>
          </cell>
        </row>
        <row r="3424">
          <cell r="A3424">
            <v>9689904</v>
          </cell>
          <cell r="B3424">
            <v>325500</v>
          </cell>
          <cell r="C3424" t="str">
            <v>DISABILITY INSURANCE-STATE OF</v>
          </cell>
        </row>
        <row r="3425">
          <cell r="A3425">
            <v>9689904</v>
          </cell>
          <cell r="B3425">
            <v>325600</v>
          </cell>
          <cell r="C3425" t="str">
            <v>UNEMPLOYMENT INSURANCE-STATE</v>
          </cell>
        </row>
        <row r="3426">
          <cell r="A3426">
            <v>9689904</v>
          </cell>
          <cell r="B3426">
            <v>325675</v>
          </cell>
          <cell r="C3426" t="str">
            <v>UNEMPLOY INSUR-FEDERAL OR DOMI</v>
          </cell>
        </row>
        <row r="3427">
          <cell r="A3427">
            <v>9090710</v>
          </cell>
          <cell r="B3427">
            <v>325700</v>
          </cell>
          <cell r="C3427" t="str">
            <v>WORKERS COMPENS INSUR-STATE</v>
          </cell>
        </row>
        <row r="3428">
          <cell r="A3428">
            <v>9090999</v>
          </cell>
          <cell r="B3428">
            <v>325700</v>
          </cell>
          <cell r="C3428" t="str">
            <v>WORKERS COMPENS INSUR-STATE</v>
          </cell>
        </row>
        <row r="3429">
          <cell r="A3429">
            <v>9100710</v>
          </cell>
          <cell r="B3429">
            <v>325700</v>
          </cell>
          <cell r="C3429" t="str">
            <v>WORKERS COMPENS INSUR-STATE</v>
          </cell>
        </row>
        <row r="3430">
          <cell r="A3430">
            <v>9100999</v>
          </cell>
          <cell r="B3430">
            <v>325700</v>
          </cell>
          <cell r="C3430" t="str">
            <v>WORKERS COMPENS INSUR-STATE</v>
          </cell>
        </row>
        <row r="3431">
          <cell r="A3431">
            <v>9090710</v>
          </cell>
          <cell r="B3431">
            <v>325875</v>
          </cell>
          <cell r="C3431" t="str">
            <v>SOCIAL SECURITY</v>
          </cell>
        </row>
        <row r="3432">
          <cell r="A3432">
            <v>9090999</v>
          </cell>
          <cell r="B3432">
            <v>325875</v>
          </cell>
          <cell r="C3432" t="str">
            <v>SOCIAL SECURITY</v>
          </cell>
        </row>
        <row r="3433">
          <cell r="A3433">
            <v>9100710</v>
          </cell>
          <cell r="B3433">
            <v>325875</v>
          </cell>
          <cell r="C3433" t="str">
            <v>SOCIAL SECURITY</v>
          </cell>
        </row>
        <row r="3434">
          <cell r="A3434">
            <v>9100999</v>
          </cell>
          <cell r="B3434">
            <v>325875</v>
          </cell>
          <cell r="C3434" t="str">
            <v>SOCIAL SECURITY</v>
          </cell>
        </row>
        <row r="3435">
          <cell r="A3435">
            <v>9683999</v>
          </cell>
          <cell r="B3435">
            <v>325875</v>
          </cell>
          <cell r="C3435" t="str">
            <v>SOCIAL SECURITY</v>
          </cell>
        </row>
        <row r="3436">
          <cell r="A3436">
            <v>9689904</v>
          </cell>
          <cell r="B3436">
            <v>325875</v>
          </cell>
          <cell r="C3436" t="str">
            <v>SOCIAL SECURITY</v>
          </cell>
        </row>
        <row r="3437">
          <cell r="A3437">
            <v>9683999</v>
          </cell>
          <cell r="B3437">
            <v>325876</v>
          </cell>
          <cell r="C3437" t="str">
            <v>MEDICARE</v>
          </cell>
        </row>
        <row r="3438">
          <cell r="A3438">
            <v>9689904</v>
          </cell>
          <cell r="B3438">
            <v>325876</v>
          </cell>
          <cell r="C3438" t="str">
            <v>MEDICARE</v>
          </cell>
        </row>
        <row r="3439">
          <cell r="A3439">
            <v>9080700</v>
          </cell>
          <cell r="B3439">
            <v>326975</v>
          </cell>
          <cell r="C3439" t="str">
            <v>EMP BENEFIT DIST-DIRECT CHARGE</v>
          </cell>
        </row>
        <row r="3440">
          <cell r="A3440">
            <v>9080701</v>
          </cell>
          <cell r="B3440">
            <v>326975</v>
          </cell>
          <cell r="C3440" t="str">
            <v>EMP BENEFIT DIST-DIRECT CHARGE</v>
          </cell>
        </row>
        <row r="3441">
          <cell r="A3441">
            <v>9080702</v>
          </cell>
          <cell r="B3441">
            <v>326975</v>
          </cell>
          <cell r="C3441" t="str">
            <v>EMP BENEFIT DIST-DIRECT CHARGE</v>
          </cell>
        </row>
        <row r="3442">
          <cell r="A3442">
            <v>9080705</v>
          </cell>
          <cell r="B3442">
            <v>326975</v>
          </cell>
          <cell r="C3442" t="str">
            <v>EMP BENEFIT DIST-DIRECT CHARGE</v>
          </cell>
        </row>
        <row r="3443">
          <cell r="A3443">
            <v>9080707</v>
          </cell>
          <cell r="B3443">
            <v>326975</v>
          </cell>
          <cell r="C3443" t="str">
            <v>EMP BENEFIT DIST-DIRECT CHARGE</v>
          </cell>
        </row>
        <row r="3444">
          <cell r="A3444">
            <v>9080710</v>
          </cell>
          <cell r="B3444">
            <v>326975</v>
          </cell>
          <cell r="C3444" t="str">
            <v>EMP BENEFIT DIST-DIRECT CHARGE</v>
          </cell>
        </row>
        <row r="3445">
          <cell r="A3445">
            <v>9080999</v>
          </cell>
          <cell r="B3445">
            <v>326975</v>
          </cell>
          <cell r="C3445" t="str">
            <v>EMP BENEFIT DIST-DIRECT CHARGE</v>
          </cell>
        </row>
        <row r="3446">
          <cell r="A3446">
            <v>9090710</v>
          </cell>
          <cell r="B3446">
            <v>326975</v>
          </cell>
          <cell r="C3446" t="str">
            <v>EMP BENEFIT DIST-DIRECT CHARGE</v>
          </cell>
        </row>
        <row r="3447">
          <cell r="A3447">
            <v>9090999</v>
          </cell>
          <cell r="B3447">
            <v>326975</v>
          </cell>
          <cell r="C3447" t="str">
            <v>EMP BENEFIT DIST-DIRECT CHARGE</v>
          </cell>
        </row>
        <row r="3448">
          <cell r="A3448">
            <v>9100710</v>
          </cell>
          <cell r="B3448">
            <v>326975</v>
          </cell>
          <cell r="C3448" t="str">
            <v>EMP BENEFIT DIST-DIRECT CHARGE</v>
          </cell>
        </row>
        <row r="3449">
          <cell r="A3449">
            <v>9100999</v>
          </cell>
          <cell r="B3449">
            <v>326975</v>
          </cell>
          <cell r="C3449" t="str">
            <v>EMP BENEFIT DIST-DIRECT CHARGE</v>
          </cell>
        </row>
        <row r="3450">
          <cell r="A3450">
            <v>9110700</v>
          </cell>
          <cell r="B3450">
            <v>326975</v>
          </cell>
          <cell r="C3450" t="str">
            <v>EMP BENEFIT DIST-DIRECT CHARGE</v>
          </cell>
        </row>
        <row r="3451">
          <cell r="A3451">
            <v>9110702</v>
          </cell>
          <cell r="B3451">
            <v>326975</v>
          </cell>
          <cell r="C3451" t="str">
            <v>EMP BENEFIT DIST-DIRECT CHARGE</v>
          </cell>
        </row>
        <row r="3452">
          <cell r="A3452">
            <v>9110705</v>
          </cell>
          <cell r="B3452">
            <v>326975</v>
          </cell>
          <cell r="C3452" t="str">
            <v>EMP BENEFIT DIST-DIRECT CHARGE</v>
          </cell>
        </row>
        <row r="3453">
          <cell r="A3453">
            <v>9110707</v>
          </cell>
          <cell r="B3453">
            <v>326975</v>
          </cell>
          <cell r="C3453" t="str">
            <v>EMP BENEFIT DIST-DIRECT CHARGE</v>
          </cell>
        </row>
        <row r="3454">
          <cell r="A3454">
            <v>9110999</v>
          </cell>
          <cell r="B3454">
            <v>326975</v>
          </cell>
          <cell r="C3454" t="str">
            <v>EMP BENEFIT DIST-DIRECT CHARGE</v>
          </cell>
        </row>
        <row r="3455">
          <cell r="A3455">
            <v>9680700</v>
          </cell>
          <cell r="B3455">
            <v>326975</v>
          </cell>
          <cell r="C3455" t="str">
            <v>EMP BENEFIT DIST-DIRECT CHARGE</v>
          </cell>
        </row>
        <row r="3456">
          <cell r="A3456">
            <v>9680701</v>
          </cell>
          <cell r="B3456">
            <v>326975</v>
          </cell>
          <cell r="C3456" t="str">
            <v>EMP BENEFIT DIST-DIRECT CHARGE</v>
          </cell>
        </row>
        <row r="3457">
          <cell r="A3457">
            <v>9680702</v>
          </cell>
          <cell r="B3457">
            <v>326975</v>
          </cell>
          <cell r="C3457" t="str">
            <v>EMP BENEFIT DIST-DIRECT CHARGE</v>
          </cell>
        </row>
        <row r="3458">
          <cell r="A3458">
            <v>9680705</v>
          </cell>
          <cell r="B3458">
            <v>326975</v>
          </cell>
          <cell r="C3458" t="str">
            <v>EMP BENEFIT DIST-DIRECT CHARGE</v>
          </cell>
        </row>
        <row r="3459">
          <cell r="A3459">
            <v>9680707</v>
          </cell>
          <cell r="B3459">
            <v>326975</v>
          </cell>
          <cell r="C3459" t="str">
            <v>EMP BENEFIT DIST-DIRECT CHARGE</v>
          </cell>
        </row>
        <row r="3460">
          <cell r="A3460">
            <v>9680710</v>
          </cell>
          <cell r="B3460">
            <v>326975</v>
          </cell>
          <cell r="C3460" t="str">
            <v>EMP BENEFIT DIST-DIRECT CHARGE</v>
          </cell>
        </row>
        <row r="3461">
          <cell r="A3461">
            <v>9680712</v>
          </cell>
          <cell r="B3461">
            <v>326975</v>
          </cell>
          <cell r="C3461" t="str">
            <v>EMP BENEFIT DIST-DIRECT CHARGE</v>
          </cell>
        </row>
        <row r="3462">
          <cell r="A3462">
            <v>9680714</v>
          </cell>
          <cell r="B3462">
            <v>326975</v>
          </cell>
          <cell r="C3462" t="str">
            <v>EMP BENEFIT DIST-DIRECT CHARGE</v>
          </cell>
        </row>
        <row r="3463">
          <cell r="A3463">
            <v>9680734</v>
          </cell>
          <cell r="B3463">
            <v>326975</v>
          </cell>
          <cell r="C3463" t="str">
            <v>EMP BENEFIT DIST-DIRECT CHARGE</v>
          </cell>
        </row>
        <row r="3464">
          <cell r="A3464">
            <v>9680748</v>
          </cell>
          <cell r="B3464">
            <v>326975</v>
          </cell>
          <cell r="C3464" t="str">
            <v>EMP BENEFIT DIST-DIRECT CHARGE</v>
          </cell>
        </row>
        <row r="3465">
          <cell r="A3465">
            <v>9680749</v>
          </cell>
          <cell r="B3465">
            <v>326975</v>
          </cell>
          <cell r="C3465" t="str">
            <v>EMP BENEFIT DIST-DIRECT CHARGE</v>
          </cell>
        </row>
        <row r="3466">
          <cell r="A3466">
            <v>9680894</v>
          </cell>
          <cell r="B3466">
            <v>326975</v>
          </cell>
          <cell r="C3466" t="str">
            <v>EMP BENEFIT DIST-DIRECT CHARGE</v>
          </cell>
        </row>
        <row r="3467">
          <cell r="A3467">
            <v>9680999</v>
          </cell>
          <cell r="B3467">
            <v>326975</v>
          </cell>
          <cell r="C3467" t="str">
            <v>EMP BENEFIT DIST-DIRECT CHARGE</v>
          </cell>
        </row>
        <row r="3468">
          <cell r="A3468">
            <v>9681700</v>
          </cell>
          <cell r="B3468">
            <v>326975</v>
          </cell>
          <cell r="C3468" t="str">
            <v>EMP BENEFIT DIST-DIRECT CHARGE</v>
          </cell>
        </row>
        <row r="3469">
          <cell r="A3469">
            <v>9681701</v>
          </cell>
          <cell r="B3469">
            <v>326975</v>
          </cell>
          <cell r="C3469" t="str">
            <v>EMP BENEFIT DIST-DIRECT CHARGE</v>
          </cell>
        </row>
        <row r="3470">
          <cell r="A3470">
            <v>9681702</v>
          </cell>
          <cell r="B3470">
            <v>326975</v>
          </cell>
          <cell r="C3470" t="str">
            <v>EMP BENEFIT DIST-DIRECT CHARGE</v>
          </cell>
        </row>
        <row r="3471">
          <cell r="A3471">
            <v>9681705</v>
          </cell>
          <cell r="B3471">
            <v>326975</v>
          </cell>
          <cell r="C3471" t="str">
            <v>EMP BENEFIT DIST-DIRECT CHARGE</v>
          </cell>
        </row>
        <row r="3472">
          <cell r="A3472">
            <v>9681706</v>
          </cell>
          <cell r="B3472">
            <v>326975</v>
          </cell>
          <cell r="C3472" t="str">
            <v>EMP BENEFIT DIST-DIRECT CHARGE</v>
          </cell>
        </row>
        <row r="3473">
          <cell r="A3473">
            <v>9681707</v>
          </cell>
          <cell r="B3473">
            <v>326975</v>
          </cell>
          <cell r="C3473" t="str">
            <v>EMP BENEFIT DIST-DIRECT CHARGE</v>
          </cell>
        </row>
        <row r="3474">
          <cell r="A3474">
            <v>9681710</v>
          </cell>
          <cell r="B3474">
            <v>326975</v>
          </cell>
          <cell r="C3474" t="str">
            <v>EMP BENEFIT DIST-DIRECT CHARGE</v>
          </cell>
        </row>
        <row r="3475">
          <cell r="A3475">
            <v>9681712</v>
          </cell>
          <cell r="B3475">
            <v>326975</v>
          </cell>
          <cell r="C3475" t="str">
            <v>EMP BENEFIT DIST-DIRECT CHARGE</v>
          </cell>
        </row>
        <row r="3476">
          <cell r="A3476">
            <v>9681727</v>
          </cell>
          <cell r="B3476">
            <v>326975</v>
          </cell>
          <cell r="C3476" t="str">
            <v>EMP BENEFIT DIST-DIRECT CHARGE</v>
          </cell>
        </row>
        <row r="3477">
          <cell r="A3477">
            <v>9681734</v>
          </cell>
          <cell r="B3477">
            <v>326975</v>
          </cell>
          <cell r="C3477" t="str">
            <v>EMP BENEFIT DIST-DIRECT CHARGE</v>
          </cell>
        </row>
        <row r="3478">
          <cell r="A3478">
            <v>9681748</v>
          </cell>
          <cell r="B3478">
            <v>326975</v>
          </cell>
          <cell r="C3478" t="str">
            <v>EMP BENEFIT DIST-DIRECT CHARGE</v>
          </cell>
        </row>
        <row r="3479">
          <cell r="A3479">
            <v>9681749</v>
          </cell>
          <cell r="B3479">
            <v>326975</v>
          </cell>
          <cell r="C3479" t="str">
            <v>EMP BENEFIT DIST-DIRECT CHARGE</v>
          </cell>
        </row>
        <row r="3480">
          <cell r="A3480">
            <v>9681894</v>
          </cell>
          <cell r="B3480">
            <v>326975</v>
          </cell>
          <cell r="C3480" t="str">
            <v>EMP BENEFIT DIST-DIRECT CHARGE</v>
          </cell>
        </row>
        <row r="3481">
          <cell r="A3481">
            <v>9681999</v>
          </cell>
          <cell r="B3481">
            <v>326975</v>
          </cell>
          <cell r="C3481" t="str">
            <v>EMP BENEFIT DIST-DIRECT CHARGE</v>
          </cell>
        </row>
        <row r="3482">
          <cell r="A3482">
            <v>9682715</v>
          </cell>
          <cell r="B3482">
            <v>326975</v>
          </cell>
          <cell r="C3482" t="str">
            <v>EMP BENEFIT DIST-DIRECT CHARGE</v>
          </cell>
        </row>
        <row r="3483">
          <cell r="A3483">
            <v>9682722</v>
          </cell>
          <cell r="B3483">
            <v>326975</v>
          </cell>
          <cell r="C3483" t="str">
            <v>EMP BENEFIT DIST-DIRECT CHARGE</v>
          </cell>
        </row>
        <row r="3484">
          <cell r="A3484">
            <v>9682999</v>
          </cell>
          <cell r="B3484">
            <v>326975</v>
          </cell>
          <cell r="C3484" t="str">
            <v>EMP BENEFIT DIST-DIRECT CHARGE</v>
          </cell>
        </row>
        <row r="3485">
          <cell r="A3485">
            <v>9683999</v>
          </cell>
          <cell r="B3485">
            <v>326975</v>
          </cell>
          <cell r="C3485" t="str">
            <v>EMP BENEFIT DIST-DIRECT CHARGE</v>
          </cell>
        </row>
        <row r="3486">
          <cell r="A3486">
            <v>9684999</v>
          </cell>
          <cell r="B3486">
            <v>326975</v>
          </cell>
          <cell r="C3486" t="str">
            <v>EMP BENEFIT DIST-DIRECT CHARGE</v>
          </cell>
        </row>
        <row r="3487">
          <cell r="A3487">
            <v>9685999</v>
          </cell>
          <cell r="B3487">
            <v>326975</v>
          </cell>
          <cell r="C3487" t="str">
            <v>EMP BENEFIT DIST-DIRECT CHARGE</v>
          </cell>
        </row>
        <row r="3488">
          <cell r="A3488">
            <v>9689692</v>
          </cell>
          <cell r="B3488">
            <v>326975</v>
          </cell>
          <cell r="C3488" t="str">
            <v>EMP BENEFIT DIST-DIRECT CHARGE</v>
          </cell>
        </row>
        <row r="3489">
          <cell r="A3489">
            <v>9689747</v>
          </cell>
          <cell r="B3489">
            <v>326975</v>
          </cell>
          <cell r="C3489" t="str">
            <v>EMP BENEFIT DIST-DIRECT CHARGE</v>
          </cell>
        </row>
        <row r="3490">
          <cell r="A3490">
            <v>9689883</v>
          </cell>
          <cell r="B3490">
            <v>326975</v>
          </cell>
          <cell r="C3490" t="str">
            <v>EMP BENEFIT DIST-DIRECT CHARGE</v>
          </cell>
        </row>
        <row r="3491">
          <cell r="A3491">
            <v>9689890</v>
          </cell>
          <cell r="B3491">
            <v>326975</v>
          </cell>
          <cell r="C3491" t="str">
            <v>EMP BENEFIT DIST-DIRECT CHARGE</v>
          </cell>
        </row>
        <row r="3492">
          <cell r="A3492">
            <v>9689904</v>
          </cell>
          <cell r="B3492">
            <v>326975</v>
          </cell>
          <cell r="C3492" t="str">
            <v>EMP BENEFIT DIST-DIRECT CHARGE</v>
          </cell>
        </row>
        <row r="3493">
          <cell r="A3493">
            <v>9689906</v>
          </cell>
          <cell r="B3493">
            <v>326975</v>
          </cell>
          <cell r="C3493" t="str">
            <v>EMP BENEFIT DIST-DIRECT CHARGE</v>
          </cell>
        </row>
        <row r="3494">
          <cell r="A3494">
            <v>9689925</v>
          </cell>
          <cell r="B3494">
            <v>326975</v>
          </cell>
          <cell r="C3494" t="str">
            <v>EMP BENEFIT DIST-DIRECT CHARGE</v>
          </cell>
        </row>
        <row r="3495">
          <cell r="A3495">
            <v>9689990</v>
          </cell>
          <cell r="B3495">
            <v>326975</v>
          </cell>
          <cell r="C3495" t="str">
            <v>EMP BENEFIT DIST-DIRECT CHARGE</v>
          </cell>
        </row>
        <row r="3496">
          <cell r="A3496">
            <v>9689991</v>
          </cell>
          <cell r="B3496">
            <v>326975</v>
          </cell>
          <cell r="C3496" t="str">
            <v>EMP BENEFIT DIST-DIRECT CHARGE</v>
          </cell>
        </row>
        <row r="3497">
          <cell r="A3497">
            <v>9689992</v>
          </cell>
          <cell r="B3497">
            <v>326975</v>
          </cell>
          <cell r="C3497" t="str">
            <v>EMP BENEFIT DIST-DIRECT CHARGE</v>
          </cell>
        </row>
        <row r="3498">
          <cell r="A3498">
            <v>9689993</v>
          </cell>
          <cell r="B3498">
            <v>326975</v>
          </cell>
          <cell r="C3498" t="str">
            <v>EMP BENEFIT DIST-DIRECT CHARGE</v>
          </cell>
        </row>
        <row r="3499">
          <cell r="A3499">
            <v>9689994</v>
          </cell>
          <cell r="B3499">
            <v>326975</v>
          </cell>
          <cell r="C3499" t="str">
            <v>EMP BENEFIT DIST-DIRECT CHARGE</v>
          </cell>
        </row>
        <row r="3500">
          <cell r="A3500">
            <v>9689999</v>
          </cell>
          <cell r="B3500">
            <v>326975</v>
          </cell>
          <cell r="C3500" t="str">
            <v>EMP BENEFIT DIST-DIRECT CHARGE</v>
          </cell>
        </row>
        <row r="3501">
          <cell r="A3501">
            <v>8001054179</v>
          </cell>
          <cell r="B3501">
            <v>326979</v>
          </cell>
          <cell r="C3501" t="str">
            <v>EMPLOYEE BENEFITS DISTRIBUTED</v>
          </cell>
        </row>
        <row r="3502">
          <cell r="A3502">
            <v>8001059542</v>
          </cell>
          <cell r="B3502">
            <v>326979</v>
          </cell>
          <cell r="C3502" t="str">
            <v>EMPLOYEE BENEFITS DISTRIBUTED</v>
          </cell>
        </row>
        <row r="3503">
          <cell r="A3503">
            <v>8010512510</v>
          </cell>
          <cell r="B3503">
            <v>326979</v>
          </cell>
          <cell r="C3503" t="str">
            <v>EMPLOYEE BENEFITS DISTRIBUTED</v>
          </cell>
        </row>
        <row r="3504">
          <cell r="A3504">
            <v>9080700</v>
          </cell>
          <cell r="B3504">
            <v>326979</v>
          </cell>
          <cell r="C3504" t="str">
            <v>EMPLOYEE BENEFITS DISTRIBUTED</v>
          </cell>
        </row>
        <row r="3505">
          <cell r="A3505">
            <v>9080701</v>
          </cell>
          <cell r="B3505">
            <v>326979</v>
          </cell>
          <cell r="C3505" t="str">
            <v>EMPLOYEE BENEFITS DISTRIBUTED</v>
          </cell>
        </row>
        <row r="3506">
          <cell r="A3506">
            <v>9080702</v>
          </cell>
          <cell r="B3506">
            <v>326979</v>
          </cell>
          <cell r="C3506" t="str">
            <v>EMPLOYEE BENEFITS DISTRIBUTED</v>
          </cell>
        </row>
        <row r="3507">
          <cell r="A3507">
            <v>9080705</v>
          </cell>
          <cell r="B3507">
            <v>326979</v>
          </cell>
          <cell r="C3507" t="str">
            <v>EMPLOYEE BENEFITS DISTRIBUTED</v>
          </cell>
        </row>
        <row r="3508">
          <cell r="A3508">
            <v>9080707</v>
          </cell>
          <cell r="B3508">
            <v>326979</v>
          </cell>
          <cell r="C3508" t="str">
            <v>EMPLOYEE BENEFITS DISTRIBUTED</v>
          </cell>
        </row>
        <row r="3509">
          <cell r="A3509">
            <v>9080710</v>
          </cell>
          <cell r="B3509">
            <v>326979</v>
          </cell>
          <cell r="C3509" t="str">
            <v>EMPLOYEE BENEFITS DISTRIBUTED</v>
          </cell>
        </row>
        <row r="3510">
          <cell r="A3510">
            <v>9090999</v>
          </cell>
          <cell r="B3510">
            <v>326979</v>
          </cell>
          <cell r="C3510" t="str">
            <v>EMPLOYEE BENEFITS DISTRIBUTED</v>
          </cell>
        </row>
        <row r="3511">
          <cell r="A3511">
            <v>9100999</v>
          </cell>
          <cell r="B3511">
            <v>326979</v>
          </cell>
          <cell r="C3511" t="str">
            <v>EMPLOYEE BENEFITS DISTRIBUTED</v>
          </cell>
        </row>
        <row r="3512">
          <cell r="A3512">
            <v>9110700</v>
          </cell>
          <cell r="B3512">
            <v>326979</v>
          </cell>
          <cell r="C3512" t="str">
            <v>EMPLOYEE BENEFITS DISTRIBUTED</v>
          </cell>
        </row>
        <row r="3513">
          <cell r="A3513">
            <v>9110702</v>
          </cell>
          <cell r="B3513">
            <v>326979</v>
          </cell>
          <cell r="C3513" t="str">
            <v>EMPLOYEE BENEFITS DISTRIBUTED</v>
          </cell>
        </row>
        <row r="3514">
          <cell r="A3514">
            <v>9110705</v>
          </cell>
          <cell r="B3514">
            <v>326979</v>
          </cell>
          <cell r="C3514" t="str">
            <v>EMPLOYEE BENEFITS DISTRIBUTED</v>
          </cell>
        </row>
        <row r="3515">
          <cell r="A3515">
            <v>9110707</v>
          </cell>
          <cell r="B3515">
            <v>326979</v>
          </cell>
          <cell r="C3515" t="str">
            <v>EMPLOYEE BENEFITS DISTRIBUTED</v>
          </cell>
        </row>
        <row r="3516">
          <cell r="A3516">
            <v>9680700</v>
          </cell>
          <cell r="B3516">
            <v>326979</v>
          </cell>
          <cell r="C3516" t="str">
            <v>EMPLOYEE BENEFITS DISTRIBUTED</v>
          </cell>
        </row>
        <row r="3517">
          <cell r="A3517">
            <v>9680701</v>
          </cell>
          <cell r="B3517">
            <v>326979</v>
          </cell>
          <cell r="C3517" t="str">
            <v>EMPLOYEE BENEFITS DISTRIBUTED</v>
          </cell>
        </row>
        <row r="3518">
          <cell r="A3518">
            <v>9680702</v>
          </cell>
          <cell r="B3518">
            <v>326979</v>
          </cell>
          <cell r="C3518" t="str">
            <v>EMPLOYEE BENEFITS DISTRIBUTED</v>
          </cell>
        </row>
        <row r="3519">
          <cell r="A3519">
            <v>9680705</v>
          </cell>
          <cell r="B3519">
            <v>326979</v>
          </cell>
          <cell r="C3519" t="str">
            <v>EMPLOYEE BENEFITS DISTRIBUTED</v>
          </cell>
        </row>
        <row r="3520">
          <cell r="A3520">
            <v>9680707</v>
          </cell>
          <cell r="B3520">
            <v>326979</v>
          </cell>
          <cell r="C3520" t="str">
            <v>EMPLOYEE BENEFITS DISTRIBUTED</v>
          </cell>
        </row>
        <row r="3521">
          <cell r="A3521">
            <v>9680710</v>
          </cell>
          <cell r="B3521">
            <v>326979</v>
          </cell>
          <cell r="C3521" t="str">
            <v>EMPLOYEE BENEFITS DISTRIBUTED</v>
          </cell>
        </row>
        <row r="3522">
          <cell r="A3522">
            <v>9680712</v>
          </cell>
          <cell r="B3522">
            <v>326979</v>
          </cell>
          <cell r="C3522" t="str">
            <v>EMPLOYEE BENEFITS DISTRIBUTED</v>
          </cell>
        </row>
        <row r="3523">
          <cell r="A3523">
            <v>9680714</v>
          </cell>
          <cell r="B3523">
            <v>326979</v>
          </cell>
          <cell r="C3523" t="str">
            <v>EMPLOYEE BENEFITS DISTRIBUTED</v>
          </cell>
        </row>
        <row r="3524">
          <cell r="A3524">
            <v>9680734</v>
          </cell>
          <cell r="B3524">
            <v>326979</v>
          </cell>
          <cell r="C3524" t="str">
            <v>EMPLOYEE BENEFITS DISTRIBUTED</v>
          </cell>
        </row>
        <row r="3525">
          <cell r="A3525">
            <v>9680748</v>
          </cell>
          <cell r="B3525">
            <v>326979</v>
          </cell>
          <cell r="C3525" t="str">
            <v>EMPLOYEE BENEFITS DISTRIBUTED</v>
          </cell>
        </row>
        <row r="3526">
          <cell r="A3526">
            <v>9680749</v>
          </cell>
          <cell r="B3526">
            <v>326979</v>
          </cell>
          <cell r="C3526" t="str">
            <v>EMPLOYEE BENEFITS DISTRIBUTED</v>
          </cell>
        </row>
        <row r="3527">
          <cell r="A3527">
            <v>9680894</v>
          </cell>
          <cell r="B3527">
            <v>326979</v>
          </cell>
          <cell r="C3527" t="str">
            <v>EMPLOYEE BENEFITS DISTRIBUTED</v>
          </cell>
        </row>
        <row r="3528">
          <cell r="A3528">
            <v>9680999</v>
          </cell>
          <cell r="B3528">
            <v>326979</v>
          </cell>
          <cell r="C3528" t="str">
            <v>EMPLOYEE BENEFITS DISTRIBUTED</v>
          </cell>
        </row>
        <row r="3529">
          <cell r="A3529">
            <v>9681700</v>
          </cell>
          <cell r="B3529">
            <v>326979</v>
          </cell>
          <cell r="C3529" t="str">
            <v>EMPLOYEE BENEFITS DISTRIBUTED</v>
          </cell>
        </row>
        <row r="3530">
          <cell r="A3530">
            <v>9681701</v>
          </cell>
          <cell r="B3530">
            <v>326979</v>
          </cell>
          <cell r="C3530" t="str">
            <v>EMPLOYEE BENEFITS DISTRIBUTED</v>
          </cell>
        </row>
        <row r="3531">
          <cell r="A3531">
            <v>9681702</v>
          </cell>
          <cell r="B3531">
            <v>326979</v>
          </cell>
          <cell r="C3531" t="str">
            <v>EMPLOYEE BENEFITS DISTRIBUTED</v>
          </cell>
        </row>
        <row r="3532">
          <cell r="A3532">
            <v>9681705</v>
          </cell>
          <cell r="B3532">
            <v>326979</v>
          </cell>
          <cell r="C3532" t="str">
            <v>EMPLOYEE BENEFITS DISTRIBUTED</v>
          </cell>
        </row>
        <row r="3533">
          <cell r="A3533">
            <v>9681706</v>
          </cell>
          <cell r="B3533">
            <v>326979</v>
          </cell>
          <cell r="C3533" t="str">
            <v>EMPLOYEE BENEFITS DISTRIBUTED</v>
          </cell>
        </row>
        <row r="3534">
          <cell r="A3534">
            <v>9681707</v>
          </cell>
          <cell r="B3534">
            <v>326979</v>
          </cell>
          <cell r="C3534" t="str">
            <v>EMPLOYEE BENEFITS DISTRIBUTED</v>
          </cell>
        </row>
        <row r="3535">
          <cell r="A3535">
            <v>9681710</v>
          </cell>
          <cell r="B3535">
            <v>326979</v>
          </cell>
          <cell r="C3535" t="str">
            <v>EMPLOYEE BENEFITS DISTRIBUTED</v>
          </cell>
        </row>
        <row r="3536">
          <cell r="A3536">
            <v>9681712</v>
          </cell>
          <cell r="B3536">
            <v>326979</v>
          </cell>
          <cell r="C3536" t="str">
            <v>EMPLOYEE BENEFITS DISTRIBUTED</v>
          </cell>
        </row>
        <row r="3537">
          <cell r="A3537">
            <v>9681727</v>
          </cell>
          <cell r="B3537">
            <v>326979</v>
          </cell>
          <cell r="C3537" t="str">
            <v>EMPLOYEE BENEFITS DISTRIBUTED</v>
          </cell>
        </row>
        <row r="3538">
          <cell r="A3538">
            <v>9681734</v>
          </cell>
          <cell r="B3538">
            <v>326979</v>
          </cell>
          <cell r="C3538" t="str">
            <v>EMPLOYEE BENEFITS DISTRIBUTED</v>
          </cell>
        </row>
        <row r="3539">
          <cell r="A3539">
            <v>9681748</v>
          </cell>
          <cell r="B3539">
            <v>326979</v>
          </cell>
          <cell r="C3539" t="str">
            <v>EMPLOYEE BENEFITS DISTRIBUTED</v>
          </cell>
        </row>
        <row r="3540">
          <cell r="A3540">
            <v>9681749</v>
          </cell>
          <cell r="B3540">
            <v>326979</v>
          </cell>
          <cell r="C3540" t="str">
            <v>EMPLOYEE BENEFITS DISTRIBUTED</v>
          </cell>
        </row>
        <row r="3541">
          <cell r="A3541">
            <v>9681894</v>
          </cell>
          <cell r="B3541">
            <v>326979</v>
          </cell>
          <cell r="C3541" t="str">
            <v>EMPLOYEE BENEFITS DISTRIBUTED</v>
          </cell>
        </row>
        <row r="3542">
          <cell r="A3542">
            <v>9681999</v>
          </cell>
          <cell r="B3542">
            <v>326979</v>
          </cell>
          <cell r="C3542" t="str">
            <v>EMPLOYEE BENEFITS DISTRIBUTED</v>
          </cell>
        </row>
        <row r="3543">
          <cell r="A3543">
            <v>9682715</v>
          </cell>
          <cell r="B3543">
            <v>326979</v>
          </cell>
          <cell r="C3543" t="str">
            <v>EMPLOYEE BENEFITS DISTRIBUTED</v>
          </cell>
        </row>
        <row r="3544">
          <cell r="A3544">
            <v>9682722</v>
          </cell>
          <cell r="B3544">
            <v>326979</v>
          </cell>
          <cell r="C3544" t="str">
            <v>EMPLOYEE BENEFITS DISTRIBUTED</v>
          </cell>
        </row>
        <row r="3545">
          <cell r="A3545">
            <v>9682999</v>
          </cell>
          <cell r="B3545">
            <v>326979</v>
          </cell>
          <cell r="C3545" t="str">
            <v>EMPLOYEE BENEFITS DISTRIBUTED</v>
          </cell>
        </row>
        <row r="3546">
          <cell r="A3546">
            <v>9683999</v>
          </cell>
          <cell r="B3546">
            <v>326979</v>
          </cell>
          <cell r="C3546" t="str">
            <v>EMPLOYEE BENEFITS DISTRIBUTED</v>
          </cell>
        </row>
        <row r="3547">
          <cell r="A3547">
            <v>9684999</v>
          </cell>
          <cell r="B3547">
            <v>326979</v>
          </cell>
          <cell r="C3547" t="str">
            <v>EMPLOYEE BENEFITS DISTRIBUTED</v>
          </cell>
        </row>
        <row r="3548">
          <cell r="A3548">
            <v>9685999</v>
          </cell>
          <cell r="B3548">
            <v>326979</v>
          </cell>
          <cell r="C3548" t="str">
            <v>EMPLOYEE BENEFITS DISTRIBUTED</v>
          </cell>
        </row>
        <row r="3549">
          <cell r="A3549">
            <v>9689692</v>
          </cell>
          <cell r="B3549">
            <v>326979</v>
          </cell>
          <cell r="C3549" t="str">
            <v>EMPLOYEE BENEFITS DISTRIBUTED</v>
          </cell>
        </row>
        <row r="3550">
          <cell r="A3550">
            <v>9689747</v>
          </cell>
          <cell r="B3550">
            <v>326979</v>
          </cell>
          <cell r="C3550" t="str">
            <v>EMPLOYEE BENEFITS DISTRIBUTED</v>
          </cell>
        </row>
        <row r="3551">
          <cell r="A3551">
            <v>9689883</v>
          </cell>
          <cell r="B3551">
            <v>326979</v>
          </cell>
          <cell r="C3551" t="str">
            <v>EMPLOYEE BENEFITS DISTRIBUTED</v>
          </cell>
        </row>
        <row r="3552">
          <cell r="A3552">
            <v>9689890</v>
          </cell>
          <cell r="B3552">
            <v>326979</v>
          </cell>
          <cell r="C3552" t="str">
            <v>EMPLOYEE BENEFITS DISTRIBUTED</v>
          </cell>
        </row>
        <row r="3553">
          <cell r="A3553">
            <v>9689904</v>
          </cell>
          <cell r="B3553">
            <v>326979</v>
          </cell>
          <cell r="C3553" t="str">
            <v>EMPLOYEE BENEFITS DISTRIBUTED</v>
          </cell>
        </row>
        <row r="3554">
          <cell r="A3554">
            <v>9689906</v>
          </cell>
          <cell r="B3554">
            <v>326979</v>
          </cell>
          <cell r="C3554" t="str">
            <v>EMPLOYEE BENEFITS DISTRIBUTED</v>
          </cell>
        </row>
        <row r="3555">
          <cell r="A3555">
            <v>9689925</v>
          </cell>
          <cell r="B3555">
            <v>326979</v>
          </cell>
          <cell r="C3555" t="str">
            <v>EMPLOYEE BENEFITS DISTRIBUTED</v>
          </cell>
        </row>
        <row r="3556">
          <cell r="A3556">
            <v>9689990</v>
          </cell>
          <cell r="B3556">
            <v>326979</v>
          </cell>
          <cell r="C3556" t="str">
            <v>EMPLOYEE BENEFITS DISTRIBUTED</v>
          </cell>
        </row>
        <row r="3557">
          <cell r="A3557">
            <v>9689991</v>
          </cell>
          <cell r="B3557">
            <v>326979</v>
          </cell>
          <cell r="C3557" t="str">
            <v>EMPLOYEE BENEFITS DISTRIBUTED</v>
          </cell>
        </row>
        <row r="3558">
          <cell r="A3558">
            <v>9689992</v>
          </cell>
          <cell r="B3558">
            <v>326979</v>
          </cell>
          <cell r="C3558" t="str">
            <v>EMPLOYEE BENEFITS DISTRIBUTED</v>
          </cell>
        </row>
        <row r="3559">
          <cell r="A3559">
            <v>9689993</v>
          </cell>
          <cell r="B3559">
            <v>326979</v>
          </cell>
          <cell r="C3559" t="str">
            <v>EMPLOYEE BENEFITS DISTRIBUTED</v>
          </cell>
        </row>
        <row r="3560">
          <cell r="A3560">
            <v>9689994</v>
          </cell>
          <cell r="B3560">
            <v>326979</v>
          </cell>
          <cell r="C3560" t="str">
            <v>EMPLOYEE BENEFITS DISTRIBUTED</v>
          </cell>
        </row>
        <row r="3561">
          <cell r="A3561">
            <v>9969681</v>
          </cell>
          <cell r="B3561">
            <v>326979</v>
          </cell>
          <cell r="C3561" t="str">
            <v>EMPLOYEE BENEFITS DISTRIBUTED</v>
          </cell>
        </row>
        <row r="3562">
          <cell r="A3562">
            <v>9969901</v>
          </cell>
          <cell r="B3562">
            <v>326979</v>
          </cell>
          <cell r="C3562" t="str">
            <v>EMPLOYEE BENEFITS DISTRIBUTED</v>
          </cell>
        </row>
        <row r="3563">
          <cell r="A3563" t="str">
            <v>ZONE-0105-POST</v>
          </cell>
          <cell r="B3563">
            <v>326979</v>
          </cell>
          <cell r="C3563" t="str">
            <v>EMPLOYEE BENEFITS DISTRIBUTED</v>
          </cell>
        </row>
        <row r="3564">
          <cell r="A3564" t="str">
            <v>ZONE-0112-POST</v>
          </cell>
          <cell r="B3564">
            <v>326979</v>
          </cell>
          <cell r="C3564" t="str">
            <v>EMPLOYEE BENEFITS DISTRIBUTED</v>
          </cell>
        </row>
        <row r="3565">
          <cell r="A3565">
            <v>8001054179</v>
          </cell>
          <cell r="B3565">
            <v>326979</v>
          </cell>
          <cell r="C3565" t="str">
            <v>EMPLOYEE BENEFITS DISTRIBUTED - PART TIME HOURS</v>
          </cell>
        </row>
        <row r="3566">
          <cell r="A3566">
            <v>8001059542</v>
          </cell>
          <cell r="B3566">
            <v>326979</v>
          </cell>
          <cell r="C3566" t="str">
            <v>EMPLOYEE BENEFITS DISTRIBUTED - PART TIME HOURS</v>
          </cell>
        </row>
        <row r="3567">
          <cell r="A3567">
            <v>8010512510</v>
          </cell>
          <cell r="B3567">
            <v>326979</v>
          </cell>
          <cell r="C3567" t="str">
            <v>EMPLOYEE BENEFITS DISTRIBUTED - PART TIME HOURS</v>
          </cell>
        </row>
        <row r="3568">
          <cell r="A3568">
            <v>9969681</v>
          </cell>
          <cell r="B3568">
            <v>326979</v>
          </cell>
          <cell r="C3568" t="str">
            <v>EMPLOYEE BENEFITS DISTRIBUTED - PART TIME HOURS</v>
          </cell>
        </row>
        <row r="3569">
          <cell r="A3569">
            <v>9969901</v>
          </cell>
          <cell r="B3569">
            <v>326979</v>
          </cell>
          <cell r="C3569" t="str">
            <v>EMPLOYEE BENEFITS DISTRIBUTED - PART TIME HOURS</v>
          </cell>
        </row>
        <row r="3570">
          <cell r="A3570" t="str">
            <v>ZONE-0105-POST</v>
          </cell>
          <cell r="B3570">
            <v>326979</v>
          </cell>
          <cell r="C3570" t="str">
            <v>EMPLOYEE BENEFITS DISTRIBUTED - PART TIME HOURS</v>
          </cell>
        </row>
        <row r="3571">
          <cell r="A3571" t="str">
            <v>ZONE-0112-POST</v>
          </cell>
          <cell r="B3571">
            <v>326979</v>
          </cell>
          <cell r="C3571" t="str">
            <v>EMPLOYEE BENEFITS DISTRIBUTED - PART TIME HOURS</v>
          </cell>
        </row>
        <row r="3572">
          <cell r="A3572">
            <v>8001054179</v>
          </cell>
          <cell r="B3572">
            <v>326979</v>
          </cell>
          <cell r="C3572" t="str">
            <v>EMPLOYEE BENEFITS DISTRIBUTED - PROJECT HOURS</v>
          </cell>
        </row>
        <row r="3573">
          <cell r="A3573">
            <v>8001059542</v>
          </cell>
          <cell r="B3573">
            <v>326979</v>
          </cell>
          <cell r="C3573" t="str">
            <v>EMPLOYEE BENEFITS DISTRIBUTED - PROJECT HOURS</v>
          </cell>
        </row>
        <row r="3574">
          <cell r="A3574">
            <v>8010512510</v>
          </cell>
          <cell r="B3574">
            <v>326979</v>
          </cell>
          <cell r="C3574" t="str">
            <v>EMPLOYEE BENEFITS DISTRIBUTED - PROJECT HOURS</v>
          </cell>
        </row>
        <row r="3575">
          <cell r="A3575">
            <v>9969681</v>
          </cell>
          <cell r="B3575">
            <v>326979</v>
          </cell>
          <cell r="C3575" t="str">
            <v>EMPLOYEE BENEFITS DISTRIBUTED - PROJECT HOURS</v>
          </cell>
        </row>
        <row r="3576">
          <cell r="A3576">
            <v>9969901</v>
          </cell>
          <cell r="B3576">
            <v>326979</v>
          </cell>
          <cell r="C3576" t="str">
            <v>EMPLOYEE BENEFITS DISTRIBUTED - PROJECT HOURS</v>
          </cell>
        </row>
        <row r="3577">
          <cell r="A3577" t="str">
            <v>ZONE-0105-POST</v>
          </cell>
          <cell r="B3577">
            <v>326979</v>
          </cell>
          <cell r="C3577" t="str">
            <v>EMPLOYEE BENEFITS DISTRIBUTED - PROJECT HOURS</v>
          </cell>
        </row>
        <row r="3578">
          <cell r="A3578" t="str">
            <v>ZONE-0112-POST</v>
          </cell>
          <cell r="B3578">
            <v>326979</v>
          </cell>
          <cell r="C3578" t="str">
            <v>EMPLOYEE BENEFITS DISTRIBUTED - PROJECT HOURS</v>
          </cell>
        </row>
        <row r="3579">
          <cell r="A3579">
            <v>8001054179</v>
          </cell>
          <cell r="B3579">
            <v>326979</v>
          </cell>
          <cell r="C3579" t="str">
            <v>EMPLOYEE BENEFITS DISTRIBUTED - PREMIUM A</v>
          </cell>
        </row>
        <row r="3580">
          <cell r="A3580">
            <v>8001059542</v>
          </cell>
          <cell r="B3580">
            <v>326979</v>
          </cell>
          <cell r="C3580" t="str">
            <v>EMPLOYEE BENEFITS DISTRIBUTED - PREMIUM A</v>
          </cell>
        </row>
        <row r="3581">
          <cell r="A3581">
            <v>8010512510</v>
          </cell>
          <cell r="B3581">
            <v>326979</v>
          </cell>
          <cell r="C3581" t="str">
            <v>EMPLOYEE BENEFITS DISTRIBUTED - PREMIUM A</v>
          </cell>
        </row>
        <row r="3582">
          <cell r="A3582">
            <v>9969681</v>
          </cell>
          <cell r="B3582">
            <v>326979</v>
          </cell>
          <cell r="C3582" t="str">
            <v>EMPLOYEE BENEFITS DISTRIBUTED - PREMIUM A</v>
          </cell>
        </row>
        <row r="3583">
          <cell r="A3583">
            <v>9969901</v>
          </cell>
          <cell r="B3583">
            <v>326979</v>
          </cell>
          <cell r="C3583" t="str">
            <v>EMPLOYEE BENEFITS DISTRIBUTED - PREMIUM A</v>
          </cell>
        </row>
        <row r="3584">
          <cell r="A3584" t="str">
            <v>ZONE-0105-POST</v>
          </cell>
          <cell r="B3584">
            <v>326979</v>
          </cell>
          <cell r="C3584" t="str">
            <v>EMPLOYEE BENEFITS DISTRIBUTED - PREMIUM A</v>
          </cell>
        </row>
        <row r="3585">
          <cell r="A3585" t="str">
            <v>ZONE-0112-POST</v>
          </cell>
          <cell r="B3585">
            <v>326979</v>
          </cell>
          <cell r="C3585" t="str">
            <v>EMPLOYEE BENEFITS DISTRIBUTED - PREMIUM A</v>
          </cell>
        </row>
        <row r="3586">
          <cell r="A3586">
            <v>8001054179</v>
          </cell>
          <cell r="B3586">
            <v>326979</v>
          </cell>
          <cell r="C3586" t="str">
            <v>EMPLOYEE BENEFITS DISTRIBUTED - PREMIUM B</v>
          </cell>
        </row>
        <row r="3587">
          <cell r="A3587">
            <v>8001059542</v>
          </cell>
          <cell r="B3587">
            <v>326979</v>
          </cell>
          <cell r="C3587" t="str">
            <v>EMPLOYEE BENEFITS DISTRIBUTED - PREMIUM B</v>
          </cell>
        </row>
        <row r="3588">
          <cell r="A3588">
            <v>8010512510</v>
          </cell>
          <cell r="B3588">
            <v>326979</v>
          </cell>
          <cell r="C3588" t="str">
            <v>EMPLOYEE BENEFITS DISTRIBUTED - PREMIUM B</v>
          </cell>
        </row>
        <row r="3589">
          <cell r="A3589">
            <v>9969681</v>
          </cell>
          <cell r="B3589">
            <v>326979</v>
          </cell>
          <cell r="C3589" t="str">
            <v>EMPLOYEE BENEFITS DISTRIBUTED - PREMIUM B</v>
          </cell>
        </row>
        <row r="3590">
          <cell r="A3590">
            <v>9969901</v>
          </cell>
          <cell r="B3590">
            <v>326979</v>
          </cell>
          <cell r="C3590" t="str">
            <v>EMPLOYEE BENEFITS DISTRIBUTED - PREMIUM B</v>
          </cell>
        </row>
        <row r="3591">
          <cell r="A3591" t="str">
            <v>ZONE-0105-POST</v>
          </cell>
          <cell r="B3591">
            <v>326979</v>
          </cell>
          <cell r="C3591" t="str">
            <v>EMPLOYEE BENEFITS DISTRIBUTED - PREMIUM B</v>
          </cell>
        </row>
        <row r="3592">
          <cell r="A3592" t="str">
            <v>ZONE-0112-POST</v>
          </cell>
          <cell r="B3592">
            <v>326979</v>
          </cell>
          <cell r="C3592" t="str">
            <v>EMPLOYEE BENEFITS DISTRIBUTED - PREMIUM B</v>
          </cell>
        </row>
        <row r="3593">
          <cell r="A3593">
            <v>9080700</v>
          </cell>
          <cell r="B3593">
            <v>331308</v>
          </cell>
          <cell r="C3593" t="str">
            <v>CPS MANAGEMENT FEES</v>
          </cell>
        </row>
        <row r="3594">
          <cell r="A3594">
            <v>9080701</v>
          </cell>
          <cell r="B3594">
            <v>331308</v>
          </cell>
          <cell r="C3594" t="str">
            <v>CPS MANAGEMENT FEES</v>
          </cell>
        </row>
        <row r="3595">
          <cell r="A3595">
            <v>9080702</v>
          </cell>
          <cell r="B3595">
            <v>331308</v>
          </cell>
          <cell r="C3595" t="str">
            <v>CPS MANAGEMENT FEES</v>
          </cell>
        </row>
        <row r="3596">
          <cell r="A3596">
            <v>9080705</v>
          </cell>
          <cell r="B3596">
            <v>331308</v>
          </cell>
          <cell r="C3596" t="str">
            <v>CPS MANAGEMENT FEES</v>
          </cell>
        </row>
        <row r="3597">
          <cell r="A3597">
            <v>9080707</v>
          </cell>
          <cell r="B3597">
            <v>331308</v>
          </cell>
          <cell r="C3597" t="str">
            <v>CPS MANAGEMENT FEES</v>
          </cell>
        </row>
        <row r="3598">
          <cell r="A3598">
            <v>9080710</v>
          </cell>
          <cell r="B3598">
            <v>331308</v>
          </cell>
          <cell r="C3598" t="str">
            <v>CPS MANAGEMENT FEES</v>
          </cell>
        </row>
        <row r="3599">
          <cell r="A3599">
            <v>9090999</v>
          </cell>
          <cell r="B3599">
            <v>331308</v>
          </cell>
          <cell r="C3599" t="str">
            <v>CPS MANAGEMENT FEES</v>
          </cell>
        </row>
        <row r="3600">
          <cell r="A3600">
            <v>9100999</v>
          </cell>
          <cell r="B3600">
            <v>331308</v>
          </cell>
          <cell r="C3600" t="str">
            <v>CPS MANAGEMENT FEES</v>
          </cell>
        </row>
        <row r="3601">
          <cell r="A3601">
            <v>9110700</v>
          </cell>
          <cell r="B3601">
            <v>331308</v>
          </cell>
          <cell r="C3601" t="str">
            <v>CPS MANAGEMENT FEES</v>
          </cell>
        </row>
        <row r="3602">
          <cell r="A3602">
            <v>9110702</v>
          </cell>
          <cell r="B3602">
            <v>331308</v>
          </cell>
          <cell r="C3602" t="str">
            <v>CPS MANAGEMENT FEES</v>
          </cell>
        </row>
        <row r="3603">
          <cell r="A3603">
            <v>9110705</v>
          </cell>
          <cell r="B3603">
            <v>331308</v>
          </cell>
          <cell r="C3603" t="str">
            <v>CPS MANAGEMENT FEES</v>
          </cell>
        </row>
        <row r="3604">
          <cell r="A3604">
            <v>9110707</v>
          </cell>
          <cell r="B3604">
            <v>331308</v>
          </cell>
          <cell r="C3604" t="str">
            <v>CPS MANAGEMENT FEES</v>
          </cell>
        </row>
        <row r="3605">
          <cell r="A3605">
            <v>9680700</v>
          </cell>
          <cell r="B3605">
            <v>331308</v>
          </cell>
          <cell r="C3605" t="str">
            <v>CPS MANAGEMENT FEES</v>
          </cell>
        </row>
        <row r="3606">
          <cell r="A3606">
            <v>9680701</v>
          </cell>
          <cell r="B3606">
            <v>331308</v>
          </cell>
          <cell r="C3606" t="str">
            <v>CPS MANAGEMENT FEES</v>
          </cell>
        </row>
        <row r="3607">
          <cell r="A3607">
            <v>9680702</v>
          </cell>
          <cell r="B3607">
            <v>331308</v>
          </cell>
          <cell r="C3607" t="str">
            <v>CPS MANAGEMENT FEES</v>
          </cell>
        </row>
        <row r="3608">
          <cell r="A3608">
            <v>9680705</v>
          </cell>
          <cell r="B3608">
            <v>331308</v>
          </cell>
          <cell r="C3608" t="str">
            <v>CPS MANAGEMENT FEES</v>
          </cell>
        </row>
        <row r="3609">
          <cell r="A3609">
            <v>9680707</v>
          </cell>
          <cell r="B3609">
            <v>331308</v>
          </cell>
          <cell r="C3609" t="str">
            <v>CPS MANAGEMENT FEES</v>
          </cell>
        </row>
        <row r="3610">
          <cell r="A3610">
            <v>9680710</v>
          </cell>
          <cell r="B3610">
            <v>331308</v>
          </cell>
          <cell r="C3610" t="str">
            <v>CPS MANAGEMENT FEES</v>
          </cell>
        </row>
        <row r="3611">
          <cell r="A3611">
            <v>9680712</v>
          </cell>
          <cell r="B3611">
            <v>331308</v>
          </cell>
          <cell r="C3611" t="str">
            <v>CPS MANAGEMENT FEES</v>
          </cell>
        </row>
        <row r="3612">
          <cell r="A3612">
            <v>9680714</v>
          </cell>
          <cell r="B3612">
            <v>331308</v>
          </cell>
          <cell r="C3612" t="str">
            <v>CPS MANAGEMENT FEES</v>
          </cell>
        </row>
        <row r="3613">
          <cell r="A3613">
            <v>9680734</v>
          </cell>
          <cell r="B3613">
            <v>331308</v>
          </cell>
          <cell r="C3613" t="str">
            <v>CPS MANAGEMENT FEES</v>
          </cell>
        </row>
        <row r="3614">
          <cell r="A3614">
            <v>9680748</v>
          </cell>
          <cell r="B3614">
            <v>331308</v>
          </cell>
          <cell r="C3614" t="str">
            <v>CPS MANAGEMENT FEES</v>
          </cell>
        </row>
        <row r="3615">
          <cell r="A3615">
            <v>9680749</v>
          </cell>
          <cell r="B3615">
            <v>331308</v>
          </cell>
          <cell r="C3615" t="str">
            <v>CPS MANAGEMENT FEES</v>
          </cell>
        </row>
        <row r="3616">
          <cell r="A3616">
            <v>9680894</v>
          </cell>
          <cell r="B3616">
            <v>331308</v>
          </cell>
          <cell r="C3616" t="str">
            <v>CPS MANAGEMENT FEES</v>
          </cell>
        </row>
        <row r="3617">
          <cell r="A3617">
            <v>9680999</v>
          </cell>
          <cell r="B3617">
            <v>331308</v>
          </cell>
          <cell r="C3617" t="str">
            <v>CPS MANAGEMENT FEES</v>
          </cell>
        </row>
        <row r="3618">
          <cell r="A3618">
            <v>9681700</v>
          </cell>
          <cell r="B3618">
            <v>331308</v>
          </cell>
          <cell r="C3618" t="str">
            <v>CPS MANAGEMENT FEES</v>
          </cell>
        </row>
        <row r="3619">
          <cell r="A3619">
            <v>9681701</v>
          </cell>
          <cell r="B3619">
            <v>331308</v>
          </cell>
          <cell r="C3619" t="str">
            <v>CPS MANAGEMENT FEES</v>
          </cell>
        </row>
        <row r="3620">
          <cell r="A3620">
            <v>9681702</v>
          </cell>
          <cell r="B3620">
            <v>331308</v>
          </cell>
          <cell r="C3620" t="str">
            <v>CPS MANAGEMENT FEES</v>
          </cell>
        </row>
        <row r="3621">
          <cell r="A3621">
            <v>9681705</v>
          </cell>
          <cell r="B3621">
            <v>331308</v>
          </cell>
          <cell r="C3621" t="str">
            <v>CPS MANAGEMENT FEES</v>
          </cell>
        </row>
        <row r="3622">
          <cell r="A3622">
            <v>9681706</v>
          </cell>
          <cell r="B3622">
            <v>331308</v>
          </cell>
          <cell r="C3622" t="str">
            <v>CPS MANAGEMENT FEES</v>
          </cell>
        </row>
        <row r="3623">
          <cell r="A3623">
            <v>9681707</v>
          </cell>
          <cell r="B3623">
            <v>331308</v>
          </cell>
          <cell r="C3623" t="str">
            <v>CPS MANAGEMENT FEES</v>
          </cell>
        </row>
        <row r="3624">
          <cell r="A3624">
            <v>9681710</v>
          </cell>
          <cell r="B3624">
            <v>331308</v>
          </cell>
          <cell r="C3624" t="str">
            <v>CPS MANAGEMENT FEES</v>
          </cell>
        </row>
        <row r="3625">
          <cell r="A3625">
            <v>9681712</v>
          </cell>
          <cell r="B3625">
            <v>331308</v>
          </cell>
          <cell r="C3625" t="str">
            <v>CPS MANAGEMENT FEES</v>
          </cell>
        </row>
        <row r="3626">
          <cell r="A3626">
            <v>9681727</v>
          </cell>
          <cell r="B3626">
            <v>331308</v>
          </cell>
          <cell r="C3626" t="str">
            <v>CPS MANAGEMENT FEES</v>
          </cell>
        </row>
        <row r="3627">
          <cell r="A3627">
            <v>9681734</v>
          </cell>
          <cell r="B3627">
            <v>331308</v>
          </cell>
          <cell r="C3627" t="str">
            <v>CPS MANAGEMENT FEES</v>
          </cell>
        </row>
        <row r="3628">
          <cell r="A3628">
            <v>9681748</v>
          </cell>
          <cell r="B3628">
            <v>331308</v>
          </cell>
          <cell r="C3628" t="str">
            <v>CPS MANAGEMENT FEES</v>
          </cell>
        </row>
        <row r="3629">
          <cell r="A3629">
            <v>9681749</v>
          </cell>
          <cell r="B3629">
            <v>331308</v>
          </cell>
          <cell r="C3629" t="str">
            <v>CPS MANAGEMENT FEES</v>
          </cell>
        </row>
        <row r="3630">
          <cell r="A3630">
            <v>9681894</v>
          </cell>
          <cell r="B3630">
            <v>331308</v>
          </cell>
          <cell r="C3630" t="str">
            <v>CPS MANAGEMENT FEES</v>
          </cell>
        </row>
        <row r="3631">
          <cell r="A3631">
            <v>9681999</v>
          </cell>
          <cell r="B3631">
            <v>331308</v>
          </cell>
          <cell r="C3631" t="str">
            <v>CPS MANAGEMENT FEES</v>
          </cell>
        </row>
        <row r="3632">
          <cell r="A3632">
            <v>9682715</v>
          </cell>
          <cell r="B3632">
            <v>331308</v>
          </cell>
          <cell r="C3632" t="str">
            <v>CPS MANAGEMENT FEES</v>
          </cell>
        </row>
        <row r="3633">
          <cell r="A3633">
            <v>9682722</v>
          </cell>
          <cell r="B3633">
            <v>331308</v>
          </cell>
          <cell r="C3633" t="str">
            <v>CPS MANAGEMENT FEES</v>
          </cell>
        </row>
        <row r="3634">
          <cell r="A3634">
            <v>9682999</v>
          </cell>
          <cell r="B3634">
            <v>331308</v>
          </cell>
          <cell r="C3634" t="str">
            <v>CPS MANAGEMENT FEES</v>
          </cell>
        </row>
        <row r="3635">
          <cell r="A3635">
            <v>9683999</v>
          </cell>
          <cell r="B3635">
            <v>331308</v>
          </cell>
          <cell r="C3635" t="str">
            <v>CPS MANAGEMENT FEES</v>
          </cell>
        </row>
        <row r="3636">
          <cell r="A3636">
            <v>9684999</v>
          </cell>
          <cell r="B3636">
            <v>331308</v>
          </cell>
          <cell r="C3636" t="str">
            <v>CPS MANAGEMENT FEES</v>
          </cell>
        </row>
        <row r="3637">
          <cell r="A3637">
            <v>9080700</v>
          </cell>
          <cell r="B3637">
            <v>331539</v>
          </cell>
          <cell r="C3637" t="str">
            <v>BOOKS AND PAMPHLETS</v>
          </cell>
        </row>
        <row r="3638">
          <cell r="A3638">
            <v>9080701</v>
          </cell>
          <cell r="B3638">
            <v>331539</v>
          </cell>
          <cell r="C3638" t="str">
            <v>BOOKS AND PAMPHLETS</v>
          </cell>
        </row>
        <row r="3639">
          <cell r="A3639">
            <v>9080702</v>
          </cell>
          <cell r="B3639">
            <v>331539</v>
          </cell>
          <cell r="C3639" t="str">
            <v>BOOKS AND PAMPHLETS</v>
          </cell>
        </row>
        <row r="3640">
          <cell r="A3640">
            <v>9080705</v>
          </cell>
          <cell r="B3640">
            <v>331539</v>
          </cell>
          <cell r="C3640" t="str">
            <v>BOOKS AND PAMPHLETS</v>
          </cell>
        </row>
        <row r="3641">
          <cell r="A3641">
            <v>9080707</v>
          </cell>
          <cell r="B3641">
            <v>331539</v>
          </cell>
          <cell r="C3641" t="str">
            <v>BOOKS AND PAMPHLETS</v>
          </cell>
        </row>
        <row r="3642">
          <cell r="A3642">
            <v>9080710</v>
          </cell>
          <cell r="B3642">
            <v>331539</v>
          </cell>
          <cell r="C3642" t="str">
            <v>BOOKS AND PAMPHLETS</v>
          </cell>
        </row>
        <row r="3643">
          <cell r="A3643">
            <v>9080999</v>
          </cell>
          <cell r="B3643">
            <v>331539</v>
          </cell>
          <cell r="C3643" t="str">
            <v>BOOKS AND PAMPHLETS</v>
          </cell>
        </row>
        <row r="3644">
          <cell r="A3644">
            <v>9090999</v>
          </cell>
          <cell r="B3644">
            <v>331539</v>
          </cell>
          <cell r="C3644" t="str">
            <v>BOOKS AND PAMPHLETS</v>
          </cell>
        </row>
        <row r="3645">
          <cell r="A3645">
            <v>9100999</v>
          </cell>
          <cell r="B3645">
            <v>331539</v>
          </cell>
          <cell r="C3645" t="str">
            <v>BOOKS AND PAMPHLETS</v>
          </cell>
        </row>
        <row r="3646">
          <cell r="A3646">
            <v>9110700</v>
          </cell>
          <cell r="B3646">
            <v>331539</v>
          </cell>
          <cell r="C3646" t="str">
            <v>BOOKS AND PAMPHLETS</v>
          </cell>
        </row>
        <row r="3647">
          <cell r="A3647">
            <v>9110702</v>
          </cell>
          <cell r="B3647">
            <v>331539</v>
          </cell>
          <cell r="C3647" t="str">
            <v>BOOKS AND PAMPHLETS</v>
          </cell>
        </row>
        <row r="3648">
          <cell r="A3648">
            <v>9110705</v>
          </cell>
          <cell r="B3648">
            <v>331539</v>
          </cell>
          <cell r="C3648" t="str">
            <v>BOOKS AND PAMPHLETS</v>
          </cell>
        </row>
        <row r="3649">
          <cell r="A3649">
            <v>9110707</v>
          </cell>
          <cell r="B3649">
            <v>331539</v>
          </cell>
          <cell r="C3649" t="str">
            <v>BOOKS AND PAMPHLETS</v>
          </cell>
        </row>
        <row r="3650">
          <cell r="A3650">
            <v>9110999</v>
          </cell>
          <cell r="B3650">
            <v>331539</v>
          </cell>
          <cell r="C3650" t="str">
            <v>BOOKS AND PAMPHLETS</v>
          </cell>
        </row>
        <row r="3651">
          <cell r="A3651">
            <v>9680700</v>
          </cell>
          <cell r="B3651">
            <v>331539</v>
          </cell>
          <cell r="C3651" t="str">
            <v>BOOKS AND PAMPHLETS</v>
          </cell>
        </row>
        <row r="3652">
          <cell r="A3652">
            <v>9680701</v>
          </cell>
          <cell r="B3652">
            <v>331539</v>
          </cell>
          <cell r="C3652" t="str">
            <v>BOOKS AND PAMPHLETS</v>
          </cell>
        </row>
        <row r="3653">
          <cell r="A3653">
            <v>9680702</v>
          </cell>
          <cell r="B3653">
            <v>331539</v>
          </cell>
          <cell r="C3653" t="str">
            <v>BOOKS AND PAMPHLETS</v>
          </cell>
        </row>
        <row r="3654">
          <cell r="A3654">
            <v>9680705</v>
          </cell>
          <cell r="B3654">
            <v>331539</v>
          </cell>
          <cell r="C3654" t="str">
            <v>BOOKS AND PAMPHLETS</v>
          </cell>
        </row>
        <row r="3655">
          <cell r="A3655">
            <v>9680707</v>
          </cell>
          <cell r="B3655">
            <v>331539</v>
          </cell>
          <cell r="C3655" t="str">
            <v>BOOKS AND PAMPHLETS</v>
          </cell>
        </row>
        <row r="3656">
          <cell r="A3656">
            <v>9680710</v>
          </cell>
          <cell r="B3656">
            <v>331539</v>
          </cell>
          <cell r="C3656" t="str">
            <v>BOOKS AND PAMPHLETS</v>
          </cell>
        </row>
        <row r="3657">
          <cell r="A3657">
            <v>9680712</v>
          </cell>
          <cell r="B3657">
            <v>331539</v>
          </cell>
          <cell r="C3657" t="str">
            <v>BOOKS AND PAMPHLETS</v>
          </cell>
        </row>
        <row r="3658">
          <cell r="A3658">
            <v>9680714</v>
          </cell>
          <cell r="B3658">
            <v>331539</v>
          </cell>
          <cell r="C3658" t="str">
            <v>BOOKS AND PAMPHLETS</v>
          </cell>
        </row>
        <row r="3659">
          <cell r="A3659">
            <v>9680734</v>
          </cell>
          <cell r="B3659">
            <v>331539</v>
          </cell>
          <cell r="C3659" t="str">
            <v>BOOKS AND PAMPHLETS</v>
          </cell>
        </row>
        <row r="3660">
          <cell r="A3660">
            <v>9680748</v>
          </cell>
          <cell r="B3660">
            <v>331539</v>
          </cell>
          <cell r="C3660" t="str">
            <v>BOOKS AND PAMPHLETS</v>
          </cell>
        </row>
        <row r="3661">
          <cell r="A3661">
            <v>9680749</v>
          </cell>
          <cell r="B3661">
            <v>331539</v>
          </cell>
          <cell r="C3661" t="str">
            <v>BOOKS AND PAMPHLETS</v>
          </cell>
        </row>
        <row r="3662">
          <cell r="A3662">
            <v>9680894</v>
          </cell>
          <cell r="B3662">
            <v>331539</v>
          </cell>
          <cell r="C3662" t="str">
            <v>BOOKS AND PAMPHLETS</v>
          </cell>
        </row>
        <row r="3663">
          <cell r="A3663">
            <v>9680999</v>
          </cell>
          <cell r="B3663">
            <v>331539</v>
          </cell>
          <cell r="C3663" t="str">
            <v>BOOKS AND PAMPHLETS</v>
          </cell>
        </row>
        <row r="3664">
          <cell r="A3664">
            <v>9681700</v>
          </cell>
          <cell r="B3664">
            <v>331539</v>
          </cell>
          <cell r="C3664" t="str">
            <v>BOOKS AND PAMPHLETS</v>
          </cell>
        </row>
        <row r="3665">
          <cell r="A3665">
            <v>9681701</v>
          </cell>
          <cell r="B3665">
            <v>331539</v>
          </cell>
          <cell r="C3665" t="str">
            <v>BOOKS AND PAMPHLETS</v>
          </cell>
        </row>
        <row r="3666">
          <cell r="A3666">
            <v>9681702</v>
          </cell>
          <cell r="B3666">
            <v>331539</v>
          </cell>
          <cell r="C3666" t="str">
            <v>BOOKS AND PAMPHLETS</v>
          </cell>
        </row>
        <row r="3667">
          <cell r="A3667">
            <v>9681705</v>
          </cell>
          <cell r="B3667">
            <v>331539</v>
          </cell>
          <cell r="C3667" t="str">
            <v>BOOKS AND PAMPHLETS</v>
          </cell>
        </row>
        <row r="3668">
          <cell r="A3668">
            <v>9681706</v>
          </cell>
          <cell r="B3668">
            <v>331539</v>
          </cell>
          <cell r="C3668" t="str">
            <v>BOOKS AND PAMPHLETS</v>
          </cell>
        </row>
        <row r="3669">
          <cell r="A3669">
            <v>9681707</v>
          </cell>
          <cell r="B3669">
            <v>331539</v>
          </cell>
          <cell r="C3669" t="str">
            <v>BOOKS AND PAMPHLETS</v>
          </cell>
        </row>
        <row r="3670">
          <cell r="A3670">
            <v>9681710</v>
          </cell>
          <cell r="B3670">
            <v>331539</v>
          </cell>
          <cell r="C3670" t="str">
            <v>BOOKS AND PAMPHLETS</v>
          </cell>
        </row>
        <row r="3671">
          <cell r="A3671">
            <v>9681712</v>
          </cell>
          <cell r="B3671">
            <v>331539</v>
          </cell>
          <cell r="C3671" t="str">
            <v>BOOKS AND PAMPHLETS</v>
          </cell>
        </row>
        <row r="3672">
          <cell r="A3672">
            <v>9681727</v>
          </cell>
          <cell r="B3672">
            <v>331539</v>
          </cell>
          <cell r="C3672" t="str">
            <v>BOOKS AND PAMPHLETS</v>
          </cell>
        </row>
        <row r="3673">
          <cell r="A3673">
            <v>9681734</v>
          </cell>
          <cell r="B3673">
            <v>331539</v>
          </cell>
          <cell r="C3673" t="str">
            <v>BOOKS AND PAMPHLETS</v>
          </cell>
        </row>
        <row r="3674">
          <cell r="A3674">
            <v>9681748</v>
          </cell>
          <cell r="B3674">
            <v>331539</v>
          </cell>
          <cell r="C3674" t="str">
            <v>BOOKS AND PAMPHLETS</v>
          </cell>
        </row>
        <row r="3675">
          <cell r="A3675">
            <v>9681749</v>
          </cell>
          <cell r="B3675">
            <v>331539</v>
          </cell>
          <cell r="C3675" t="str">
            <v>BOOKS AND PAMPHLETS</v>
          </cell>
        </row>
        <row r="3676">
          <cell r="A3676">
            <v>9681894</v>
          </cell>
          <cell r="B3676">
            <v>331539</v>
          </cell>
          <cell r="C3676" t="str">
            <v>BOOKS AND PAMPHLETS</v>
          </cell>
        </row>
        <row r="3677">
          <cell r="A3677">
            <v>9681999</v>
          </cell>
          <cell r="B3677">
            <v>331539</v>
          </cell>
          <cell r="C3677" t="str">
            <v>BOOKS AND PAMPHLETS</v>
          </cell>
        </row>
        <row r="3678">
          <cell r="A3678">
            <v>9682715</v>
          </cell>
          <cell r="B3678">
            <v>331539</v>
          </cell>
          <cell r="C3678" t="str">
            <v>BOOKS AND PAMPHLETS</v>
          </cell>
        </row>
        <row r="3679">
          <cell r="A3679">
            <v>9682722</v>
          </cell>
          <cell r="B3679">
            <v>331539</v>
          </cell>
          <cell r="C3679" t="str">
            <v>BOOKS AND PAMPHLETS</v>
          </cell>
        </row>
        <row r="3680">
          <cell r="A3680">
            <v>9682999</v>
          </cell>
          <cell r="B3680">
            <v>331539</v>
          </cell>
          <cell r="C3680" t="str">
            <v>BOOKS AND PAMPHLETS</v>
          </cell>
        </row>
        <row r="3681">
          <cell r="A3681">
            <v>9683999</v>
          </cell>
          <cell r="B3681">
            <v>331539</v>
          </cell>
          <cell r="C3681" t="str">
            <v>BOOKS AND PAMPHLETS</v>
          </cell>
        </row>
        <row r="3682">
          <cell r="A3682">
            <v>9684999</v>
          </cell>
          <cell r="B3682">
            <v>331539</v>
          </cell>
          <cell r="C3682" t="str">
            <v>BOOKS AND PAMPHLETS</v>
          </cell>
        </row>
        <row r="3683">
          <cell r="A3683">
            <v>9689692</v>
          </cell>
          <cell r="B3683">
            <v>331539</v>
          </cell>
          <cell r="C3683" t="str">
            <v>BOOKS AND PAMPHLETS</v>
          </cell>
        </row>
        <row r="3684">
          <cell r="A3684">
            <v>9689747</v>
          </cell>
          <cell r="B3684">
            <v>331539</v>
          </cell>
          <cell r="C3684" t="str">
            <v>BOOKS AND PAMPHLETS</v>
          </cell>
        </row>
        <row r="3685">
          <cell r="A3685">
            <v>9689883</v>
          </cell>
          <cell r="B3685">
            <v>331539</v>
          </cell>
          <cell r="C3685" t="str">
            <v>BOOKS AND PAMPHLETS</v>
          </cell>
        </row>
        <row r="3686">
          <cell r="A3686">
            <v>9689890</v>
          </cell>
          <cell r="B3686">
            <v>331539</v>
          </cell>
          <cell r="C3686" t="str">
            <v>BOOKS AND PAMPHLETS</v>
          </cell>
        </row>
        <row r="3687">
          <cell r="A3687">
            <v>9689925</v>
          </cell>
          <cell r="B3687">
            <v>331539</v>
          </cell>
          <cell r="C3687" t="str">
            <v>BOOKS AND PAMPHLETS</v>
          </cell>
        </row>
        <row r="3688">
          <cell r="A3688">
            <v>9689990</v>
          </cell>
          <cell r="B3688">
            <v>331539</v>
          </cell>
          <cell r="C3688" t="str">
            <v>BOOKS AND PAMPHLETS</v>
          </cell>
        </row>
        <row r="3689">
          <cell r="A3689">
            <v>9689992</v>
          </cell>
          <cell r="B3689">
            <v>331539</v>
          </cell>
          <cell r="C3689" t="str">
            <v>BOOKS AND PAMPHLETS</v>
          </cell>
        </row>
        <row r="3690">
          <cell r="A3690">
            <v>9689993</v>
          </cell>
          <cell r="B3690">
            <v>331539</v>
          </cell>
          <cell r="C3690" t="str">
            <v>BOOKS AND PAMPHLETS</v>
          </cell>
        </row>
        <row r="3691">
          <cell r="A3691">
            <v>9689994</v>
          </cell>
          <cell r="B3691">
            <v>331539</v>
          </cell>
          <cell r="C3691" t="str">
            <v>BOOKS AND PAMPHLETS</v>
          </cell>
        </row>
        <row r="3692">
          <cell r="A3692">
            <v>9090999</v>
          </cell>
          <cell r="B3692">
            <v>331552</v>
          </cell>
          <cell r="C3692" t="str">
            <v>SUPPLIES - TONER/MAINTN KITS</v>
          </cell>
        </row>
        <row r="3693">
          <cell r="A3693">
            <v>9100999</v>
          </cell>
          <cell r="B3693">
            <v>331552</v>
          </cell>
          <cell r="C3693" t="str">
            <v>SUPPLIES - TONER/MAINTN KITS</v>
          </cell>
        </row>
        <row r="3694">
          <cell r="A3694">
            <v>9680999</v>
          </cell>
          <cell r="B3694">
            <v>331552</v>
          </cell>
          <cell r="C3694" t="str">
            <v>SUPPLIES - TONER/MAINTN KITS</v>
          </cell>
        </row>
        <row r="3695">
          <cell r="A3695">
            <v>9681999</v>
          </cell>
          <cell r="B3695">
            <v>331552</v>
          </cell>
          <cell r="C3695" t="str">
            <v>SUPPLIES - TONER/MAINTN KITS</v>
          </cell>
        </row>
        <row r="3696">
          <cell r="A3696">
            <v>9689883</v>
          </cell>
          <cell r="B3696">
            <v>331552</v>
          </cell>
          <cell r="C3696" t="str">
            <v>SUPPLIES - TONER/MAINTN KITS</v>
          </cell>
        </row>
        <row r="3697">
          <cell r="A3697">
            <v>9689992</v>
          </cell>
          <cell r="B3697">
            <v>331552</v>
          </cell>
          <cell r="C3697" t="str">
            <v>SUPPLIES - TONER/MAINTN KITS</v>
          </cell>
        </row>
        <row r="3698">
          <cell r="A3698">
            <v>9080700</v>
          </cell>
          <cell r="B3698">
            <v>331555</v>
          </cell>
          <cell r="C3698" t="str">
            <v>STATIONERY,PRINTED FORMS &amp; GEN</v>
          </cell>
        </row>
        <row r="3699">
          <cell r="A3699">
            <v>9080701</v>
          </cell>
          <cell r="B3699">
            <v>331555</v>
          </cell>
          <cell r="C3699" t="str">
            <v>STATIONERY,PRINTED FORMS &amp; GEN</v>
          </cell>
        </row>
        <row r="3700">
          <cell r="A3700">
            <v>9080702</v>
          </cell>
          <cell r="B3700">
            <v>331555</v>
          </cell>
          <cell r="C3700" t="str">
            <v>STATIONERY,PRINTED FORMS &amp; GEN</v>
          </cell>
        </row>
        <row r="3701">
          <cell r="A3701">
            <v>9080705</v>
          </cell>
          <cell r="B3701">
            <v>331555</v>
          </cell>
          <cell r="C3701" t="str">
            <v>STATIONERY,PRINTED FORMS &amp; GEN</v>
          </cell>
        </row>
        <row r="3702">
          <cell r="A3702">
            <v>9080707</v>
          </cell>
          <cell r="B3702">
            <v>331555</v>
          </cell>
          <cell r="C3702" t="str">
            <v>STATIONERY,PRINTED FORMS &amp; GEN</v>
          </cell>
        </row>
        <row r="3703">
          <cell r="A3703">
            <v>9080710</v>
          </cell>
          <cell r="B3703">
            <v>331555</v>
          </cell>
          <cell r="C3703" t="str">
            <v>STATIONERY,PRINTED FORMS &amp; GEN</v>
          </cell>
        </row>
        <row r="3704">
          <cell r="A3704">
            <v>9080999</v>
          </cell>
          <cell r="B3704">
            <v>331555</v>
          </cell>
          <cell r="C3704" t="str">
            <v>STATIONERY,PRINTED FORMS &amp; GEN</v>
          </cell>
        </row>
        <row r="3705">
          <cell r="A3705">
            <v>9090999</v>
          </cell>
          <cell r="B3705">
            <v>331555</v>
          </cell>
          <cell r="C3705" t="str">
            <v>STATIONERY,PRINTED FORMS &amp; GEN</v>
          </cell>
        </row>
        <row r="3706">
          <cell r="A3706">
            <v>9100999</v>
          </cell>
          <cell r="B3706">
            <v>331555</v>
          </cell>
          <cell r="C3706" t="str">
            <v>STATIONERY,PRINTED FORMS &amp; GEN</v>
          </cell>
        </row>
        <row r="3707">
          <cell r="A3707">
            <v>9110700</v>
          </cell>
          <cell r="B3707">
            <v>331555</v>
          </cell>
          <cell r="C3707" t="str">
            <v>STATIONERY,PRINTED FORMS &amp; GEN</v>
          </cell>
        </row>
        <row r="3708">
          <cell r="A3708">
            <v>9110702</v>
          </cell>
          <cell r="B3708">
            <v>331555</v>
          </cell>
          <cell r="C3708" t="str">
            <v>STATIONERY,PRINTED FORMS &amp; GEN</v>
          </cell>
        </row>
        <row r="3709">
          <cell r="A3709">
            <v>9110705</v>
          </cell>
          <cell r="B3709">
            <v>331555</v>
          </cell>
          <cell r="C3709" t="str">
            <v>STATIONERY,PRINTED FORMS &amp; GEN</v>
          </cell>
        </row>
        <row r="3710">
          <cell r="A3710">
            <v>9110707</v>
          </cell>
          <cell r="B3710">
            <v>331555</v>
          </cell>
          <cell r="C3710" t="str">
            <v>STATIONERY,PRINTED FORMS &amp; GEN</v>
          </cell>
        </row>
        <row r="3711">
          <cell r="A3711">
            <v>9110999</v>
          </cell>
          <cell r="B3711">
            <v>331555</v>
          </cell>
          <cell r="C3711" t="str">
            <v>STATIONERY,PRINTED FORMS &amp; GEN</v>
          </cell>
        </row>
        <row r="3712">
          <cell r="A3712">
            <v>9680700</v>
          </cell>
          <cell r="B3712">
            <v>331555</v>
          </cell>
          <cell r="C3712" t="str">
            <v>STATIONERY,PRINTED FORMS &amp; GEN</v>
          </cell>
        </row>
        <row r="3713">
          <cell r="A3713">
            <v>9680701</v>
          </cell>
          <cell r="B3713">
            <v>331555</v>
          </cell>
          <cell r="C3713" t="str">
            <v>STATIONERY,PRINTED FORMS &amp; GEN</v>
          </cell>
        </row>
        <row r="3714">
          <cell r="A3714">
            <v>9680702</v>
          </cell>
          <cell r="B3714">
            <v>331555</v>
          </cell>
          <cell r="C3714" t="str">
            <v>STATIONERY,PRINTED FORMS &amp; GEN</v>
          </cell>
        </row>
        <row r="3715">
          <cell r="A3715">
            <v>9680705</v>
          </cell>
          <cell r="B3715">
            <v>331555</v>
          </cell>
          <cell r="C3715" t="str">
            <v>STATIONERY,PRINTED FORMS &amp; GEN</v>
          </cell>
        </row>
        <row r="3716">
          <cell r="A3716">
            <v>9680707</v>
          </cell>
          <cell r="B3716">
            <v>331555</v>
          </cell>
          <cell r="C3716" t="str">
            <v>STATIONERY,PRINTED FORMS &amp; GEN</v>
          </cell>
        </row>
        <row r="3717">
          <cell r="A3717">
            <v>9680710</v>
          </cell>
          <cell r="B3717">
            <v>331555</v>
          </cell>
          <cell r="C3717" t="str">
            <v>STATIONERY,PRINTED FORMS &amp; GEN</v>
          </cell>
        </row>
        <row r="3718">
          <cell r="A3718">
            <v>9680712</v>
          </cell>
          <cell r="B3718">
            <v>331555</v>
          </cell>
          <cell r="C3718" t="str">
            <v>STATIONERY,PRINTED FORMS &amp; GEN</v>
          </cell>
        </row>
        <row r="3719">
          <cell r="A3719">
            <v>9680714</v>
          </cell>
          <cell r="B3719">
            <v>331555</v>
          </cell>
          <cell r="C3719" t="str">
            <v>STATIONERY,PRINTED FORMS &amp; GEN</v>
          </cell>
        </row>
        <row r="3720">
          <cell r="A3720">
            <v>9680734</v>
          </cell>
          <cell r="B3720">
            <v>331555</v>
          </cell>
          <cell r="C3720" t="str">
            <v>STATIONERY,PRINTED FORMS &amp; GEN</v>
          </cell>
        </row>
        <row r="3721">
          <cell r="A3721">
            <v>9680748</v>
          </cell>
          <cell r="B3721">
            <v>331555</v>
          </cell>
          <cell r="C3721" t="str">
            <v>STATIONERY,PRINTED FORMS &amp; GEN</v>
          </cell>
        </row>
        <row r="3722">
          <cell r="A3722">
            <v>9680749</v>
          </cell>
          <cell r="B3722">
            <v>331555</v>
          </cell>
          <cell r="C3722" t="str">
            <v>STATIONERY,PRINTED FORMS &amp; GEN</v>
          </cell>
        </row>
        <row r="3723">
          <cell r="A3723">
            <v>9680894</v>
          </cell>
          <cell r="B3723">
            <v>331555</v>
          </cell>
          <cell r="C3723" t="str">
            <v>STATIONERY,PRINTED FORMS &amp; GEN</v>
          </cell>
        </row>
        <row r="3724">
          <cell r="A3724">
            <v>9680999</v>
          </cell>
          <cell r="B3724">
            <v>331555</v>
          </cell>
          <cell r="C3724" t="str">
            <v>STATIONERY,PRINTED FORMS &amp; GEN</v>
          </cell>
        </row>
        <row r="3725">
          <cell r="A3725">
            <v>9681700</v>
          </cell>
          <cell r="B3725">
            <v>331555</v>
          </cell>
          <cell r="C3725" t="str">
            <v>STATIONERY,PRINTED FORMS &amp; GEN</v>
          </cell>
        </row>
        <row r="3726">
          <cell r="A3726">
            <v>9681701</v>
          </cell>
          <cell r="B3726">
            <v>331555</v>
          </cell>
          <cell r="C3726" t="str">
            <v>STATIONERY,PRINTED FORMS &amp; GEN</v>
          </cell>
        </row>
        <row r="3727">
          <cell r="A3727">
            <v>9681702</v>
          </cell>
          <cell r="B3727">
            <v>331555</v>
          </cell>
          <cell r="C3727" t="str">
            <v>STATIONERY,PRINTED FORMS &amp; GEN</v>
          </cell>
        </row>
        <row r="3728">
          <cell r="A3728">
            <v>9681705</v>
          </cell>
          <cell r="B3728">
            <v>331555</v>
          </cell>
          <cell r="C3728" t="str">
            <v>STATIONERY,PRINTED FORMS &amp; GEN</v>
          </cell>
        </row>
        <row r="3729">
          <cell r="A3729">
            <v>9681706</v>
          </cell>
          <cell r="B3729">
            <v>331555</v>
          </cell>
          <cell r="C3729" t="str">
            <v>STATIONERY,PRINTED FORMS &amp; GEN</v>
          </cell>
        </row>
        <row r="3730">
          <cell r="A3730">
            <v>9681707</v>
          </cell>
          <cell r="B3730">
            <v>331555</v>
          </cell>
          <cell r="C3730" t="str">
            <v>STATIONERY,PRINTED FORMS &amp; GEN</v>
          </cell>
        </row>
        <row r="3731">
          <cell r="A3731">
            <v>9681710</v>
          </cell>
          <cell r="B3731">
            <v>331555</v>
          </cell>
          <cell r="C3731" t="str">
            <v>STATIONERY,PRINTED FORMS &amp; GEN</v>
          </cell>
        </row>
        <row r="3732">
          <cell r="A3732">
            <v>9681712</v>
          </cell>
          <cell r="B3732">
            <v>331555</v>
          </cell>
          <cell r="C3732" t="str">
            <v>STATIONERY,PRINTED FORMS &amp; GEN</v>
          </cell>
        </row>
        <row r="3733">
          <cell r="A3733">
            <v>9681727</v>
          </cell>
          <cell r="B3733">
            <v>331555</v>
          </cell>
          <cell r="C3733" t="str">
            <v>STATIONERY,PRINTED FORMS &amp; GEN</v>
          </cell>
        </row>
        <row r="3734">
          <cell r="A3734">
            <v>9681734</v>
          </cell>
          <cell r="B3734">
            <v>331555</v>
          </cell>
          <cell r="C3734" t="str">
            <v>STATIONERY,PRINTED FORMS &amp; GEN</v>
          </cell>
        </row>
        <row r="3735">
          <cell r="A3735">
            <v>9681748</v>
          </cell>
          <cell r="B3735">
            <v>331555</v>
          </cell>
          <cell r="C3735" t="str">
            <v>STATIONERY,PRINTED FORMS &amp; GEN</v>
          </cell>
        </row>
        <row r="3736">
          <cell r="A3736">
            <v>9681749</v>
          </cell>
          <cell r="B3736">
            <v>331555</v>
          </cell>
          <cell r="C3736" t="str">
            <v>STATIONERY,PRINTED FORMS &amp; GEN</v>
          </cell>
        </row>
        <row r="3737">
          <cell r="A3737">
            <v>9681894</v>
          </cell>
          <cell r="B3737">
            <v>331555</v>
          </cell>
          <cell r="C3737" t="str">
            <v>STATIONERY,PRINTED FORMS &amp; GEN</v>
          </cell>
        </row>
        <row r="3738">
          <cell r="A3738">
            <v>9681999</v>
          </cell>
          <cell r="B3738">
            <v>331555</v>
          </cell>
          <cell r="C3738" t="str">
            <v>STATIONERY,PRINTED FORMS &amp; GEN</v>
          </cell>
        </row>
        <row r="3739">
          <cell r="A3739">
            <v>9682715</v>
          </cell>
          <cell r="B3739">
            <v>331555</v>
          </cell>
          <cell r="C3739" t="str">
            <v>STATIONERY,PRINTED FORMS &amp; GEN</v>
          </cell>
        </row>
        <row r="3740">
          <cell r="A3740">
            <v>9682722</v>
          </cell>
          <cell r="B3740">
            <v>331555</v>
          </cell>
          <cell r="C3740" t="str">
            <v>STATIONERY,PRINTED FORMS &amp; GEN</v>
          </cell>
        </row>
        <row r="3741">
          <cell r="A3741">
            <v>9682999</v>
          </cell>
          <cell r="B3741">
            <v>331555</v>
          </cell>
          <cell r="C3741" t="str">
            <v>STATIONERY,PRINTED FORMS &amp; GEN</v>
          </cell>
        </row>
        <row r="3742">
          <cell r="A3742">
            <v>9683999</v>
          </cell>
          <cell r="B3742">
            <v>331555</v>
          </cell>
          <cell r="C3742" t="str">
            <v>STATIONERY,PRINTED FORMS &amp; GEN</v>
          </cell>
        </row>
        <row r="3743">
          <cell r="A3743">
            <v>9684999</v>
          </cell>
          <cell r="B3743">
            <v>331555</v>
          </cell>
          <cell r="C3743" t="str">
            <v>STATIONERY,PRINTED FORMS &amp; GEN</v>
          </cell>
        </row>
        <row r="3744">
          <cell r="A3744">
            <v>9689692</v>
          </cell>
          <cell r="B3744">
            <v>331555</v>
          </cell>
          <cell r="C3744" t="str">
            <v>STATIONERY,PRINTED FORMS &amp; GEN</v>
          </cell>
        </row>
        <row r="3745">
          <cell r="A3745">
            <v>9689747</v>
          </cell>
          <cell r="B3745">
            <v>331555</v>
          </cell>
          <cell r="C3745" t="str">
            <v>STATIONERY,PRINTED FORMS &amp; GEN</v>
          </cell>
        </row>
        <row r="3746">
          <cell r="A3746">
            <v>9689883</v>
          </cell>
          <cell r="B3746">
            <v>331555</v>
          </cell>
          <cell r="C3746" t="str">
            <v>STATIONERY,PRINTED FORMS &amp; GEN</v>
          </cell>
        </row>
        <row r="3747">
          <cell r="A3747">
            <v>9689890</v>
          </cell>
          <cell r="B3747">
            <v>331555</v>
          </cell>
          <cell r="C3747" t="str">
            <v>STATIONERY,PRINTED FORMS &amp; GEN</v>
          </cell>
        </row>
        <row r="3748">
          <cell r="A3748">
            <v>9689906</v>
          </cell>
          <cell r="B3748">
            <v>331555</v>
          </cell>
          <cell r="C3748" t="str">
            <v>STATIONERY,PRINTED FORMS &amp; GEN</v>
          </cell>
        </row>
        <row r="3749">
          <cell r="A3749">
            <v>9689925</v>
          </cell>
          <cell r="B3749">
            <v>331555</v>
          </cell>
          <cell r="C3749" t="str">
            <v>STATIONERY,PRINTED FORMS &amp; GEN</v>
          </cell>
        </row>
        <row r="3750">
          <cell r="A3750">
            <v>9689990</v>
          </cell>
          <cell r="B3750">
            <v>331555</v>
          </cell>
          <cell r="C3750" t="str">
            <v>STATIONERY,PRINTED FORMS &amp; GEN</v>
          </cell>
        </row>
        <row r="3751">
          <cell r="A3751">
            <v>9689991</v>
          </cell>
          <cell r="B3751">
            <v>331555</v>
          </cell>
          <cell r="C3751" t="str">
            <v>STATIONERY,PRINTED FORMS &amp; GEN</v>
          </cell>
        </row>
        <row r="3752">
          <cell r="A3752">
            <v>9689992</v>
          </cell>
          <cell r="B3752">
            <v>331555</v>
          </cell>
          <cell r="C3752" t="str">
            <v>STATIONERY,PRINTED FORMS &amp; GEN</v>
          </cell>
        </row>
        <row r="3753">
          <cell r="A3753">
            <v>9689993</v>
          </cell>
          <cell r="B3753">
            <v>331555</v>
          </cell>
          <cell r="C3753" t="str">
            <v>STATIONERY,PRINTED FORMS &amp; GEN</v>
          </cell>
        </row>
        <row r="3754">
          <cell r="A3754">
            <v>9689994</v>
          </cell>
          <cell r="B3754">
            <v>331555</v>
          </cell>
          <cell r="C3754" t="str">
            <v>STATIONERY,PRINTED FORMS &amp; GEN</v>
          </cell>
        </row>
        <row r="3755">
          <cell r="A3755">
            <v>9080700</v>
          </cell>
          <cell r="B3755">
            <v>331574</v>
          </cell>
          <cell r="C3755" t="str">
            <v>NON CAPITALIZABLE EQUIPMENT</v>
          </cell>
        </row>
        <row r="3756">
          <cell r="A3756">
            <v>9080701</v>
          </cell>
          <cell r="B3756">
            <v>331574</v>
          </cell>
          <cell r="C3756" t="str">
            <v>NON CAPITALIZABLE EQUIPMENT</v>
          </cell>
        </row>
        <row r="3757">
          <cell r="A3757">
            <v>9080702</v>
          </cell>
          <cell r="B3757">
            <v>331574</v>
          </cell>
          <cell r="C3757" t="str">
            <v>NON CAPITALIZABLE EQUIPMENT</v>
          </cell>
        </row>
        <row r="3758">
          <cell r="A3758">
            <v>9080705</v>
          </cell>
          <cell r="B3758">
            <v>331574</v>
          </cell>
          <cell r="C3758" t="str">
            <v>NON CAPITALIZABLE EQUIPMENT</v>
          </cell>
        </row>
        <row r="3759">
          <cell r="A3759">
            <v>9080707</v>
          </cell>
          <cell r="B3759">
            <v>331574</v>
          </cell>
          <cell r="C3759" t="str">
            <v>NON CAPITALIZABLE EQUIPMENT</v>
          </cell>
        </row>
        <row r="3760">
          <cell r="A3760">
            <v>9080710</v>
          </cell>
          <cell r="B3760">
            <v>331574</v>
          </cell>
          <cell r="C3760" t="str">
            <v>NON CAPITALIZABLE EQUIPMENT</v>
          </cell>
        </row>
        <row r="3761">
          <cell r="A3761">
            <v>9080999</v>
          </cell>
          <cell r="B3761">
            <v>331574</v>
          </cell>
          <cell r="C3761" t="str">
            <v>NON CAPITALIZABLE EQUIPMENT</v>
          </cell>
        </row>
        <row r="3762">
          <cell r="A3762">
            <v>9090999</v>
          </cell>
          <cell r="B3762">
            <v>331574</v>
          </cell>
          <cell r="C3762" t="str">
            <v>NON CAPITALIZABLE EQUIPMENT</v>
          </cell>
        </row>
        <row r="3763">
          <cell r="A3763">
            <v>9100999</v>
          </cell>
          <cell r="B3763">
            <v>331574</v>
          </cell>
          <cell r="C3763" t="str">
            <v>NON CAPITALIZABLE EQUIPMENT</v>
          </cell>
        </row>
        <row r="3764">
          <cell r="A3764">
            <v>9110700</v>
          </cell>
          <cell r="B3764">
            <v>331574</v>
          </cell>
          <cell r="C3764" t="str">
            <v>NON CAPITALIZABLE EQUIPMENT</v>
          </cell>
        </row>
        <row r="3765">
          <cell r="A3765">
            <v>9110702</v>
          </cell>
          <cell r="B3765">
            <v>331574</v>
          </cell>
          <cell r="C3765" t="str">
            <v>NON CAPITALIZABLE EQUIPMENT</v>
          </cell>
        </row>
        <row r="3766">
          <cell r="A3766">
            <v>9110705</v>
          </cell>
          <cell r="B3766">
            <v>331574</v>
          </cell>
          <cell r="C3766" t="str">
            <v>NON CAPITALIZABLE EQUIPMENT</v>
          </cell>
        </row>
        <row r="3767">
          <cell r="A3767">
            <v>9110707</v>
          </cell>
          <cell r="B3767">
            <v>331574</v>
          </cell>
          <cell r="C3767" t="str">
            <v>NON CAPITALIZABLE EQUIPMENT</v>
          </cell>
        </row>
        <row r="3768">
          <cell r="A3768">
            <v>9110999</v>
          </cell>
          <cell r="B3768">
            <v>331574</v>
          </cell>
          <cell r="C3768" t="str">
            <v>NON CAPITALIZABLE EQUIPMENT</v>
          </cell>
        </row>
        <row r="3769">
          <cell r="A3769">
            <v>9680700</v>
          </cell>
          <cell r="B3769">
            <v>331574</v>
          </cell>
          <cell r="C3769" t="str">
            <v>NON CAPITALIZABLE EQUIPMENT</v>
          </cell>
        </row>
        <row r="3770">
          <cell r="A3770">
            <v>9680701</v>
          </cell>
          <cell r="B3770">
            <v>331574</v>
          </cell>
          <cell r="C3770" t="str">
            <v>NON CAPITALIZABLE EQUIPMENT</v>
          </cell>
        </row>
        <row r="3771">
          <cell r="A3771">
            <v>9680702</v>
          </cell>
          <cell r="B3771">
            <v>331574</v>
          </cell>
          <cell r="C3771" t="str">
            <v>NON CAPITALIZABLE EQUIPMENT</v>
          </cell>
        </row>
        <row r="3772">
          <cell r="A3772">
            <v>9680705</v>
          </cell>
          <cell r="B3772">
            <v>331574</v>
          </cell>
          <cell r="C3772" t="str">
            <v>NON CAPITALIZABLE EQUIPMENT</v>
          </cell>
        </row>
        <row r="3773">
          <cell r="A3773">
            <v>9680707</v>
          </cell>
          <cell r="B3773">
            <v>331574</v>
          </cell>
          <cell r="C3773" t="str">
            <v>NON CAPITALIZABLE EQUIPMENT</v>
          </cell>
        </row>
        <row r="3774">
          <cell r="A3774">
            <v>9680710</v>
          </cell>
          <cell r="B3774">
            <v>331574</v>
          </cell>
          <cell r="C3774" t="str">
            <v>NON CAPITALIZABLE EQUIPMENT</v>
          </cell>
        </row>
        <row r="3775">
          <cell r="A3775">
            <v>9680712</v>
          </cell>
          <cell r="B3775">
            <v>331574</v>
          </cell>
          <cell r="C3775" t="str">
            <v>NON CAPITALIZABLE EQUIPMENT</v>
          </cell>
        </row>
        <row r="3776">
          <cell r="A3776">
            <v>9680714</v>
          </cell>
          <cell r="B3776">
            <v>331574</v>
          </cell>
          <cell r="C3776" t="str">
            <v>NON CAPITALIZABLE EQUIPMENT</v>
          </cell>
        </row>
        <row r="3777">
          <cell r="A3777">
            <v>9680734</v>
          </cell>
          <cell r="B3777">
            <v>331574</v>
          </cell>
          <cell r="C3777" t="str">
            <v>NON CAPITALIZABLE EQUIPMENT</v>
          </cell>
        </row>
        <row r="3778">
          <cell r="A3778">
            <v>9680748</v>
          </cell>
          <cell r="B3778">
            <v>331574</v>
          </cell>
          <cell r="C3778" t="str">
            <v>NON CAPITALIZABLE EQUIPMENT</v>
          </cell>
        </row>
        <row r="3779">
          <cell r="A3779">
            <v>9680749</v>
          </cell>
          <cell r="B3779">
            <v>331574</v>
          </cell>
          <cell r="C3779" t="str">
            <v>NON CAPITALIZABLE EQUIPMENT</v>
          </cell>
        </row>
        <row r="3780">
          <cell r="A3780">
            <v>9680894</v>
          </cell>
          <cell r="B3780">
            <v>331574</v>
          </cell>
          <cell r="C3780" t="str">
            <v>NON CAPITALIZABLE EQUIPMENT</v>
          </cell>
        </row>
        <row r="3781">
          <cell r="A3781">
            <v>9680999</v>
          </cell>
          <cell r="B3781">
            <v>331574</v>
          </cell>
          <cell r="C3781" t="str">
            <v>NON CAPITALIZABLE EQUIPMENT</v>
          </cell>
        </row>
        <row r="3782">
          <cell r="A3782">
            <v>9681700</v>
          </cell>
          <cell r="B3782">
            <v>331574</v>
          </cell>
          <cell r="C3782" t="str">
            <v>NON CAPITALIZABLE EQUIPMENT</v>
          </cell>
        </row>
        <row r="3783">
          <cell r="A3783">
            <v>9681701</v>
          </cell>
          <cell r="B3783">
            <v>331574</v>
          </cell>
          <cell r="C3783" t="str">
            <v>NON CAPITALIZABLE EQUIPMENT</v>
          </cell>
        </row>
        <row r="3784">
          <cell r="A3784">
            <v>9681702</v>
          </cell>
          <cell r="B3784">
            <v>331574</v>
          </cell>
          <cell r="C3784" t="str">
            <v>NON CAPITALIZABLE EQUIPMENT</v>
          </cell>
        </row>
        <row r="3785">
          <cell r="A3785">
            <v>9681705</v>
          </cell>
          <cell r="B3785">
            <v>331574</v>
          </cell>
          <cell r="C3785" t="str">
            <v>NON CAPITALIZABLE EQUIPMENT</v>
          </cell>
        </row>
        <row r="3786">
          <cell r="A3786">
            <v>9681706</v>
          </cell>
          <cell r="B3786">
            <v>331574</v>
          </cell>
          <cell r="C3786" t="str">
            <v>NON CAPITALIZABLE EQUIPMENT</v>
          </cell>
        </row>
        <row r="3787">
          <cell r="A3787">
            <v>9681707</v>
          </cell>
          <cell r="B3787">
            <v>331574</v>
          </cell>
          <cell r="C3787" t="str">
            <v>NON CAPITALIZABLE EQUIPMENT</v>
          </cell>
        </row>
        <row r="3788">
          <cell r="A3788">
            <v>9681710</v>
          </cell>
          <cell r="B3788">
            <v>331574</v>
          </cell>
          <cell r="C3788" t="str">
            <v>NON CAPITALIZABLE EQUIPMENT</v>
          </cell>
        </row>
        <row r="3789">
          <cell r="A3789">
            <v>9681712</v>
          </cell>
          <cell r="B3789">
            <v>331574</v>
          </cell>
          <cell r="C3789" t="str">
            <v>NON CAPITALIZABLE EQUIPMENT</v>
          </cell>
        </row>
        <row r="3790">
          <cell r="A3790">
            <v>9681727</v>
          </cell>
          <cell r="B3790">
            <v>331574</v>
          </cell>
          <cell r="C3790" t="str">
            <v>NON CAPITALIZABLE EQUIPMENT</v>
          </cell>
        </row>
        <row r="3791">
          <cell r="A3791">
            <v>9681734</v>
          </cell>
          <cell r="B3791">
            <v>331574</v>
          </cell>
          <cell r="C3791" t="str">
            <v>NON CAPITALIZABLE EQUIPMENT</v>
          </cell>
        </row>
        <row r="3792">
          <cell r="A3792">
            <v>9681748</v>
          </cell>
          <cell r="B3792">
            <v>331574</v>
          </cell>
          <cell r="C3792" t="str">
            <v>NON CAPITALIZABLE EQUIPMENT</v>
          </cell>
        </row>
        <row r="3793">
          <cell r="A3793">
            <v>9681749</v>
          </cell>
          <cell r="B3793">
            <v>331574</v>
          </cell>
          <cell r="C3793" t="str">
            <v>NON CAPITALIZABLE EQUIPMENT</v>
          </cell>
        </row>
        <row r="3794">
          <cell r="A3794">
            <v>9681894</v>
          </cell>
          <cell r="B3794">
            <v>331574</v>
          </cell>
          <cell r="C3794" t="str">
            <v>NON CAPITALIZABLE EQUIPMENT</v>
          </cell>
        </row>
        <row r="3795">
          <cell r="A3795">
            <v>9681999</v>
          </cell>
          <cell r="B3795">
            <v>331574</v>
          </cell>
          <cell r="C3795" t="str">
            <v>NON CAPITALIZABLE EQUIPMENT</v>
          </cell>
        </row>
        <row r="3796">
          <cell r="A3796">
            <v>9682715</v>
          </cell>
          <cell r="B3796">
            <v>331574</v>
          </cell>
          <cell r="C3796" t="str">
            <v>NON CAPITALIZABLE EQUIPMENT</v>
          </cell>
        </row>
        <row r="3797">
          <cell r="A3797">
            <v>9682722</v>
          </cell>
          <cell r="B3797">
            <v>331574</v>
          </cell>
          <cell r="C3797" t="str">
            <v>NON CAPITALIZABLE EQUIPMENT</v>
          </cell>
        </row>
        <row r="3798">
          <cell r="A3798">
            <v>9682999</v>
          </cell>
          <cell r="B3798">
            <v>331574</v>
          </cell>
          <cell r="C3798" t="str">
            <v>NON CAPITALIZABLE EQUIPMENT</v>
          </cell>
        </row>
        <row r="3799">
          <cell r="A3799">
            <v>9683999</v>
          </cell>
          <cell r="B3799">
            <v>331574</v>
          </cell>
          <cell r="C3799" t="str">
            <v>NON CAPITALIZABLE EQUIPMENT</v>
          </cell>
        </row>
        <row r="3800">
          <cell r="A3800">
            <v>9684999</v>
          </cell>
          <cell r="B3800">
            <v>331574</v>
          </cell>
          <cell r="C3800" t="str">
            <v>NON CAPITALIZABLE EQUIPMENT</v>
          </cell>
        </row>
        <row r="3801">
          <cell r="A3801">
            <v>9689692</v>
          </cell>
          <cell r="B3801">
            <v>331574</v>
          </cell>
          <cell r="C3801" t="str">
            <v>NON CAPITALIZABLE EQUIPMENT</v>
          </cell>
        </row>
        <row r="3802">
          <cell r="A3802">
            <v>9689747</v>
          </cell>
          <cell r="B3802">
            <v>331574</v>
          </cell>
          <cell r="C3802" t="str">
            <v>NON CAPITALIZABLE EQUIPMENT</v>
          </cell>
        </row>
        <row r="3803">
          <cell r="A3803">
            <v>9689883</v>
          </cell>
          <cell r="B3803">
            <v>331574</v>
          </cell>
          <cell r="C3803" t="str">
            <v>NON CAPITALIZABLE EQUIPMENT</v>
          </cell>
        </row>
        <row r="3804">
          <cell r="A3804">
            <v>9689890</v>
          </cell>
          <cell r="B3804">
            <v>331574</v>
          </cell>
          <cell r="C3804" t="str">
            <v>NON CAPITALIZABLE EQUIPMENT</v>
          </cell>
        </row>
        <row r="3805">
          <cell r="A3805">
            <v>9689906</v>
          </cell>
          <cell r="B3805">
            <v>331574</v>
          </cell>
          <cell r="C3805" t="str">
            <v>NON CAPITALIZABLE EQUIPMENT</v>
          </cell>
        </row>
        <row r="3806">
          <cell r="A3806">
            <v>9689925</v>
          </cell>
          <cell r="B3806">
            <v>331574</v>
          </cell>
          <cell r="C3806" t="str">
            <v>NON CAPITALIZABLE EQUIPMENT</v>
          </cell>
        </row>
        <row r="3807">
          <cell r="A3807">
            <v>9689990</v>
          </cell>
          <cell r="B3807">
            <v>331574</v>
          </cell>
          <cell r="C3807" t="str">
            <v>NON CAPITALIZABLE EQUIPMENT</v>
          </cell>
        </row>
        <row r="3808">
          <cell r="A3808">
            <v>9689991</v>
          </cell>
          <cell r="B3808">
            <v>331574</v>
          </cell>
          <cell r="C3808" t="str">
            <v>NON CAPITALIZABLE EQUIPMENT</v>
          </cell>
        </row>
        <row r="3809">
          <cell r="A3809">
            <v>9689992</v>
          </cell>
          <cell r="B3809">
            <v>331574</v>
          </cell>
          <cell r="C3809" t="str">
            <v>NON CAPITALIZABLE EQUIPMENT</v>
          </cell>
        </row>
        <row r="3810">
          <cell r="A3810">
            <v>9689993</v>
          </cell>
          <cell r="B3810">
            <v>331574</v>
          </cell>
          <cell r="C3810" t="str">
            <v>NON CAPITALIZABLE EQUIPMENT</v>
          </cell>
        </row>
        <row r="3811">
          <cell r="A3811">
            <v>9689994</v>
          </cell>
          <cell r="B3811">
            <v>331574</v>
          </cell>
          <cell r="C3811" t="str">
            <v>NON CAPITALIZABLE EQUIPMENT</v>
          </cell>
        </row>
        <row r="3812">
          <cell r="A3812">
            <v>9725711</v>
          </cell>
          <cell r="B3812">
            <v>331574</v>
          </cell>
          <cell r="C3812" t="str">
            <v>NON CAPITALIZABLE EQUIPMENT</v>
          </cell>
        </row>
        <row r="3813">
          <cell r="A3813">
            <v>9080999</v>
          </cell>
          <cell r="B3813">
            <v>331575</v>
          </cell>
          <cell r="C3813" t="str">
            <v>NON CAPITALIZABLE FURNITURE</v>
          </cell>
        </row>
        <row r="3814">
          <cell r="A3814">
            <v>9110999</v>
          </cell>
          <cell r="B3814">
            <v>331575</v>
          </cell>
          <cell r="C3814" t="str">
            <v>NON CAPITALIZABLE FURNITURE</v>
          </cell>
        </row>
        <row r="3815">
          <cell r="A3815">
            <v>9681999</v>
          </cell>
          <cell r="B3815">
            <v>331575</v>
          </cell>
          <cell r="C3815" t="str">
            <v>NON CAPITALIZABLE FURNITURE</v>
          </cell>
        </row>
        <row r="3816">
          <cell r="A3816">
            <v>9683999</v>
          </cell>
          <cell r="B3816">
            <v>331575</v>
          </cell>
          <cell r="C3816" t="str">
            <v>NON CAPITALIZABLE FURNITURE</v>
          </cell>
        </row>
        <row r="3817">
          <cell r="A3817">
            <v>9689692</v>
          </cell>
          <cell r="B3817">
            <v>331575</v>
          </cell>
          <cell r="C3817" t="str">
            <v>NON CAPITALIZABLE FURNITURE</v>
          </cell>
        </row>
        <row r="3818">
          <cell r="A3818">
            <v>9689747</v>
          </cell>
          <cell r="B3818">
            <v>331575</v>
          </cell>
          <cell r="C3818" t="str">
            <v>NON CAPITALIZABLE FURNITURE</v>
          </cell>
        </row>
        <row r="3819">
          <cell r="A3819">
            <v>9689883</v>
          </cell>
          <cell r="B3819">
            <v>331575</v>
          </cell>
          <cell r="C3819" t="str">
            <v>NON CAPITALIZABLE FURNITURE</v>
          </cell>
        </row>
        <row r="3820">
          <cell r="A3820">
            <v>9689890</v>
          </cell>
          <cell r="B3820">
            <v>331575</v>
          </cell>
          <cell r="C3820" t="str">
            <v>NON CAPITALIZABLE FURNITURE</v>
          </cell>
        </row>
        <row r="3821">
          <cell r="A3821">
            <v>9689906</v>
          </cell>
          <cell r="B3821">
            <v>331575</v>
          </cell>
          <cell r="C3821" t="str">
            <v>NON CAPITALIZABLE FURNITURE</v>
          </cell>
        </row>
        <row r="3822">
          <cell r="A3822">
            <v>9689925</v>
          </cell>
          <cell r="B3822">
            <v>331575</v>
          </cell>
          <cell r="C3822" t="str">
            <v>NON CAPITALIZABLE FURNITURE</v>
          </cell>
        </row>
        <row r="3823">
          <cell r="A3823">
            <v>9689990</v>
          </cell>
          <cell r="B3823">
            <v>331575</v>
          </cell>
          <cell r="C3823" t="str">
            <v>NON CAPITALIZABLE FURNITURE</v>
          </cell>
        </row>
        <row r="3824">
          <cell r="A3824">
            <v>9689991</v>
          </cell>
          <cell r="B3824">
            <v>331575</v>
          </cell>
          <cell r="C3824" t="str">
            <v>NON CAPITALIZABLE FURNITURE</v>
          </cell>
        </row>
        <row r="3825">
          <cell r="A3825">
            <v>9689992</v>
          </cell>
          <cell r="B3825">
            <v>331575</v>
          </cell>
          <cell r="C3825" t="str">
            <v>NON CAPITALIZABLE FURNITURE</v>
          </cell>
        </row>
        <row r="3826">
          <cell r="A3826">
            <v>8001054179</v>
          </cell>
          <cell r="B3826">
            <v>331990</v>
          </cell>
          <cell r="C3826" t="str">
            <v>SUPPLIES - OTHER</v>
          </cell>
        </row>
        <row r="3827">
          <cell r="A3827">
            <v>8001059542</v>
          </cell>
          <cell r="B3827">
            <v>331990</v>
          </cell>
          <cell r="C3827" t="str">
            <v>SUPPLIES - OTHER</v>
          </cell>
        </row>
        <row r="3828">
          <cell r="A3828">
            <v>8010512510</v>
          </cell>
          <cell r="B3828">
            <v>331990</v>
          </cell>
          <cell r="C3828" t="str">
            <v>SUPPLIES - OTHER</v>
          </cell>
        </row>
        <row r="3829">
          <cell r="A3829">
            <v>9080700</v>
          </cell>
          <cell r="B3829">
            <v>331990</v>
          </cell>
          <cell r="C3829" t="str">
            <v>SUPPLIES - OTHER</v>
          </cell>
        </row>
        <row r="3830">
          <cell r="A3830">
            <v>9080701</v>
          </cell>
          <cell r="B3830">
            <v>331990</v>
          </cell>
          <cell r="C3830" t="str">
            <v>SUPPLIES - OTHER</v>
          </cell>
        </row>
        <row r="3831">
          <cell r="A3831">
            <v>9080702</v>
          </cell>
          <cell r="B3831">
            <v>331990</v>
          </cell>
          <cell r="C3831" t="str">
            <v>SUPPLIES - OTHER</v>
          </cell>
        </row>
        <row r="3832">
          <cell r="A3832">
            <v>9080705</v>
          </cell>
          <cell r="B3832">
            <v>331990</v>
          </cell>
          <cell r="C3832" t="str">
            <v>SUPPLIES - OTHER</v>
          </cell>
        </row>
        <row r="3833">
          <cell r="A3833">
            <v>9080707</v>
          </cell>
          <cell r="B3833">
            <v>331990</v>
          </cell>
          <cell r="C3833" t="str">
            <v>SUPPLIES - OTHER</v>
          </cell>
        </row>
        <row r="3834">
          <cell r="A3834">
            <v>9080710</v>
          </cell>
          <cell r="B3834">
            <v>331990</v>
          </cell>
          <cell r="C3834" t="str">
            <v>SUPPLIES - OTHER</v>
          </cell>
        </row>
        <row r="3835">
          <cell r="A3835">
            <v>9080999</v>
          </cell>
          <cell r="B3835">
            <v>331990</v>
          </cell>
          <cell r="C3835" t="str">
            <v>SUPPLIES - OTHER</v>
          </cell>
        </row>
        <row r="3836">
          <cell r="A3836">
            <v>9090710</v>
          </cell>
          <cell r="B3836">
            <v>331990</v>
          </cell>
          <cell r="C3836" t="str">
            <v>SUPPLIES - OTHER</v>
          </cell>
        </row>
        <row r="3837">
          <cell r="A3837">
            <v>9090999</v>
          </cell>
          <cell r="B3837">
            <v>331990</v>
          </cell>
          <cell r="C3837" t="str">
            <v>SUPPLIES - OTHER</v>
          </cell>
        </row>
        <row r="3838">
          <cell r="A3838">
            <v>9100710</v>
          </cell>
          <cell r="B3838">
            <v>331990</v>
          </cell>
          <cell r="C3838" t="str">
            <v>SUPPLIES - OTHER</v>
          </cell>
        </row>
        <row r="3839">
          <cell r="A3839">
            <v>9100999</v>
          </cell>
          <cell r="B3839">
            <v>331990</v>
          </cell>
          <cell r="C3839" t="str">
            <v>SUPPLIES - OTHER</v>
          </cell>
        </row>
        <row r="3840">
          <cell r="A3840">
            <v>9110700</v>
          </cell>
          <cell r="B3840">
            <v>331990</v>
          </cell>
          <cell r="C3840" t="str">
            <v>SUPPLIES - OTHER</v>
          </cell>
        </row>
        <row r="3841">
          <cell r="A3841">
            <v>9110702</v>
          </cell>
          <cell r="B3841">
            <v>331990</v>
          </cell>
          <cell r="C3841" t="str">
            <v>SUPPLIES - OTHER</v>
          </cell>
        </row>
        <row r="3842">
          <cell r="A3842">
            <v>9110705</v>
          </cell>
          <cell r="B3842">
            <v>331990</v>
          </cell>
          <cell r="C3842" t="str">
            <v>SUPPLIES - OTHER</v>
          </cell>
        </row>
        <row r="3843">
          <cell r="A3843">
            <v>9110707</v>
          </cell>
          <cell r="B3843">
            <v>331990</v>
          </cell>
          <cell r="C3843" t="str">
            <v>SUPPLIES - OTHER</v>
          </cell>
        </row>
        <row r="3844">
          <cell r="A3844">
            <v>9110999</v>
          </cell>
          <cell r="B3844">
            <v>331990</v>
          </cell>
          <cell r="C3844" t="str">
            <v>SUPPLIES - OTHER</v>
          </cell>
        </row>
        <row r="3845">
          <cell r="A3845">
            <v>9680700</v>
          </cell>
          <cell r="B3845">
            <v>331990</v>
          </cell>
          <cell r="C3845" t="str">
            <v>SUPPLIES - OTHER</v>
          </cell>
        </row>
        <row r="3846">
          <cell r="A3846">
            <v>9680701</v>
          </cell>
          <cell r="B3846">
            <v>331990</v>
          </cell>
          <cell r="C3846" t="str">
            <v>SUPPLIES - OTHER</v>
          </cell>
        </row>
        <row r="3847">
          <cell r="A3847">
            <v>9680702</v>
          </cell>
          <cell r="B3847">
            <v>331990</v>
          </cell>
          <cell r="C3847" t="str">
            <v>SUPPLIES - OTHER</v>
          </cell>
        </row>
        <row r="3848">
          <cell r="A3848">
            <v>9680705</v>
          </cell>
          <cell r="B3848">
            <v>331990</v>
          </cell>
          <cell r="C3848" t="str">
            <v>SUPPLIES - OTHER</v>
          </cell>
        </row>
        <row r="3849">
          <cell r="A3849">
            <v>9680707</v>
          </cell>
          <cell r="B3849">
            <v>331990</v>
          </cell>
          <cell r="C3849" t="str">
            <v>SUPPLIES - OTHER</v>
          </cell>
        </row>
        <row r="3850">
          <cell r="A3850">
            <v>9680710</v>
          </cell>
          <cell r="B3850">
            <v>331990</v>
          </cell>
          <cell r="C3850" t="str">
            <v>SUPPLIES - OTHER</v>
          </cell>
        </row>
        <row r="3851">
          <cell r="A3851">
            <v>9680712</v>
          </cell>
          <cell r="B3851">
            <v>331990</v>
          </cell>
          <cell r="C3851" t="str">
            <v>SUPPLIES - OTHER</v>
          </cell>
        </row>
        <row r="3852">
          <cell r="A3852">
            <v>9680714</v>
          </cell>
          <cell r="B3852">
            <v>331990</v>
          </cell>
          <cell r="C3852" t="str">
            <v>SUPPLIES - OTHER</v>
          </cell>
        </row>
        <row r="3853">
          <cell r="A3853">
            <v>9680734</v>
          </cell>
          <cell r="B3853">
            <v>331990</v>
          </cell>
          <cell r="C3853" t="str">
            <v>SUPPLIES - OTHER</v>
          </cell>
        </row>
        <row r="3854">
          <cell r="A3854">
            <v>9680748</v>
          </cell>
          <cell r="B3854">
            <v>331990</v>
          </cell>
          <cell r="C3854" t="str">
            <v>SUPPLIES - OTHER</v>
          </cell>
        </row>
        <row r="3855">
          <cell r="A3855">
            <v>9680749</v>
          </cell>
          <cell r="B3855">
            <v>331990</v>
          </cell>
          <cell r="C3855" t="str">
            <v>SUPPLIES - OTHER</v>
          </cell>
        </row>
        <row r="3856">
          <cell r="A3856">
            <v>9680894</v>
          </cell>
          <cell r="B3856">
            <v>331990</v>
          </cell>
          <cell r="C3856" t="str">
            <v>SUPPLIES - OTHER</v>
          </cell>
        </row>
        <row r="3857">
          <cell r="A3857">
            <v>9680999</v>
          </cell>
          <cell r="B3857">
            <v>331990</v>
          </cell>
          <cell r="C3857" t="str">
            <v>SUPPLIES - OTHER</v>
          </cell>
        </row>
        <row r="3858">
          <cell r="A3858">
            <v>9681700</v>
          </cell>
          <cell r="B3858">
            <v>331990</v>
          </cell>
          <cell r="C3858" t="str">
            <v>SUPPLIES - OTHER</v>
          </cell>
        </row>
        <row r="3859">
          <cell r="A3859">
            <v>9681701</v>
          </cell>
          <cell r="B3859">
            <v>331990</v>
          </cell>
          <cell r="C3859" t="str">
            <v>SUPPLIES - OTHER</v>
          </cell>
        </row>
        <row r="3860">
          <cell r="A3860">
            <v>9681702</v>
          </cell>
          <cell r="B3860">
            <v>331990</v>
          </cell>
          <cell r="C3860" t="str">
            <v>SUPPLIES - OTHER</v>
          </cell>
        </row>
        <row r="3861">
          <cell r="A3861">
            <v>9681705</v>
          </cell>
          <cell r="B3861">
            <v>331990</v>
          </cell>
          <cell r="C3861" t="str">
            <v>SUPPLIES - OTHER</v>
          </cell>
        </row>
        <row r="3862">
          <cell r="A3862">
            <v>9681706</v>
          </cell>
          <cell r="B3862">
            <v>331990</v>
          </cell>
          <cell r="C3862" t="str">
            <v>SUPPLIES - OTHER</v>
          </cell>
        </row>
        <row r="3863">
          <cell r="A3863">
            <v>9681707</v>
          </cell>
          <cell r="B3863">
            <v>331990</v>
          </cell>
          <cell r="C3863" t="str">
            <v>SUPPLIES - OTHER</v>
          </cell>
        </row>
        <row r="3864">
          <cell r="A3864">
            <v>9681710</v>
          </cell>
          <cell r="B3864">
            <v>331990</v>
          </cell>
          <cell r="C3864" t="str">
            <v>SUPPLIES - OTHER</v>
          </cell>
        </row>
        <row r="3865">
          <cell r="A3865">
            <v>9681712</v>
          </cell>
          <cell r="B3865">
            <v>331990</v>
          </cell>
          <cell r="C3865" t="str">
            <v>SUPPLIES - OTHER</v>
          </cell>
        </row>
        <row r="3866">
          <cell r="A3866">
            <v>9681714</v>
          </cell>
          <cell r="B3866">
            <v>331990</v>
          </cell>
          <cell r="C3866" t="str">
            <v>SUPPLIES - OTHER</v>
          </cell>
        </row>
        <row r="3867">
          <cell r="A3867">
            <v>9681727</v>
          </cell>
          <cell r="B3867">
            <v>331990</v>
          </cell>
          <cell r="C3867" t="str">
            <v>SUPPLIES - OTHER</v>
          </cell>
        </row>
        <row r="3868">
          <cell r="A3868">
            <v>9681734</v>
          </cell>
          <cell r="B3868">
            <v>331990</v>
          </cell>
          <cell r="C3868" t="str">
            <v>SUPPLIES - OTHER</v>
          </cell>
        </row>
        <row r="3869">
          <cell r="A3869">
            <v>9681748</v>
          </cell>
          <cell r="B3869">
            <v>331990</v>
          </cell>
          <cell r="C3869" t="str">
            <v>SUPPLIES - OTHER</v>
          </cell>
        </row>
        <row r="3870">
          <cell r="A3870">
            <v>9681749</v>
          </cell>
          <cell r="B3870">
            <v>331990</v>
          </cell>
          <cell r="C3870" t="str">
            <v>SUPPLIES - OTHER</v>
          </cell>
        </row>
        <row r="3871">
          <cell r="A3871">
            <v>9681894</v>
          </cell>
          <cell r="B3871">
            <v>331990</v>
          </cell>
          <cell r="C3871" t="str">
            <v>SUPPLIES - OTHER</v>
          </cell>
        </row>
        <row r="3872">
          <cell r="A3872">
            <v>9681999</v>
          </cell>
          <cell r="B3872">
            <v>331990</v>
          </cell>
          <cell r="C3872" t="str">
            <v>SUPPLIES - OTHER</v>
          </cell>
        </row>
        <row r="3873">
          <cell r="A3873">
            <v>9682715</v>
          </cell>
          <cell r="B3873">
            <v>331990</v>
          </cell>
          <cell r="C3873" t="str">
            <v>SUPPLIES - OTHER</v>
          </cell>
        </row>
        <row r="3874">
          <cell r="A3874">
            <v>9682722</v>
          </cell>
          <cell r="B3874">
            <v>331990</v>
          </cell>
          <cell r="C3874" t="str">
            <v>SUPPLIES - OTHER</v>
          </cell>
        </row>
        <row r="3875">
          <cell r="A3875">
            <v>9682999</v>
          </cell>
          <cell r="B3875">
            <v>331990</v>
          </cell>
          <cell r="C3875" t="str">
            <v>SUPPLIES - OTHER</v>
          </cell>
        </row>
        <row r="3876">
          <cell r="A3876">
            <v>9683999</v>
          </cell>
          <cell r="B3876">
            <v>331990</v>
          </cell>
          <cell r="C3876" t="str">
            <v>SUPPLIES - OTHER</v>
          </cell>
        </row>
        <row r="3877">
          <cell r="A3877">
            <v>9684999</v>
          </cell>
          <cell r="B3877">
            <v>331990</v>
          </cell>
          <cell r="C3877" t="str">
            <v>SUPPLIES - OTHER</v>
          </cell>
        </row>
        <row r="3878">
          <cell r="A3878">
            <v>9685999</v>
          </cell>
          <cell r="B3878">
            <v>331990</v>
          </cell>
          <cell r="C3878" t="str">
            <v>SUPPLIES - OTHER</v>
          </cell>
        </row>
        <row r="3879">
          <cell r="A3879">
            <v>9689692</v>
          </cell>
          <cell r="B3879">
            <v>331990</v>
          </cell>
          <cell r="C3879" t="str">
            <v>SUPPLIES - OTHER</v>
          </cell>
        </row>
        <row r="3880">
          <cell r="A3880">
            <v>9689747</v>
          </cell>
          <cell r="B3880">
            <v>331990</v>
          </cell>
          <cell r="C3880" t="str">
            <v>SUPPLIES - OTHER</v>
          </cell>
        </row>
        <row r="3881">
          <cell r="A3881">
            <v>9689883</v>
          </cell>
          <cell r="B3881">
            <v>331990</v>
          </cell>
          <cell r="C3881" t="str">
            <v>SUPPLIES - OTHER</v>
          </cell>
        </row>
        <row r="3882">
          <cell r="A3882">
            <v>9689890</v>
          </cell>
          <cell r="B3882">
            <v>331990</v>
          </cell>
          <cell r="C3882" t="str">
            <v>SUPPLIES - OTHER</v>
          </cell>
        </row>
        <row r="3883">
          <cell r="A3883">
            <v>9689906</v>
          </cell>
          <cell r="B3883">
            <v>331990</v>
          </cell>
          <cell r="C3883" t="str">
            <v>SUPPLIES - OTHER</v>
          </cell>
        </row>
        <row r="3884">
          <cell r="A3884">
            <v>9689925</v>
          </cell>
          <cell r="B3884">
            <v>331990</v>
          </cell>
          <cell r="C3884" t="str">
            <v>SUPPLIES - OTHER</v>
          </cell>
        </row>
        <row r="3885">
          <cell r="A3885">
            <v>9689990</v>
          </cell>
          <cell r="B3885">
            <v>331990</v>
          </cell>
          <cell r="C3885" t="str">
            <v>SUPPLIES - OTHER</v>
          </cell>
        </row>
        <row r="3886">
          <cell r="A3886">
            <v>9689991</v>
          </cell>
          <cell r="B3886">
            <v>331990</v>
          </cell>
          <cell r="C3886" t="str">
            <v>SUPPLIES - OTHER</v>
          </cell>
        </row>
        <row r="3887">
          <cell r="A3887">
            <v>9689992</v>
          </cell>
          <cell r="B3887">
            <v>331990</v>
          </cell>
          <cell r="C3887" t="str">
            <v>SUPPLIES - OTHER</v>
          </cell>
        </row>
        <row r="3888">
          <cell r="A3888">
            <v>9689993</v>
          </cell>
          <cell r="B3888">
            <v>331990</v>
          </cell>
          <cell r="C3888" t="str">
            <v>SUPPLIES - OTHER</v>
          </cell>
        </row>
        <row r="3889">
          <cell r="A3889">
            <v>9689994</v>
          </cell>
          <cell r="B3889">
            <v>331990</v>
          </cell>
          <cell r="C3889" t="str">
            <v>SUPPLIES - OTHER</v>
          </cell>
        </row>
        <row r="3890">
          <cell r="A3890">
            <v>9720703</v>
          </cell>
          <cell r="B3890">
            <v>331990</v>
          </cell>
          <cell r="C3890" t="str">
            <v>SUPPLIES - OTHER</v>
          </cell>
        </row>
        <row r="3891">
          <cell r="A3891">
            <v>9722709</v>
          </cell>
          <cell r="B3891">
            <v>331990</v>
          </cell>
          <cell r="C3891" t="str">
            <v>SUPPLIES - OTHER</v>
          </cell>
        </row>
        <row r="3892">
          <cell r="A3892">
            <v>9722713</v>
          </cell>
          <cell r="B3892">
            <v>331990</v>
          </cell>
          <cell r="C3892" t="str">
            <v>SUPPLIES - OTHER</v>
          </cell>
        </row>
        <row r="3893">
          <cell r="A3893">
            <v>9723723</v>
          </cell>
          <cell r="B3893">
            <v>331990</v>
          </cell>
          <cell r="C3893" t="str">
            <v>SUPPLIES - OTHER</v>
          </cell>
        </row>
        <row r="3894">
          <cell r="A3894">
            <v>9723729</v>
          </cell>
          <cell r="B3894">
            <v>331990</v>
          </cell>
          <cell r="C3894" t="str">
            <v>SUPPLIES - OTHER</v>
          </cell>
        </row>
        <row r="3895">
          <cell r="A3895">
            <v>9724718</v>
          </cell>
          <cell r="B3895">
            <v>331990</v>
          </cell>
          <cell r="C3895" t="str">
            <v>SUPPLIES - OTHER</v>
          </cell>
        </row>
        <row r="3896">
          <cell r="A3896">
            <v>9724721</v>
          </cell>
          <cell r="B3896">
            <v>331990</v>
          </cell>
          <cell r="C3896" t="str">
            <v>SUPPLIES - OTHER</v>
          </cell>
        </row>
        <row r="3897">
          <cell r="A3897">
            <v>9724724</v>
          </cell>
          <cell r="B3897">
            <v>331990</v>
          </cell>
          <cell r="C3897" t="str">
            <v>SUPPLIES - OTHER</v>
          </cell>
        </row>
        <row r="3898">
          <cell r="A3898">
            <v>9725703</v>
          </cell>
          <cell r="B3898">
            <v>331990</v>
          </cell>
          <cell r="C3898" t="str">
            <v>SUPPLIES - OTHER</v>
          </cell>
        </row>
        <row r="3899">
          <cell r="A3899">
            <v>9725704</v>
          </cell>
          <cell r="B3899">
            <v>331990</v>
          </cell>
          <cell r="C3899" t="str">
            <v>SUPPLIES - OTHER</v>
          </cell>
        </row>
        <row r="3900">
          <cell r="A3900">
            <v>9725711</v>
          </cell>
          <cell r="B3900">
            <v>331990</v>
          </cell>
          <cell r="C3900" t="str">
            <v>SUPPLIES - OTHER</v>
          </cell>
        </row>
        <row r="3901">
          <cell r="A3901">
            <v>9725717</v>
          </cell>
          <cell r="B3901">
            <v>331990</v>
          </cell>
          <cell r="C3901" t="str">
            <v>SUPPLIES - OTHER</v>
          </cell>
        </row>
        <row r="3902">
          <cell r="A3902">
            <v>9725725</v>
          </cell>
          <cell r="B3902">
            <v>331990</v>
          </cell>
          <cell r="C3902" t="str">
            <v>SUPPLIES - OTHER</v>
          </cell>
        </row>
        <row r="3903">
          <cell r="A3903">
            <v>9969681</v>
          </cell>
          <cell r="B3903">
            <v>331990</v>
          </cell>
          <cell r="C3903" t="str">
            <v>SUPPLIES - OTHER</v>
          </cell>
        </row>
        <row r="3904">
          <cell r="A3904">
            <v>9969901</v>
          </cell>
          <cell r="B3904">
            <v>331990</v>
          </cell>
          <cell r="C3904" t="str">
            <v>SUPPLIES - OTHER</v>
          </cell>
        </row>
        <row r="3905">
          <cell r="A3905" t="str">
            <v>ZONE-0105-POST</v>
          </cell>
          <cell r="B3905">
            <v>331990</v>
          </cell>
          <cell r="C3905" t="str">
            <v>SUPPLIES - OTHER</v>
          </cell>
        </row>
        <row r="3906">
          <cell r="A3906" t="str">
            <v>ZONE-0112-POST</v>
          </cell>
          <cell r="B3906">
            <v>331990</v>
          </cell>
          <cell r="C3906" t="str">
            <v>SUPPLIES - OTHER</v>
          </cell>
        </row>
        <row r="3907">
          <cell r="A3907">
            <v>9080700</v>
          </cell>
          <cell r="B3907">
            <v>341472</v>
          </cell>
          <cell r="C3907" t="str">
            <v>EQUIP RENTAL/LEASE - OUTSIDE</v>
          </cell>
        </row>
        <row r="3908">
          <cell r="A3908">
            <v>9080701</v>
          </cell>
          <cell r="B3908">
            <v>341472</v>
          </cell>
          <cell r="C3908" t="str">
            <v>EQUIP RENTAL/LEASE - OUTSIDE</v>
          </cell>
        </row>
        <row r="3909">
          <cell r="A3909">
            <v>9080702</v>
          </cell>
          <cell r="B3909">
            <v>341472</v>
          </cell>
          <cell r="C3909" t="str">
            <v>EQUIP RENTAL/LEASE - OUTSIDE</v>
          </cell>
        </row>
        <row r="3910">
          <cell r="A3910">
            <v>9080705</v>
          </cell>
          <cell r="B3910">
            <v>341472</v>
          </cell>
          <cell r="C3910" t="str">
            <v>EQUIP RENTAL/LEASE - OUTSIDE</v>
          </cell>
        </row>
        <row r="3911">
          <cell r="A3911">
            <v>9080707</v>
          </cell>
          <cell r="B3911">
            <v>341472</v>
          </cell>
          <cell r="C3911" t="str">
            <v>EQUIP RENTAL/LEASE - OUTSIDE</v>
          </cell>
        </row>
        <row r="3912">
          <cell r="A3912">
            <v>9080710</v>
          </cell>
          <cell r="B3912">
            <v>341472</v>
          </cell>
          <cell r="C3912" t="str">
            <v>EQUIP RENTAL/LEASE - OUTSIDE</v>
          </cell>
        </row>
        <row r="3913">
          <cell r="A3913">
            <v>9110700</v>
          </cell>
          <cell r="B3913">
            <v>341472</v>
          </cell>
          <cell r="C3913" t="str">
            <v>EQUIP RENTAL/LEASE - OUTSIDE</v>
          </cell>
        </row>
        <row r="3914">
          <cell r="A3914">
            <v>9110702</v>
          </cell>
          <cell r="B3914">
            <v>341472</v>
          </cell>
          <cell r="C3914" t="str">
            <v>EQUIP RENTAL/LEASE - OUTSIDE</v>
          </cell>
        </row>
        <row r="3915">
          <cell r="A3915">
            <v>9110705</v>
          </cell>
          <cell r="B3915">
            <v>341472</v>
          </cell>
          <cell r="C3915" t="str">
            <v>EQUIP RENTAL/LEASE - OUTSIDE</v>
          </cell>
        </row>
        <row r="3916">
          <cell r="A3916">
            <v>9110707</v>
          </cell>
          <cell r="B3916">
            <v>341472</v>
          </cell>
          <cell r="C3916" t="str">
            <v>EQUIP RENTAL/LEASE - OUTSIDE</v>
          </cell>
        </row>
        <row r="3917">
          <cell r="A3917">
            <v>9681700</v>
          </cell>
          <cell r="B3917">
            <v>341472</v>
          </cell>
          <cell r="C3917" t="str">
            <v>EQUIP RENTAL/LEASE - OUTSIDE</v>
          </cell>
        </row>
        <row r="3918">
          <cell r="A3918">
            <v>9681701</v>
          </cell>
          <cell r="B3918">
            <v>341472</v>
          </cell>
          <cell r="C3918" t="str">
            <v>EQUIP RENTAL/LEASE - OUTSIDE</v>
          </cell>
        </row>
        <row r="3919">
          <cell r="A3919">
            <v>9681702</v>
          </cell>
          <cell r="B3919">
            <v>341472</v>
          </cell>
          <cell r="C3919" t="str">
            <v>EQUIP RENTAL/LEASE - OUTSIDE</v>
          </cell>
        </row>
        <row r="3920">
          <cell r="A3920">
            <v>9681705</v>
          </cell>
          <cell r="B3920">
            <v>341472</v>
          </cell>
          <cell r="C3920" t="str">
            <v>EQUIP RENTAL/LEASE - OUTSIDE</v>
          </cell>
        </row>
        <row r="3921">
          <cell r="A3921">
            <v>9681706</v>
          </cell>
          <cell r="B3921">
            <v>341472</v>
          </cell>
          <cell r="C3921" t="str">
            <v>EQUIP RENTAL/LEASE - OUTSIDE</v>
          </cell>
        </row>
        <row r="3922">
          <cell r="A3922">
            <v>9681707</v>
          </cell>
          <cell r="B3922">
            <v>341472</v>
          </cell>
          <cell r="C3922" t="str">
            <v>EQUIP RENTAL/LEASE - OUTSIDE</v>
          </cell>
        </row>
        <row r="3923">
          <cell r="A3923">
            <v>9681712</v>
          </cell>
          <cell r="B3923">
            <v>341472</v>
          </cell>
          <cell r="C3923" t="str">
            <v>EQUIP RENTAL/LEASE - OUTSIDE</v>
          </cell>
        </row>
        <row r="3924">
          <cell r="A3924">
            <v>9681727</v>
          </cell>
          <cell r="B3924">
            <v>341472</v>
          </cell>
          <cell r="C3924" t="str">
            <v>EQUIP RENTAL/LEASE - OUTSIDE</v>
          </cell>
        </row>
        <row r="3925">
          <cell r="A3925">
            <v>9681749</v>
          </cell>
          <cell r="B3925">
            <v>341472</v>
          </cell>
          <cell r="C3925" t="str">
            <v>EQUIP RENTAL/LEASE - OUTSIDE</v>
          </cell>
        </row>
        <row r="3926">
          <cell r="A3926">
            <v>9681999</v>
          </cell>
          <cell r="B3926">
            <v>341472</v>
          </cell>
          <cell r="C3926" t="str">
            <v>EQUIP RENTAL/LEASE - OUTSIDE</v>
          </cell>
        </row>
        <row r="3927">
          <cell r="A3927">
            <v>9689883</v>
          </cell>
          <cell r="B3927">
            <v>341472</v>
          </cell>
          <cell r="C3927" t="str">
            <v>EQUIP RENTAL/LEASE - OUTSIDE</v>
          </cell>
        </row>
        <row r="3928">
          <cell r="A3928">
            <v>9689906</v>
          </cell>
          <cell r="B3928">
            <v>341472</v>
          </cell>
          <cell r="C3928" t="str">
            <v>EQUIP RENTAL/LEASE - OUTSIDE</v>
          </cell>
        </row>
        <row r="3929">
          <cell r="A3929">
            <v>9689992</v>
          </cell>
          <cell r="B3929">
            <v>341472</v>
          </cell>
          <cell r="C3929" t="str">
            <v>EQUIP RENTAL/LEASE - OUTSIDE</v>
          </cell>
        </row>
        <row r="3930">
          <cell r="A3930">
            <v>9720703</v>
          </cell>
          <cell r="B3930">
            <v>341473</v>
          </cell>
          <cell r="C3930" t="str">
            <v>NON CAPITALIZABLE EQUIP &amp; MAT</v>
          </cell>
        </row>
        <row r="3931">
          <cell r="A3931">
            <v>9724718</v>
          </cell>
          <cell r="B3931">
            <v>341473</v>
          </cell>
          <cell r="C3931" t="str">
            <v>NON CAPITALIZABLE EQUIP &amp; MAT</v>
          </cell>
        </row>
        <row r="3932">
          <cell r="A3932">
            <v>9724721</v>
          </cell>
          <cell r="B3932">
            <v>341473</v>
          </cell>
          <cell r="C3932" t="str">
            <v>NON CAPITALIZABLE EQUIP &amp; MAT</v>
          </cell>
        </row>
        <row r="3933">
          <cell r="A3933">
            <v>9724724</v>
          </cell>
          <cell r="B3933">
            <v>341473</v>
          </cell>
          <cell r="C3933" t="str">
            <v>NON CAPITALIZABLE EQUIP &amp; MAT</v>
          </cell>
        </row>
        <row r="3934">
          <cell r="A3934">
            <v>9725703</v>
          </cell>
          <cell r="B3934">
            <v>341473</v>
          </cell>
          <cell r="C3934" t="str">
            <v>NON CAPITALIZABLE EQUIP &amp; MAT</v>
          </cell>
        </row>
        <row r="3935">
          <cell r="A3935">
            <v>9725704</v>
          </cell>
          <cell r="B3935">
            <v>341473</v>
          </cell>
          <cell r="C3935" t="str">
            <v>NON CAPITALIZABLE EQUIP &amp; MAT</v>
          </cell>
        </row>
        <row r="3936">
          <cell r="A3936">
            <v>9725711</v>
          </cell>
          <cell r="B3936">
            <v>341473</v>
          </cell>
          <cell r="C3936" t="str">
            <v>NON CAPITALIZABLE EQUIP &amp; MAT</v>
          </cell>
        </row>
        <row r="3937">
          <cell r="A3937">
            <v>9725717</v>
          </cell>
          <cell r="B3937">
            <v>341473</v>
          </cell>
          <cell r="C3937" t="str">
            <v>NON CAPITALIZABLE EQUIP &amp; MAT</v>
          </cell>
        </row>
        <row r="3938">
          <cell r="A3938">
            <v>9725725</v>
          </cell>
          <cell r="B3938">
            <v>341473</v>
          </cell>
          <cell r="C3938" t="str">
            <v>NON CAPITALIZABLE EQUIP &amp; MAT</v>
          </cell>
        </row>
        <row r="3939">
          <cell r="A3939">
            <v>9080700</v>
          </cell>
          <cell r="B3939">
            <v>341474</v>
          </cell>
          <cell r="C3939" t="str">
            <v>EQUIPMENT MAINTENANCE/SERVICE</v>
          </cell>
        </row>
        <row r="3940">
          <cell r="A3940">
            <v>9080701</v>
          </cell>
          <cell r="B3940">
            <v>341474</v>
          </cell>
          <cell r="C3940" t="str">
            <v>EQUIPMENT MAINTENANCE/SERVICE</v>
          </cell>
        </row>
        <row r="3941">
          <cell r="A3941">
            <v>9080702</v>
          </cell>
          <cell r="B3941">
            <v>341474</v>
          </cell>
          <cell r="C3941" t="str">
            <v>EQUIPMENT MAINTENANCE/SERVICE</v>
          </cell>
        </row>
        <row r="3942">
          <cell r="A3942">
            <v>9080705</v>
          </cell>
          <cell r="B3942">
            <v>341474</v>
          </cell>
          <cell r="C3942" t="str">
            <v>EQUIPMENT MAINTENANCE/SERVICE</v>
          </cell>
        </row>
        <row r="3943">
          <cell r="A3943">
            <v>9080707</v>
          </cell>
          <cell r="B3943">
            <v>341474</v>
          </cell>
          <cell r="C3943" t="str">
            <v>EQUIPMENT MAINTENANCE/SERVICE</v>
          </cell>
        </row>
        <row r="3944">
          <cell r="A3944">
            <v>9080710</v>
          </cell>
          <cell r="B3944">
            <v>341474</v>
          </cell>
          <cell r="C3944" t="str">
            <v>EQUIPMENT MAINTENANCE/SERVICE</v>
          </cell>
        </row>
        <row r="3945">
          <cell r="A3945">
            <v>9090999</v>
          </cell>
          <cell r="B3945">
            <v>341474</v>
          </cell>
          <cell r="C3945" t="str">
            <v>EQUIPMENT MAINTENANCE/SERVICE</v>
          </cell>
        </row>
        <row r="3946">
          <cell r="A3946">
            <v>9100999</v>
          </cell>
          <cell r="B3946">
            <v>341474</v>
          </cell>
          <cell r="C3946" t="str">
            <v>EQUIPMENT MAINTENANCE/SERVICE</v>
          </cell>
        </row>
        <row r="3947">
          <cell r="A3947">
            <v>9110700</v>
          </cell>
          <cell r="B3947">
            <v>341474</v>
          </cell>
          <cell r="C3947" t="str">
            <v>EQUIPMENT MAINTENANCE/SERVICE</v>
          </cell>
        </row>
        <row r="3948">
          <cell r="A3948">
            <v>9110702</v>
          </cell>
          <cell r="B3948">
            <v>341474</v>
          </cell>
          <cell r="C3948" t="str">
            <v>EQUIPMENT MAINTENANCE/SERVICE</v>
          </cell>
        </row>
        <row r="3949">
          <cell r="A3949">
            <v>9110705</v>
          </cell>
          <cell r="B3949">
            <v>341474</v>
          </cell>
          <cell r="C3949" t="str">
            <v>EQUIPMENT MAINTENANCE/SERVICE</v>
          </cell>
        </row>
        <row r="3950">
          <cell r="A3950">
            <v>9110707</v>
          </cell>
          <cell r="B3950">
            <v>341474</v>
          </cell>
          <cell r="C3950" t="str">
            <v>EQUIPMENT MAINTENANCE/SERVICE</v>
          </cell>
        </row>
        <row r="3951">
          <cell r="A3951">
            <v>9680700</v>
          </cell>
          <cell r="B3951">
            <v>341474</v>
          </cell>
          <cell r="C3951" t="str">
            <v>EQUIPMENT MAINTENANCE/SERVICE</v>
          </cell>
        </row>
        <row r="3952">
          <cell r="A3952">
            <v>9680701</v>
          </cell>
          <cell r="B3952">
            <v>341474</v>
          </cell>
          <cell r="C3952" t="str">
            <v>EQUIPMENT MAINTENANCE/SERVICE</v>
          </cell>
        </row>
        <row r="3953">
          <cell r="A3953">
            <v>9680702</v>
          </cell>
          <cell r="B3953">
            <v>341474</v>
          </cell>
          <cell r="C3953" t="str">
            <v>EQUIPMENT MAINTENANCE/SERVICE</v>
          </cell>
        </row>
        <row r="3954">
          <cell r="A3954">
            <v>9680705</v>
          </cell>
          <cell r="B3954">
            <v>341474</v>
          </cell>
          <cell r="C3954" t="str">
            <v>EQUIPMENT MAINTENANCE/SERVICE</v>
          </cell>
        </row>
        <row r="3955">
          <cell r="A3955">
            <v>9680707</v>
          </cell>
          <cell r="B3955">
            <v>341474</v>
          </cell>
          <cell r="C3955" t="str">
            <v>EQUIPMENT MAINTENANCE/SERVICE</v>
          </cell>
        </row>
        <row r="3956">
          <cell r="A3956">
            <v>9680710</v>
          </cell>
          <cell r="B3956">
            <v>341474</v>
          </cell>
          <cell r="C3956" t="str">
            <v>EQUIPMENT MAINTENANCE/SERVICE</v>
          </cell>
        </row>
        <row r="3957">
          <cell r="A3957">
            <v>9680712</v>
          </cell>
          <cell r="B3957">
            <v>341474</v>
          </cell>
          <cell r="C3957" t="str">
            <v>EQUIPMENT MAINTENANCE/SERVICE</v>
          </cell>
        </row>
        <row r="3958">
          <cell r="A3958">
            <v>9680714</v>
          </cell>
          <cell r="B3958">
            <v>341474</v>
          </cell>
          <cell r="C3958" t="str">
            <v>EQUIPMENT MAINTENANCE/SERVICE</v>
          </cell>
        </row>
        <row r="3959">
          <cell r="A3959">
            <v>9680734</v>
          </cell>
          <cell r="B3959">
            <v>341474</v>
          </cell>
          <cell r="C3959" t="str">
            <v>EQUIPMENT MAINTENANCE/SERVICE</v>
          </cell>
        </row>
        <row r="3960">
          <cell r="A3960">
            <v>9680748</v>
          </cell>
          <cell r="B3960">
            <v>341474</v>
          </cell>
          <cell r="C3960" t="str">
            <v>EQUIPMENT MAINTENANCE/SERVICE</v>
          </cell>
        </row>
        <row r="3961">
          <cell r="A3961">
            <v>9680749</v>
          </cell>
          <cell r="B3961">
            <v>341474</v>
          </cell>
          <cell r="C3961" t="str">
            <v>EQUIPMENT MAINTENANCE/SERVICE</v>
          </cell>
        </row>
        <row r="3962">
          <cell r="A3962">
            <v>9680894</v>
          </cell>
          <cell r="B3962">
            <v>341474</v>
          </cell>
          <cell r="C3962" t="str">
            <v>EQUIPMENT MAINTENANCE/SERVICE</v>
          </cell>
        </row>
        <row r="3963">
          <cell r="A3963">
            <v>9680999</v>
          </cell>
          <cell r="B3963">
            <v>341474</v>
          </cell>
          <cell r="C3963" t="str">
            <v>EQUIPMENT MAINTENANCE/SERVICE</v>
          </cell>
        </row>
        <row r="3964">
          <cell r="A3964">
            <v>9681700</v>
          </cell>
          <cell r="B3964">
            <v>341474</v>
          </cell>
          <cell r="C3964" t="str">
            <v>EQUIPMENT MAINTENANCE/SERVICE</v>
          </cell>
        </row>
        <row r="3965">
          <cell r="A3965">
            <v>9681701</v>
          </cell>
          <cell r="B3965">
            <v>341474</v>
          </cell>
          <cell r="C3965" t="str">
            <v>EQUIPMENT MAINTENANCE/SERVICE</v>
          </cell>
        </row>
        <row r="3966">
          <cell r="A3966">
            <v>9681702</v>
          </cell>
          <cell r="B3966">
            <v>341474</v>
          </cell>
          <cell r="C3966" t="str">
            <v>EQUIPMENT MAINTENANCE/SERVICE</v>
          </cell>
        </row>
        <row r="3967">
          <cell r="A3967">
            <v>9681705</v>
          </cell>
          <cell r="B3967">
            <v>341474</v>
          </cell>
          <cell r="C3967" t="str">
            <v>EQUIPMENT MAINTENANCE/SERVICE</v>
          </cell>
        </row>
        <row r="3968">
          <cell r="A3968">
            <v>9681706</v>
          </cell>
          <cell r="B3968">
            <v>341474</v>
          </cell>
          <cell r="C3968" t="str">
            <v>EQUIPMENT MAINTENANCE/SERVICE</v>
          </cell>
        </row>
        <row r="3969">
          <cell r="A3969">
            <v>9681707</v>
          </cell>
          <cell r="B3969">
            <v>341474</v>
          </cell>
          <cell r="C3969" t="str">
            <v>EQUIPMENT MAINTENANCE/SERVICE</v>
          </cell>
        </row>
        <row r="3970">
          <cell r="A3970">
            <v>9681710</v>
          </cell>
          <cell r="B3970">
            <v>341474</v>
          </cell>
          <cell r="C3970" t="str">
            <v>EQUIPMENT MAINTENANCE/SERVICE</v>
          </cell>
        </row>
        <row r="3971">
          <cell r="A3971">
            <v>9681712</v>
          </cell>
          <cell r="B3971">
            <v>341474</v>
          </cell>
          <cell r="C3971" t="str">
            <v>EQUIPMENT MAINTENANCE/SERVICE</v>
          </cell>
        </row>
        <row r="3972">
          <cell r="A3972">
            <v>9681727</v>
          </cell>
          <cell r="B3972">
            <v>341474</v>
          </cell>
          <cell r="C3972" t="str">
            <v>EQUIPMENT MAINTENANCE/SERVICE</v>
          </cell>
        </row>
        <row r="3973">
          <cell r="A3973">
            <v>9681734</v>
          </cell>
          <cell r="B3973">
            <v>341474</v>
          </cell>
          <cell r="C3973" t="str">
            <v>EQUIPMENT MAINTENANCE/SERVICE</v>
          </cell>
        </row>
        <row r="3974">
          <cell r="A3974">
            <v>9681748</v>
          </cell>
          <cell r="B3974">
            <v>341474</v>
          </cell>
          <cell r="C3974" t="str">
            <v>EQUIPMENT MAINTENANCE/SERVICE</v>
          </cell>
        </row>
        <row r="3975">
          <cell r="A3975">
            <v>9681749</v>
          </cell>
          <cell r="B3975">
            <v>341474</v>
          </cell>
          <cell r="C3975" t="str">
            <v>EQUIPMENT MAINTENANCE/SERVICE</v>
          </cell>
        </row>
        <row r="3976">
          <cell r="A3976">
            <v>9681894</v>
          </cell>
          <cell r="B3976">
            <v>341474</v>
          </cell>
          <cell r="C3976" t="str">
            <v>EQUIPMENT MAINTENANCE/SERVICE</v>
          </cell>
        </row>
        <row r="3977">
          <cell r="A3977">
            <v>9681999</v>
          </cell>
          <cell r="B3977">
            <v>341474</v>
          </cell>
          <cell r="C3977" t="str">
            <v>EQUIPMENT MAINTENANCE/SERVICE</v>
          </cell>
        </row>
        <row r="3978">
          <cell r="A3978">
            <v>9682715</v>
          </cell>
          <cell r="B3978">
            <v>341474</v>
          </cell>
          <cell r="C3978" t="str">
            <v>EQUIPMENT MAINTENANCE/SERVICE</v>
          </cell>
        </row>
        <row r="3979">
          <cell r="A3979">
            <v>9682722</v>
          </cell>
          <cell r="B3979">
            <v>341474</v>
          </cell>
          <cell r="C3979" t="str">
            <v>EQUIPMENT MAINTENANCE/SERVICE</v>
          </cell>
        </row>
        <row r="3980">
          <cell r="A3980">
            <v>9682999</v>
          </cell>
          <cell r="B3980">
            <v>341474</v>
          </cell>
          <cell r="C3980" t="str">
            <v>EQUIPMENT MAINTENANCE/SERVICE</v>
          </cell>
        </row>
        <row r="3981">
          <cell r="A3981">
            <v>9683999</v>
          </cell>
          <cell r="B3981">
            <v>341474</v>
          </cell>
          <cell r="C3981" t="str">
            <v>EQUIPMENT MAINTENANCE/SERVICE</v>
          </cell>
        </row>
        <row r="3982">
          <cell r="A3982">
            <v>9684999</v>
          </cell>
          <cell r="B3982">
            <v>341474</v>
          </cell>
          <cell r="C3982" t="str">
            <v>EQUIPMENT MAINTENANCE/SERVICE</v>
          </cell>
        </row>
        <row r="3983">
          <cell r="A3983">
            <v>9689692</v>
          </cell>
          <cell r="B3983">
            <v>341474</v>
          </cell>
          <cell r="C3983" t="str">
            <v>EQUIPMENT MAINTENANCE/SERVICE</v>
          </cell>
        </row>
        <row r="3984">
          <cell r="A3984">
            <v>9689747</v>
          </cell>
          <cell r="B3984">
            <v>341474</v>
          </cell>
          <cell r="C3984" t="str">
            <v>EQUIPMENT MAINTENANCE/SERVICE</v>
          </cell>
        </row>
        <row r="3985">
          <cell r="A3985">
            <v>9689883</v>
          </cell>
          <cell r="B3985">
            <v>341474</v>
          </cell>
          <cell r="C3985" t="str">
            <v>EQUIPMENT MAINTENANCE/SERVICE</v>
          </cell>
        </row>
        <row r="3986">
          <cell r="A3986">
            <v>9689890</v>
          </cell>
          <cell r="B3986">
            <v>341474</v>
          </cell>
          <cell r="C3986" t="str">
            <v>EQUIPMENT MAINTENANCE/SERVICE</v>
          </cell>
        </row>
        <row r="3987">
          <cell r="A3987">
            <v>9689906</v>
          </cell>
          <cell r="B3987">
            <v>341474</v>
          </cell>
          <cell r="C3987" t="str">
            <v>EQUIPMENT MAINTENANCE/SERVICE</v>
          </cell>
        </row>
        <row r="3988">
          <cell r="A3988">
            <v>9689925</v>
          </cell>
          <cell r="B3988">
            <v>341474</v>
          </cell>
          <cell r="C3988" t="str">
            <v>EQUIPMENT MAINTENANCE/SERVICE</v>
          </cell>
        </row>
        <row r="3989">
          <cell r="A3989">
            <v>9689990</v>
          </cell>
          <cell r="B3989">
            <v>341474</v>
          </cell>
          <cell r="C3989" t="str">
            <v>EQUIPMENT MAINTENANCE/SERVICE</v>
          </cell>
        </row>
        <row r="3990">
          <cell r="A3990">
            <v>9689991</v>
          </cell>
          <cell r="B3990">
            <v>341474</v>
          </cell>
          <cell r="C3990" t="str">
            <v>EQUIPMENT MAINTENANCE/SERVICE</v>
          </cell>
        </row>
        <row r="3991">
          <cell r="A3991">
            <v>9689992</v>
          </cell>
          <cell r="B3991">
            <v>341474</v>
          </cell>
          <cell r="C3991" t="str">
            <v>EQUIPMENT MAINTENANCE/SERVICE</v>
          </cell>
        </row>
        <row r="3992">
          <cell r="A3992">
            <v>9720703</v>
          </cell>
          <cell r="B3992">
            <v>341474</v>
          </cell>
          <cell r="C3992" t="str">
            <v>EQUIPMENT MAINTENANCE/SERVICE</v>
          </cell>
        </row>
        <row r="3993">
          <cell r="A3993">
            <v>9724718</v>
          </cell>
          <cell r="B3993">
            <v>341474</v>
          </cell>
          <cell r="C3993" t="str">
            <v>EQUIPMENT MAINTENANCE/SERVICE</v>
          </cell>
        </row>
        <row r="3994">
          <cell r="A3994">
            <v>9724721</v>
          </cell>
          <cell r="B3994">
            <v>341474</v>
          </cell>
          <cell r="C3994" t="str">
            <v>EQUIPMENT MAINTENANCE/SERVICE</v>
          </cell>
        </row>
        <row r="3995">
          <cell r="A3995">
            <v>9724724</v>
          </cell>
          <cell r="B3995">
            <v>341474</v>
          </cell>
          <cell r="C3995" t="str">
            <v>EQUIPMENT MAINTENANCE/SERVICE</v>
          </cell>
        </row>
        <row r="3996">
          <cell r="A3996">
            <v>9725703</v>
          </cell>
          <cell r="B3996">
            <v>341474</v>
          </cell>
          <cell r="C3996" t="str">
            <v>EQUIPMENT MAINTENANCE/SERVICE</v>
          </cell>
        </row>
        <row r="3997">
          <cell r="A3997">
            <v>9725704</v>
          </cell>
          <cell r="B3997">
            <v>341474</v>
          </cell>
          <cell r="C3997" t="str">
            <v>EQUIPMENT MAINTENANCE/SERVICE</v>
          </cell>
        </row>
        <row r="3998">
          <cell r="A3998">
            <v>9725711</v>
          </cell>
          <cell r="B3998">
            <v>341474</v>
          </cell>
          <cell r="C3998" t="str">
            <v>EQUIPMENT MAINTENANCE/SERVICE</v>
          </cell>
        </row>
        <row r="3999">
          <cell r="A3999">
            <v>9725717</v>
          </cell>
          <cell r="B3999">
            <v>341474</v>
          </cell>
          <cell r="C3999" t="str">
            <v>EQUIPMENT MAINTENANCE/SERVICE</v>
          </cell>
        </row>
        <row r="4000">
          <cell r="A4000">
            <v>9725725</v>
          </cell>
          <cell r="B4000">
            <v>341474</v>
          </cell>
          <cell r="C4000" t="str">
            <v>EQUIPMENT MAINTENANCE/SERVICE</v>
          </cell>
        </row>
        <row r="4001">
          <cell r="A4001">
            <v>9090710</v>
          </cell>
          <cell r="B4001">
            <v>341578</v>
          </cell>
          <cell r="C4001" t="str">
            <v>VOICE TELECOMMUNICATION-SERVICE</v>
          </cell>
        </row>
        <row r="4002">
          <cell r="A4002">
            <v>9090999</v>
          </cell>
          <cell r="B4002">
            <v>341578</v>
          </cell>
          <cell r="C4002" t="str">
            <v>VOICE TELECOMMUNICATION-SERVICE</v>
          </cell>
        </row>
        <row r="4003">
          <cell r="A4003">
            <v>9100710</v>
          </cell>
          <cell r="B4003">
            <v>341578</v>
          </cell>
          <cell r="C4003" t="str">
            <v>VOICE TELECOMMUNICATION-SERVICE</v>
          </cell>
        </row>
        <row r="4004">
          <cell r="A4004">
            <v>9100999</v>
          </cell>
          <cell r="B4004">
            <v>341578</v>
          </cell>
          <cell r="C4004" t="str">
            <v>VOICE TELECOMMUNICATION-SERVICE</v>
          </cell>
        </row>
        <row r="4005">
          <cell r="A4005">
            <v>9080700</v>
          </cell>
          <cell r="B4005">
            <v>341674</v>
          </cell>
          <cell r="C4005" t="str">
            <v>DATA TELECOMMUNICATION-LINE ACCESS</v>
          </cell>
        </row>
        <row r="4006">
          <cell r="A4006">
            <v>9080701</v>
          </cell>
          <cell r="B4006">
            <v>341674</v>
          </cell>
          <cell r="C4006" t="str">
            <v>DATA TELECOMMUNICATION-LINE ACCESS</v>
          </cell>
        </row>
        <row r="4007">
          <cell r="A4007">
            <v>9080702</v>
          </cell>
          <cell r="B4007">
            <v>341674</v>
          </cell>
          <cell r="C4007" t="str">
            <v>DATA TELECOMMUNICATION-LINE ACCESS</v>
          </cell>
        </row>
        <row r="4008">
          <cell r="A4008">
            <v>9080705</v>
          </cell>
          <cell r="B4008">
            <v>341674</v>
          </cell>
          <cell r="C4008" t="str">
            <v>DATA TELECOMMUNICATION-LINE ACCESS</v>
          </cell>
        </row>
        <row r="4009">
          <cell r="A4009">
            <v>9080707</v>
          </cell>
          <cell r="B4009">
            <v>341674</v>
          </cell>
          <cell r="C4009" t="str">
            <v>DATA TELECOMMUNICATION-LINE ACCESS</v>
          </cell>
        </row>
        <row r="4010">
          <cell r="A4010">
            <v>9080710</v>
          </cell>
          <cell r="B4010">
            <v>341674</v>
          </cell>
          <cell r="C4010" t="str">
            <v>DATA TELECOMMUNICATION-LINE ACCESS</v>
          </cell>
        </row>
        <row r="4011">
          <cell r="A4011">
            <v>9090710</v>
          </cell>
          <cell r="B4011">
            <v>341674</v>
          </cell>
          <cell r="C4011" t="str">
            <v>DATA TELECOMMUNICATION-LINE ACCESS</v>
          </cell>
        </row>
        <row r="4012">
          <cell r="A4012">
            <v>9090999</v>
          </cell>
          <cell r="B4012">
            <v>341674</v>
          </cell>
          <cell r="C4012" t="str">
            <v>DATA TELECOMMUNICATION-LINE ACCESS</v>
          </cell>
        </row>
        <row r="4013">
          <cell r="A4013">
            <v>9100710</v>
          </cell>
          <cell r="B4013">
            <v>341674</v>
          </cell>
          <cell r="C4013" t="str">
            <v>DATA TELECOMMUNICATION-LINE ACCESS</v>
          </cell>
        </row>
        <row r="4014">
          <cell r="A4014">
            <v>9100999</v>
          </cell>
          <cell r="B4014">
            <v>341674</v>
          </cell>
          <cell r="C4014" t="str">
            <v>DATA TELECOMMUNICATION-LINE ACCESS</v>
          </cell>
        </row>
        <row r="4015">
          <cell r="A4015">
            <v>9110700</v>
          </cell>
          <cell r="B4015">
            <v>341674</v>
          </cell>
          <cell r="C4015" t="str">
            <v>DATA TELECOMMUNICATION-LINE ACCESS</v>
          </cell>
        </row>
        <row r="4016">
          <cell r="A4016">
            <v>9110702</v>
          </cell>
          <cell r="B4016">
            <v>341674</v>
          </cell>
          <cell r="C4016" t="str">
            <v>DATA TELECOMMUNICATION-LINE ACCESS</v>
          </cell>
        </row>
        <row r="4017">
          <cell r="A4017">
            <v>9110705</v>
          </cell>
          <cell r="B4017">
            <v>341674</v>
          </cell>
          <cell r="C4017" t="str">
            <v>DATA TELECOMMUNICATION-LINE ACCESS</v>
          </cell>
        </row>
        <row r="4018">
          <cell r="A4018">
            <v>9110707</v>
          </cell>
          <cell r="B4018">
            <v>341674</v>
          </cell>
          <cell r="C4018" t="str">
            <v>DATA TELECOMMUNICATION-LINE ACCESS</v>
          </cell>
        </row>
        <row r="4019">
          <cell r="A4019">
            <v>9680700</v>
          </cell>
          <cell r="B4019">
            <v>341674</v>
          </cell>
          <cell r="C4019" t="str">
            <v>DATA TELECOMMUNICATION-LINE ACCESS</v>
          </cell>
        </row>
        <row r="4020">
          <cell r="A4020">
            <v>9680701</v>
          </cell>
          <cell r="B4020">
            <v>341674</v>
          </cell>
          <cell r="C4020" t="str">
            <v>DATA TELECOMMUNICATION-LINE ACCESS</v>
          </cell>
        </row>
        <row r="4021">
          <cell r="A4021">
            <v>9680702</v>
          </cell>
          <cell r="B4021">
            <v>341674</v>
          </cell>
          <cell r="C4021" t="str">
            <v>DATA TELECOMMUNICATION-LINE ACCESS</v>
          </cell>
        </row>
        <row r="4022">
          <cell r="A4022">
            <v>9680705</v>
          </cell>
          <cell r="B4022">
            <v>341674</v>
          </cell>
          <cell r="C4022" t="str">
            <v>DATA TELECOMMUNICATION-LINE ACCESS</v>
          </cell>
        </row>
        <row r="4023">
          <cell r="A4023">
            <v>9680707</v>
          </cell>
          <cell r="B4023">
            <v>341674</v>
          </cell>
          <cell r="C4023" t="str">
            <v>DATA TELECOMMUNICATION-LINE ACCESS</v>
          </cell>
        </row>
        <row r="4024">
          <cell r="A4024">
            <v>9680710</v>
          </cell>
          <cell r="B4024">
            <v>341674</v>
          </cell>
          <cell r="C4024" t="str">
            <v>DATA TELECOMMUNICATION-LINE ACCESS</v>
          </cell>
        </row>
        <row r="4025">
          <cell r="A4025">
            <v>9680712</v>
          </cell>
          <cell r="B4025">
            <v>341674</v>
          </cell>
          <cell r="C4025" t="str">
            <v>DATA TELECOMMUNICATION-LINE ACCESS</v>
          </cell>
        </row>
        <row r="4026">
          <cell r="A4026">
            <v>9680714</v>
          </cell>
          <cell r="B4026">
            <v>341674</v>
          </cell>
          <cell r="C4026" t="str">
            <v>DATA TELECOMMUNICATION-LINE ACCESS</v>
          </cell>
        </row>
        <row r="4027">
          <cell r="A4027">
            <v>9680734</v>
          </cell>
          <cell r="B4027">
            <v>341674</v>
          </cell>
          <cell r="C4027" t="str">
            <v>DATA TELECOMMUNICATION-LINE ACCESS</v>
          </cell>
        </row>
        <row r="4028">
          <cell r="A4028">
            <v>9680748</v>
          </cell>
          <cell r="B4028">
            <v>341674</v>
          </cell>
          <cell r="C4028" t="str">
            <v>DATA TELECOMMUNICATION-LINE ACCESS</v>
          </cell>
        </row>
        <row r="4029">
          <cell r="A4029">
            <v>9680749</v>
          </cell>
          <cell r="B4029">
            <v>341674</v>
          </cell>
          <cell r="C4029" t="str">
            <v>DATA TELECOMMUNICATION-LINE ACCESS</v>
          </cell>
        </row>
        <row r="4030">
          <cell r="A4030">
            <v>9680894</v>
          </cell>
          <cell r="B4030">
            <v>341674</v>
          </cell>
          <cell r="C4030" t="str">
            <v>DATA TELECOMMUNICATION-LINE ACCESS</v>
          </cell>
        </row>
        <row r="4031">
          <cell r="A4031">
            <v>9680999</v>
          </cell>
          <cell r="B4031">
            <v>341674</v>
          </cell>
          <cell r="C4031" t="str">
            <v>DATA TELECOMMUNICATION-LINE ACCESS</v>
          </cell>
        </row>
        <row r="4032">
          <cell r="A4032">
            <v>9681700</v>
          </cell>
          <cell r="B4032">
            <v>341674</v>
          </cell>
          <cell r="C4032" t="str">
            <v>DATA TELECOMMUNICATION-LINE ACCESS</v>
          </cell>
        </row>
        <row r="4033">
          <cell r="A4033">
            <v>9681701</v>
          </cell>
          <cell r="B4033">
            <v>341674</v>
          </cell>
          <cell r="C4033" t="str">
            <v>DATA TELECOMMUNICATION-LINE ACCESS</v>
          </cell>
        </row>
        <row r="4034">
          <cell r="A4034">
            <v>9681702</v>
          </cell>
          <cell r="B4034">
            <v>341674</v>
          </cell>
          <cell r="C4034" t="str">
            <v>DATA TELECOMMUNICATION-LINE ACCESS</v>
          </cell>
        </row>
        <row r="4035">
          <cell r="A4035">
            <v>9681705</v>
          </cell>
          <cell r="B4035">
            <v>341674</v>
          </cell>
          <cell r="C4035" t="str">
            <v>DATA TELECOMMUNICATION-LINE ACCESS</v>
          </cell>
        </row>
        <row r="4036">
          <cell r="A4036">
            <v>9681706</v>
          </cell>
          <cell r="B4036">
            <v>341674</v>
          </cell>
          <cell r="C4036" t="str">
            <v>DATA TELECOMMUNICATION-LINE ACCESS</v>
          </cell>
        </row>
        <row r="4037">
          <cell r="A4037">
            <v>9681707</v>
          </cell>
          <cell r="B4037">
            <v>341674</v>
          </cell>
          <cell r="C4037" t="str">
            <v>DATA TELECOMMUNICATION-LINE ACCESS</v>
          </cell>
        </row>
        <row r="4038">
          <cell r="A4038">
            <v>9681710</v>
          </cell>
          <cell r="B4038">
            <v>341674</v>
          </cell>
          <cell r="C4038" t="str">
            <v>DATA TELECOMMUNICATION-LINE ACCESS</v>
          </cell>
        </row>
        <row r="4039">
          <cell r="A4039">
            <v>9681712</v>
          </cell>
          <cell r="B4039">
            <v>341674</v>
          </cell>
          <cell r="C4039" t="str">
            <v>DATA TELECOMMUNICATION-LINE ACCESS</v>
          </cell>
        </row>
        <row r="4040">
          <cell r="A4040">
            <v>9681727</v>
          </cell>
          <cell r="B4040">
            <v>341674</v>
          </cell>
          <cell r="C4040" t="str">
            <v>DATA TELECOMMUNICATION-LINE ACCESS</v>
          </cell>
        </row>
        <row r="4041">
          <cell r="A4041">
            <v>9681734</v>
          </cell>
          <cell r="B4041">
            <v>341674</v>
          </cell>
          <cell r="C4041" t="str">
            <v>DATA TELECOMMUNICATION-LINE ACCESS</v>
          </cell>
        </row>
        <row r="4042">
          <cell r="A4042">
            <v>9681748</v>
          </cell>
          <cell r="B4042">
            <v>341674</v>
          </cell>
          <cell r="C4042" t="str">
            <v>DATA TELECOMMUNICATION-LINE ACCESS</v>
          </cell>
        </row>
        <row r="4043">
          <cell r="A4043">
            <v>9681749</v>
          </cell>
          <cell r="B4043">
            <v>341674</v>
          </cell>
          <cell r="C4043" t="str">
            <v>DATA TELECOMMUNICATION-LINE ACCESS</v>
          </cell>
        </row>
        <row r="4044">
          <cell r="A4044">
            <v>9681894</v>
          </cell>
          <cell r="B4044">
            <v>341674</v>
          </cell>
          <cell r="C4044" t="str">
            <v>DATA TELECOMMUNICATION-LINE ACCESS</v>
          </cell>
        </row>
        <row r="4045">
          <cell r="A4045">
            <v>9681999</v>
          </cell>
          <cell r="B4045">
            <v>341674</v>
          </cell>
          <cell r="C4045" t="str">
            <v>DATA TELECOMMUNICATION-LINE ACCESS</v>
          </cell>
        </row>
        <row r="4046">
          <cell r="A4046">
            <v>9682715</v>
          </cell>
          <cell r="B4046">
            <v>341674</v>
          </cell>
          <cell r="C4046" t="str">
            <v>DATA TELECOMMUNICATION-LINE ACCESS</v>
          </cell>
        </row>
        <row r="4047">
          <cell r="A4047">
            <v>9682722</v>
          </cell>
          <cell r="B4047">
            <v>341674</v>
          </cell>
          <cell r="C4047" t="str">
            <v>DATA TELECOMMUNICATION-LINE ACCESS</v>
          </cell>
        </row>
        <row r="4048">
          <cell r="A4048">
            <v>9682999</v>
          </cell>
          <cell r="B4048">
            <v>341674</v>
          </cell>
          <cell r="C4048" t="str">
            <v>DATA TELECOMMUNICATION-LINE ACCESS</v>
          </cell>
        </row>
        <row r="4049">
          <cell r="A4049">
            <v>9683999</v>
          </cell>
          <cell r="B4049">
            <v>341674</v>
          </cell>
          <cell r="C4049" t="str">
            <v>DATA TELECOMMUNICATION-LINE ACCESS</v>
          </cell>
        </row>
        <row r="4050">
          <cell r="A4050">
            <v>9684999</v>
          </cell>
          <cell r="B4050">
            <v>341674</v>
          </cell>
          <cell r="C4050" t="str">
            <v>DATA TELECOMMUNICATION-LINE ACCESS</v>
          </cell>
        </row>
        <row r="4051">
          <cell r="A4051">
            <v>9689692</v>
          </cell>
          <cell r="B4051">
            <v>341674</v>
          </cell>
          <cell r="C4051" t="str">
            <v>DATA TELECOMMUNICATION-LINE ACCESS</v>
          </cell>
        </row>
        <row r="4052">
          <cell r="A4052">
            <v>9689747</v>
          </cell>
          <cell r="B4052">
            <v>341674</v>
          </cell>
          <cell r="C4052" t="str">
            <v>DATA TELECOMMUNICATION-LINE ACCESS</v>
          </cell>
        </row>
        <row r="4053">
          <cell r="A4053">
            <v>9689883</v>
          </cell>
          <cell r="B4053">
            <v>341674</v>
          </cell>
          <cell r="C4053" t="str">
            <v>DATA TELECOMMUNICATION-LINE ACCESS</v>
          </cell>
        </row>
        <row r="4054">
          <cell r="A4054">
            <v>9689890</v>
          </cell>
          <cell r="B4054">
            <v>341674</v>
          </cell>
          <cell r="C4054" t="str">
            <v>DATA TELECOMMUNICATION-LINE ACCESS</v>
          </cell>
        </row>
        <row r="4055">
          <cell r="A4055">
            <v>9689906</v>
          </cell>
          <cell r="B4055">
            <v>341674</v>
          </cell>
          <cell r="C4055" t="str">
            <v>DATA TELECOMMUNICATION-LINE ACCESS</v>
          </cell>
        </row>
        <row r="4056">
          <cell r="A4056">
            <v>9689925</v>
          </cell>
          <cell r="B4056">
            <v>341674</v>
          </cell>
          <cell r="C4056" t="str">
            <v>DATA TELECOMMUNICATION-LINE ACCESS</v>
          </cell>
        </row>
        <row r="4057">
          <cell r="A4057">
            <v>9689990</v>
          </cell>
          <cell r="B4057">
            <v>341674</v>
          </cell>
          <cell r="C4057" t="str">
            <v>DATA TELECOMMUNICATION-LINE ACCESS</v>
          </cell>
        </row>
        <row r="4058">
          <cell r="A4058">
            <v>9689991</v>
          </cell>
          <cell r="B4058">
            <v>341674</v>
          </cell>
          <cell r="C4058" t="str">
            <v>DATA TELECOMMUNICATION-LINE ACCESS</v>
          </cell>
        </row>
        <row r="4059">
          <cell r="A4059">
            <v>9689992</v>
          </cell>
          <cell r="B4059">
            <v>341674</v>
          </cell>
          <cell r="C4059" t="str">
            <v>DATA TELECOMMUNICATION-LINE ACCESS</v>
          </cell>
        </row>
        <row r="4060">
          <cell r="A4060">
            <v>9080700</v>
          </cell>
          <cell r="B4060">
            <v>341676</v>
          </cell>
          <cell r="C4060" t="str">
            <v>DATA TELECOMMUNICATIONS-USAGE</v>
          </cell>
        </row>
        <row r="4061">
          <cell r="A4061">
            <v>9080701</v>
          </cell>
          <cell r="B4061">
            <v>341676</v>
          </cell>
          <cell r="C4061" t="str">
            <v>DATA TELECOMMUNICATIONS-USAGE</v>
          </cell>
        </row>
        <row r="4062">
          <cell r="A4062">
            <v>9080702</v>
          </cell>
          <cell r="B4062">
            <v>341676</v>
          </cell>
          <cell r="C4062" t="str">
            <v>DATA TELECOMMUNICATIONS-USAGE</v>
          </cell>
        </row>
        <row r="4063">
          <cell r="A4063">
            <v>9080705</v>
          </cell>
          <cell r="B4063">
            <v>341676</v>
          </cell>
          <cell r="C4063" t="str">
            <v>DATA TELECOMMUNICATIONS-USAGE</v>
          </cell>
        </row>
        <row r="4064">
          <cell r="A4064">
            <v>9080707</v>
          </cell>
          <cell r="B4064">
            <v>341676</v>
          </cell>
          <cell r="C4064" t="str">
            <v>DATA TELECOMMUNICATIONS-USAGE</v>
          </cell>
        </row>
        <row r="4065">
          <cell r="A4065">
            <v>9080710</v>
          </cell>
          <cell r="B4065">
            <v>341676</v>
          </cell>
          <cell r="C4065" t="str">
            <v>DATA TELECOMMUNICATIONS-USAGE</v>
          </cell>
        </row>
        <row r="4066">
          <cell r="A4066">
            <v>9080999</v>
          </cell>
          <cell r="B4066">
            <v>341676</v>
          </cell>
          <cell r="C4066" t="str">
            <v>DATA TELECOMMUNICATIONS-USAGE</v>
          </cell>
        </row>
        <row r="4067">
          <cell r="A4067">
            <v>9090999</v>
          </cell>
          <cell r="B4067">
            <v>341676</v>
          </cell>
          <cell r="C4067" t="str">
            <v>DATA TELECOMMUNICATIONS-USAGE</v>
          </cell>
        </row>
        <row r="4068">
          <cell r="A4068">
            <v>9100710</v>
          </cell>
          <cell r="B4068">
            <v>341676</v>
          </cell>
          <cell r="C4068" t="str">
            <v>DATA TELECOMMUNICATIONS-USAGE</v>
          </cell>
        </row>
        <row r="4069">
          <cell r="A4069">
            <v>9100999</v>
          </cell>
          <cell r="B4069">
            <v>341676</v>
          </cell>
          <cell r="C4069" t="str">
            <v>DATA TELECOMMUNICATIONS-USAGE</v>
          </cell>
        </row>
        <row r="4070">
          <cell r="A4070">
            <v>9110700</v>
          </cell>
          <cell r="B4070">
            <v>341676</v>
          </cell>
          <cell r="C4070" t="str">
            <v>DATA TELECOMMUNICATIONS-USAGE</v>
          </cell>
        </row>
        <row r="4071">
          <cell r="A4071">
            <v>9110702</v>
          </cell>
          <cell r="B4071">
            <v>341676</v>
          </cell>
          <cell r="C4071" t="str">
            <v>DATA TELECOMMUNICATIONS-USAGE</v>
          </cell>
        </row>
        <row r="4072">
          <cell r="A4072">
            <v>9110705</v>
          </cell>
          <cell r="B4072">
            <v>341676</v>
          </cell>
          <cell r="C4072" t="str">
            <v>DATA TELECOMMUNICATIONS-USAGE</v>
          </cell>
        </row>
        <row r="4073">
          <cell r="A4073">
            <v>9110707</v>
          </cell>
          <cell r="B4073">
            <v>341676</v>
          </cell>
          <cell r="C4073" t="str">
            <v>DATA TELECOMMUNICATIONS-USAGE</v>
          </cell>
        </row>
        <row r="4074">
          <cell r="A4074">
            <v>9110999</v>
          </cell>
          <cell r="B4074">
            <v>341676</v>
          </cell>
          <cell r="C4074" t="str">
            <v>DATA TELECOMMUNICATIONS-USAGE</v>
          </cell>
        </row>
        <row r="4075">
          <cell r="A4075">
            <v>9680700</v>
          </cell>
          <cell r="B4075">
            <v>341676</v>
          </cell>
          <cell r="C4075" t="str">
            <v>DATA TELECOMMUNICATIONS-USAGE</v>
          </cell>
        </row>
        <row r="4076">
          <cell r="A4076">
            <v>9680701</v>
          </cell>
          <cell r="B4076">
            <v>341676</v>
          </cell>
          <cell r="C4076" t="str">
            <v>DATA TELECOMMUNICATIONS-USAGE</v>
          </cell>
        </row>
        <row r="4077">
          <cell r="A4077">
            <v>9680702</v>
          </cell>
          <cell r="B4077">
            <v>341676</v>
          </cell>
          <cell r="C4077" t="str">
            <v>DATA TELECOMMUNICATIONS-USAGE</v>
          </cell>
        </row>
        <row r="4078">
          <cell r="A4078">
            <v>9680705</v>
          </cell>
          <cell r="B4078">
            <v>341676</v>
          </cell>
          <cell r="C4078" t="str">
            <v>DATA TELECOMMUNICATIONS-USAGE</v>
          </cell>
        </row>
        <row r="4079">
          <cell r="A4079">
            <v>9680707</v>
          </cell>
          <cell r="B4079">
            <v>341676</v>
          </cell>
          <cell r="C4079" t="str">
            <v>DATA TELECOMMUNICATIONS-USAGE</v>
          </cell>
        </row>
        <row r="4080">
          <cell r="A4080">
            <v>9680710</v>
          </cell>
          <cell r="B4080">
            <v>341676</v>
          </cell>
          <cell r="C4080" t="str">
            <v>DATA TELECOMMUNICATIONS-USAGE</v>
          </cell>
        </row>
        <row r="4081">
          <cell r="A4081">
            <v>9680712</v>
          </cell>
          <cell r="B4081">
            <v>341676</v>
          </cell>
          <cell r="C4081" t="str">
            <v>DATA TELECOMMUNICATIONS-USAGE</v>
          </cell>
        </row>
        <row r="4082">
          <cell r="A4082">
            <v>9680714</v>
          </cell>
          <cell r="B4082">
            <v>341676</v>
          </cell>
          <cell r="C4082" t="str">
            <v>DATA TELECOMMUNICATIONS-USAGE</v>
          </cell>
        </row>
        <row r="4083">
          <cell r="A4083">
            <v>9680734</v>
          </cell>
          <cell r="B4083">
            <v>341676</v>
          </cell>
          <cell r="C4083" t="str">
            <v>DATA TELECOMMUNICATIONS-USAGE</v>
          </cell>
        </row>
        <row r="4084">
          <cell r="A4084">
            <v>9680748</v>
          </cell>
          <cell r="B4084">
            <v>341676</v>
          </cell>
          <cell r="C4084" t="str">
            <v>DATA TELECOMMUNICATIONS-USAGE</v>
          </cell>
        </row>
        <row r="4085">
          <cell r="A4085">
            <v>9680749</v>
          </cell>
          <cell r="B4085">
            <v>341676</v>
          </cell>
          <cell r="C4085" t="str">
            <v>DATA TELECOMMUNICATIONS-USAGE</v>
          </cell>
        </row>
        <row r="4086">
          <cell r="A4086">
            <v>9680894</v>
          </cell>
          <cell r="B4086">
            <v>341676</v>
          </cell>
          <cell r="C4086" t="str">
            <v>DATA TELECOMMUNICATIONS-USAGE</v>
          </cell>
        </row>
        <row r="4087">
          <cell r="A4087">
            <v>9680999</v>
          </cell>
          <cell r="B4087">
            <v>341676</v>
          </cell>
          <cell r="C4087" t="str">
            <v>DATA TELECOMMUNICATIONS-USAGE</v>
          </cell>
        </row>
        <row r="4088">
          <cell r="A4088">
            <v>9681700</v>
          </cell>
          <cell r="B4088">
            <v>341676</v>
          </cell>
          <cell r="C4088" t="str">
            <v>DATA TELECOMMUNICATIONS-USAGE</v>
          </cell>
        </row>
        <row r="4089">
          <cell r="A4089">
            <v>9681701</v>
          </cell>
          <cell r="B4089">
            <v>341676</v>
          </cell>
          <cell r="C4089" t="str">
            <v>DATA TELECOMMUNICATIONS-USAGE</v>
          </cell>
        </row>
        <row r="4090">
          <cell r="A4090">
            <v>9681702</v>
          </cell>
          <cell r="B4090">
            <v>341676</v>
          </cell>
          <cell r="C4090" t="str">
            <v>DATA TELECOMMUNICATIONS-USAGE</v>
          </cell>
        </row>
        <row r="4091">
          <cell r="A4091">
            <v>9681705</v>
          </cell>
          <cell r="B4091">
            <v>341676</v>
          </cell>
          <cell r="C4091" t="str">
            <v>DATA TELECOMMUNICATIONS-USAGE</v>
          </cell>
        </row>
        <row r="4092">
          <cell r="A4092">
            <v>9681706</v>
          </cell>
          <cell r="B4092">
            <v>341676</v>
          </cell>
          <cell r="C4092" t="str">
            <v>DATA TELECOMMUNICATIONS-USAGE</v>
          </cell>
        </row>
        <row r="4093">
          <cell r="A4093">
            <v>9681707</v>
          </cell>
          <cell r="B4093">
            <v>341676</v>
          </cell>
          <cell r="C4093" t="str">
            <v>DATA TELECOMMUNICATIONS-USAGE</v>
          </cell>
        </row>
        <row r="4094">
          <cell r="A4094">
            <v>9681710</v>
          </cell>
          <cell r="B4094">
            <v>341676</v>
          </cell>
          <cell r="C4094" t="str">
            <v>DATA TELECOMMUNICATIONS-USAGE</v>
          </cell>
        </row>
        <row r="4095">
          <cell r="A4095">
            <v>9681712</v>
          </cell>
          <cell r="B4095">
            <v>341676</v>
          </cell>
          <cell r="C4095" t="str">
            <v>DATA TELECOMMUNICATIONS-USAGE</v>
          </cell>
        </row>
        <row r="4096">
          <cell r="A4096">
            <v>9681727</v>
          </cell>
          <cell r="B4096">
            <v>341676</v>
          </cell>
          <cell r="C4096" t="str">
            <v>DATA TELECOMMUNICATIONS-USAGE</v>
          </cell>
        </row>
        <row r="4097">
          <cell r="A4097">
            <v>9681734</v>
          </cell>
          <cell r="B4097">
            <v>341676</v>
          </cell>
          <cell r="C4097" t="str">
            <v>DATA TELECOMMUNICATIONS-USAGE</v>
          </cell>
        </row>
        <row r="4098">
          <cell r="A4098">
            <v>9681748</v>
          </cell>
          <cell r="B4098">
            <v>341676</v>
          </cell>
          <cell r="C4098" t="str">
            <v>DATA TELECOMMUNICATIONS-USAGE</v>
          </cell>
        </row>
        <row r="4099">
          <cell r="A4099">
            <v>9681749</v>
          </cell>
          <cell r="B4099">
            <v>341676</v>
          </cell>
          <cell r="C4099" t="str">
            <v>DATA TELECOMMUNICATIONS-USAGE</v>
          </cell>
        </row>
        <row r="4100">
          <cell r="A4100">
            <v>9681894</v>
          </cell>
          <cell r="B4100">
            <v>341676</v>
          </cell>
          <cell r="C4100" t="str">
            <v>DATA TELECOMMUNICATIONS-USAGE</v>
          </cell>
        </row>
        <row r="4101">
          <cell r="A4101">
            <v>9681999</v>
          </cell>
          <cell r="B4101">
            <v>341676</v>
          </cell>
          <cell r="C4101" t="str">
            <v>DATA TELECOMMUNICATIONS-USAGE</v>
          </cell>
        </row>
        <row r="4102">
          <cell r="A4102">
            <v>9682715</v>
          </cell>
          <cell r="B4102">
            <v>341676</v>
          </cell>
          <cell r="C4102" t="str">
            <v>DATA TELECOMMUNICATIONS-USAGE</v>
          </cell>
        </row>
        <row r="4103">
          <cell r="A4103">
            <v>9682722</v>
          </cell>
          <cell r="B4103">
            <v>341676</v>
          </cell>
          <cell r="C4103" t="str">
            <v>DATA TELECOMMUNICATIONS-USAGE</v>
          </cell>
        </row>
        <row r="4104">
          <cell r="A4104">
            <v>9682999</v>
          </cell>
          <cell r="B4104">
            <v>341676</v>
          </cell>
          <cell r="C4104" t="str">
            <v>DATA TELECOMMUNICATIONS-USAGE</v>
          </cell>
        </row>
        <row r="4105">
          <cell r="A4105">
            <v>9683999</v>
          </cell>
          <cell r="B4105">
            <v>341676</v>
          </cell>
          <cell r="C4105" t="str">
            <v>DATA TELECOMMUNICATIONS-USAGE</v>
          </cell>
        </row>
        <row r="4106">
          <cell r="A4106">
            <v>9684999</v>
          </cell>
          <cell r="B4106">
            <v>341676</v>
          </cell>
          <cell r="C4106" t="str">
            <v>DATA TELECOMMUNICATIONS-USAGE</v>
          </cell>
        </row>
        <row r="4107">
          <cell r="A4107">
            <v>9689692</v>
          </cell>
          <cell r="B4107">
            <v>341676</v>
          </cell>
          <cell r="C4107" t="str">
            <v>DATA TELECOMMUNICATIONS-USAGE</v>
          </cell>
        </row>
        <row r="4108">
          <cell r="A4108">
            <v>9689747</v>
          </cell>
          <cell r="B4108">
            <v>341676</v>
          </cell>
          <cell r="C4108" t="str">
            <v>DATA TELECOMMUNICATIONS-USAGE</v>
          </cell>
        </row>
        <row r="4109">
          <cell r="A4109">
            <v>9689883</v>
          </cell>
          <cell r="B4109">
            <v>341676</v>
          </cell>
          <cell r="C4109" t="str">
            <v>DATA TELECOMMUNICATIONS-USAGE</v>
          </cell>
        </row>
        <row r="4110">
          <cell r="A4110">
            <v>9689890</v>
          </cell>
          <cell r="B4110">
            <v>341676</v>
          </cell>
          <cell r="C4110" t="str">
            <v>DATA TELECOMMUNICATIONS-USAGE</v>
          </cell>
        </row>
        <row r="4111">
          <cell r="A4111">
            <v>9689906</v>
          </cell>
          <cell r="B4111">
            <v>341676</v>
          </cell>
          <cell r="C4111" t="str">
            <v>DATA TELECOMMUNICATIONS-USAGE</v>
          </cell>
        </row>
        <row r="4112">
          <cell r="A4112">
            <v>9689925</v>
          </cell>
          <cell r="B4112">
            <v>341676</v>
          </cell>
          <cell r="C4112" t="str">
            <v>DATA TELECOMMUNICATIONS-USAGE</v>
          </cell>
        </row>
        <row r="4113">
          <cell r="A4113">
            <v>9689990</v>
          </cell>
          <cell r="B4113">
            <v>341676</v>
          </cell>
          <cell r="C4113" t="str">
            <v>DATA TELECOMMUNICATIONS-USAGE</v>
          </cell>
        </row>
        <row r="4114">
          <cell r="A4114">
            <v>9689991</v>
          </cell>
          <cell r="B4114">
            <v>341676</v>
          </cell>
          <cell r="C4114" t="str">
            <v>DATA TELECOMMUNICATIONS-USAGE</v>
          </cell>
        </row>
        <row r="4115">
          <cell r="A4115">
            <v>9689992</v>
          </cell>
          <cell r="B4115">
            <v>341676</v>
          </cell>
          <cell r="C4115" t="str">
            <v>DATA TELECOMMUNICATIONS-USAGE</v>
          </cell>
        </row>
        <row r="4116">
          <cell r="A4116">
            <v>9689993</v>
          </cell>
          <cell r="B4116">
            <v>341676</v>
          </cell>
          <cell r="C4116" t="str">
            <v>DATA TELECOMMUNICATIONS-USAGE</v>
          </cell>
        </row>
        <row r="4117">
          <cell r="A4117">
            <v>9689994</v>
          </cell>
          <cell r="B4117">
            <v>341676</v>
          </cell>
          <cell r="C4117" t="str">
            <v>DATA TELECOMMUNICATIONS-USAGE</v>
          </cell>
        </row>
        <row r="4118">
          <cell r="A4118">
            <v>9080700</v>
          </cell>
          <cell r="B4118">
            <v>341771</v>
          </cell>
          <cell r="C4118" t="str">
            <v>TELECOM SERVICE-AUDIO CONFERENCING</v>
          </cell>
        </row>
        <row r="4119">
          <cell r="A4119">
            <v>9080701</v>
          </cell>
          <cell r="B4119">
            <v>341771</v>
          </cell>
          <cell r="C4119" t="str">
            <v>TELECOM SERVICE-AUDIO CONFERENCING</v>
          </cell>
        </row>
        <row r="4120">
          <cell r="A4120">
            <v>9080702</v>
          </cell>
          <cell r="B4120">
            <v>341771</v>
          </cell>
          <cell r="C4120" t="str">
            <v>TELECOM SERVICE-AUDIO CONFERENCING</v>
          </cell>
        </row>
        <row r="4121">
          <cell r="A4121">
            <v>9080705</v>
          </cell>
          <cell r="B4121">
            <v>341771</v>
          </cell>
          <cell r="C4121" t="str">
            <v>TELECOM SERVICE-AUDIO CONFERENCING</v>
          </cell>
        </row>
        <row r="4122">
          <cell r="A4122">
            <v>9080707</v>
          </cell>
          <cell r="B4122">
            <v>341771</v>
          </cell>
          <cell r="C4122" t="str">
            <v>TELECOM SERVICE-AUDIO CONFERENCING</v>
          </cell>
        </row>
        <row r="4123">
          <cell r="A4123">
            <v>9080710</v>
          </cell>
          <cell r="B4123">
            <v>341771</v>
          </cell>
          <cell r="C4123" t="str">
            <v>TELECOM SERVICE-AUDIO CONFERENCING</v>
          </cell>
        </row>
        <row r="4124">
          <cell r="A4124">
            <v>9080999</v>
          </cell>
          <cell r="B4124">
            <v>341771</v>
          </cell>
          <cell r="C4124" t="str">
            <v>TELECOM SERVICE-AUDIO CONFERENCING</v>
          </cell>
        </row>
        <row r="4125">
          <cell r="A4125">
            <v>9090999</v>
          </cell>
          <cell r="B4125">
            <v>341771</v>
          </cell>
          <cell r="C4125" t="str">
            <v>TELECOM SERVICE-AUDIO CONFERENCING</v>
          </cell>
        </row>
        <row r="4126">
          <cell r="A4126">
            <v>9100999</v>
          </cell>
          <cell r="B4126">
            <v>341771</v>
          </cell>
          <cell r="C4126" t="str">
            <v>TELECOM SERVICE-AUDIO CONFERENCING</v>
          </cell>
        </row>
        <row r="4127">
          <cell r="A4127">
            <v>9110700</v>
          </cell>
          <cell r="B4127">
            <v>341771</v>
          </cell>
          <cell r="C4127" t="str">
            <v>TELECOM SERVICE-AUDIO CONFERENCING</v>
          </cell>
        </row>
        <row r="4128">
          <cell r="A4128">
            <v>9110702</v>
          </cell>
          <cell r="B4128">
            <v>341771</v>
          </cell>
          <cell r="C4128" t="str">
            <v>TELECOM SERVICE-AUDIO CONFERENCING</v>
          </cell>
        </row>
        <row r="4129">
          <cell r="A4129">
            <v>9110705</v>
          </cell>
          <cell r="B4129">
            <v>341771</v>
          </cell>
          <cell r="C4129" t="str">
            <v>TELECOM SERVICE-AUDIO CONFERENCING</v>
          </cell>
        </row>
        <row r="4130">
          <cell r="A4130">
            <v>9110707</v>
          </cell>
          <cell r="B4130">
            <v>341771</v>
          </cell>
          <cell r="C4130" t="str">
            <v>TELECOM SERVICE-AUDIO CONFERENCING</v>
          </cell>
        </row>
        <row r="4131">
          <cell r="A4131">
            <v>9110999</v>
          </cell>
          <cell r="B4131">
            <v>341771</v>
          </cell>
          <cell r="C4131" t="str">
            <v>TELECOM SERVICE-AUDIO CONFERENCING</v>
          </cell>
        </row>
        <row r="4132">
          <cell r="A4132">
            <v>9680700</v>
          </cell>
          <cell r="B4132">
            <v>341771</v>
          </cell>
          <cell r="C4132" t="str">
            <v>TELECOM SERVICE-AUDIO CONFERENCING</v>
          </cell>
        </row>
        <row r="4133">
          <cell r="A4133">
            <v>9680701</v>
          </cell>
          <cell r="B4133">
            <v>341771</v>
          </cell>
          <cell r="C4133" t="str">
            <v>TELECOM SERVICE-AUDIO CONFERENCING</v>
          </cell>
        </row>
        <row r="4134">
          <cell r="A4134">
            <v>9680702</v>
          </cell>
          <cell r="B4134">
            <v>341771</v>
          </cell>
          <cell r="C4134" t="str">
            <v>TELECOM SERVICE-AUDIO CONFERENCING</v>
          </cell>
        </row>
        <row r="4135">
          <cell r="A4135">
            <v>9680705</v>
          </cell>
          <cell r="B4135">
            <v>341771</v>
          </cell>
          <cell r="C4135" t="str">
            <v>TELECOM SERVICE-AUDIO CONFERENCING</v>
          </cell>
        </row>
        <row r="4136">
          <cell r="A4136">
            <v>9680707</v>
          </cell>
          <cell r="B4136">
            <v>341771</v>
          </cell>
          <cell r="C4136" t="str">
            <v>TELECOM SERVICE-AUDIO CONFERENCING</v>
          </cell>
        </row>
        <row r="4137">
          <cell r="A4137">
            <v>9680710</v>
          </cell>
          <cell r="B4137">
            <v>341771</v>
          </cell>
          <cell r="C4137" t="str">
            <v>TELECOM SERVICE-AUDIO CONFERENCING</v>
          </cell>
        </row>
        <row r="4138">
          <cell r="A4138">
            <v>9680712</v>
          </cell>
          <cell r="B4138">
            <v>341771</v>
          </cell>
          <cell r="C4138" t="str">
            <v>TELECOM SERVICE-AUDIO CONFERENCING</v>
          </cell>
        </row>
        <row r="4139">
          <cell r="A4139">
            <v>9680714</v>
          </cell>
          <cell r="B4139">
            <v>341771</v>
          </cell>
          <cell r="C4139" t="str">
            <v>TELECOM SERVICE-AUDIO CONFERENCING</v>
          </cell>
        </row>
        <row r="4140">
          <cell r="A4140">
            <v>9680734</v>
          </cell>
          <cell r="B4140">
            <v>341771</v>
          </cell>
          <cell r="C4140" t="str">
            <v>TELECOM SERVICE-AUDIO CONFERENCING</v>
          </cell>
        </row>
        <row r="4141">
          <cell r="A4141">
            <v>9680748</v>
          </cell>
          <cell r="B4141">
            <v>341771</v>
          </cell>
          <cell r="C4141" t="str">
            <v>TELECOM SERVICE-AUDIO CONFERENCING</v>
          </cell>
        </row>
        <row r="4142">
          <cell r="A4142">
            <v>9680749</v>
          </cell>
          <cell r="B4142">
            <v>341771</v>
          </cell>
          <cell r="C4142" t="str">
            <v>TELECOM SERVICE-AUDIO CONFERENCING</v>
          </cell>
        </row>
        <row r="4143">
          <cell r="A4143">
            <v>9680894</v>
          </cell>
          <cell r="B4143">
            <v>341771</v>
          </cell>
          <cell r="C4143" t="str">
            <v>TELECOM SERVICE-AUDIO CONFERENCING</v>
          </cell>
        </row>
        <row r="4144">
          <cell r="A4144">
            <v>9680999</v>
          </cell>
          <cell r="B4144">
            <v>341771</v>
          </cell>
          <cell r="C4144" t="str">
            <v>TELECOM SERVICE-AUDIO CONFERENCING</v>
          </cell>
        </row>
        <row r="4145">
          <cell r="A4145">
            <v>9681700</v>
          </cell>
          <cell r="B4145">
            <v>341771</v>
          </cell>
          <cell r="C4145" t="str">
            <v>TELECOM SERVICE-AUDIO CONFERENCING</v>
          </cell>
        </row>
        <row r="4146">
          <cell r="A4146">
            <v>9681701</v>
          </cell>
          <cell r="B4146">
            <v>341771</v>
          </cell>
          <cell r="C4146" t="str">
            <v>TELECOM SERVICE-AUDIO CONFERENCING</v>
          </cell>
        </row>
        <row r="4147">
          <cell r="A4147">
            <v>9681702</v>
          </cell>
          <cell r="B4147">
            <v>341771</v>
          </cell>
          <cell r="C4147" t="str">
            <v>TELECOM SERVICE-AUDIO CONFERENCING</v>
          </cell>
        </row>
        <row r="4148">
          <cell r="A4148">
            <v>9681705</v>
          </cell>
          <cell r="B4148">
            <v>341771</v>
          </cell>
          <cell r="C4148" t="str">
            <v>TELECOM SERVICE-AUDIO CONFERENCING</v>
          </cell>
        </row>
        <row r="4149">
          <cell r="A4149">
            <v>9681706</v>
          </cell>
          <cell r="B4149">
            <v>341771</v>
          </cell>
          <cell r="C4149" t="str">
            <v>TELECOM SERVICE-AUDIO CONFERENCING</v>
          </cell>
        </row>
        <row r="4150">
          <cell r="A4150">
            <v>9681707</v>
          </cell>
          <cell r="B4150">
            <v>341771</v>
          </cell>
          <cell r="C4150" t="str">
            <v>TELECOM SERVICE-AUDIO CONFERENCING</v>
          </cell>
        </row>
        <row r="4151">
          <cell r="A4151">
            <v>9681710</v>
          </cell>
          <cell r="B4151">
            <v>341771</v>
          </cell>
          <cell r="C4151" t="str">
            <v>TELECOM SERVICE-AUDIO CONFERENCING</v>
          </cell>
        </row>
        <row r="4152">
          <cell r="A4152">
            <v>9681712</v>
          </cell>
          <cell r="B4152">
            <v>341771</v>
          </cell>
          <cell r="C4152" t="str">
            <v>TELECOM SERVICE-AUDIO CONFERENCING</v>
          </cell>
        </row>
        <row r="4153">
          <cell r="A4153">
            <v>9681727</v>
          </cell>
          <cell r="B4153">
            <v>341771</v>
          </cell>
          <cell r="C4153" t="str">
            <v>TELECOM SERVICE-AUDIO CONFERENCING</v>
          </cell>
        </row>
        <row r="4154">
          <cell r="A4154">
            <v>9681734</v>
          </cell>
          <cell r="B4154">
            <v>341771</v>
          </cell>
          <cell r="C4154" t="str">
            <v>TELECOM SERVICE-AUDIO CONFERENCING</v>
          </cell>
        </row>
        <row r="4155">
          <cell r="A4155">
            <v>9681748</v>
          </cell>
          <cell r="B4155">
            <v>341771</v>
          </cell>
          <cell r="C4155" t="str">
            <v>TELECOM SERVICE-AUDIO CONFERENCING</v>
          </cell>
        </row>
        <row r="4156">
          <cell r="A4156">
            <v>9681749</v>
          </cell>
          <cell r="B4156">
            <v>341771</v>
          </cell>
          <cell r="C4156" t="str">
            <v>TELECOM SERVICE-AUDIO CONFERENCING</v>
          </cell>
        </row>
        <row r="4157">
          <cell r="A4157">
            <v>9681894</v>
          </cell>
          <cell r="B4157">
            <v>341771</v>
          </cell>
          <cell r="C4157" t="str">
            <v>TELECOM SERVICE-AUDIO CONFERENCING</v>
          </cell>
        </row>
        <row r="4158">
          <cell r="A4158">
            <v>9681999</v>
          </cell>
          <cell r="B4158">
            <v>341771</v>
          </cell>
          <cell r="C4158" t="str">
            <v>TELECOM SERVICE-AUDIO CONFERENCING</v>
          </cell>
        </row>
        <row r="4159">
          <cell r="A4159">
            <v>9682715</v>
          </cell>
          <cell r="B4159">
            <v>341771</v>
          </cell>
          <cell r="C4159" t="str">
            <v>TELECOM SERVICE-AUDIO CONFERENCING</v>
          </cell>
        </row>
        <row r="4160">
          <cell r="A4160">
            <v>9682722</v>
          </cell>
          <cell r="B4160">
            <v>341771</v>
          </cell>
          <cell r="C4160" t="str">
            <v>TELECOM SERVICE-AUDIO CONFERENCING</v>
          </cell>
        </row>
        <row r="4161">
          <cell r="A4161">
            <v>9682999</v>
          </cell>
          <cell r="B4161">
            <v>341771</v>
          </cell>
          <cell r="C4161" t="str">
            <v>TELECOM SERVICE-AUDIO CONFERENCING</v>
          </cell>
        </row>
        <row r="4162">
          <cell r="A4162">
            <v>9683999</v>
          </cell>
          <cell r="B4162">
            <v>341771</v>
          </cell>
          <cell r="C4162" t="str">
            <v>TELECOM SERVICE-AUDIO CONFERENCING</v>
          </cell>
        </row>
        <row r="4163">
          <cell r="A4163">
            <v>9684999</v>
          </cell>
          <cell r="B4163">
            <v>341771</v>
          </cell>
          <cell r="C4163" t="str">
            <v>TELECOM SERVICE-AUDIO CONFERENCING</v>
          </cell>
        </row>
        <row r="4164">
          <cell r="A4164">
            <v>9685999</v>
          </cell>
          <cell r="B4164">
            <v>341771</v>
          </cell>
          <cell r="C4164" t="str">
            <v>TELECOM SERVICE-AUDIO CONFERENCING</v>
          </cell>
        </row>
        <row r="4165">
          <cell r="A4165">
            <v>9689692</v>
          </cell>
          <cell r="B4165">
            <v>341771</v>
          </cell>
          <cell r="C4165" t="str">
            <v>TELECOM SERVICE-AUDIO CONFERENCING</v>
          </cell>
        </row>
        <row r="4166">
          <cell r="A4166">
            <v>9689747</v>
          </cell>
          <cell r="B4166">
            <v>341771</v>
          </cell>
          <cell r="C4166" t="str">
            <v>TELECOM SERVICE-AUDIO CONFERENCING</v>
          </cell>
        </row>
        <row r="4167">
          <cell r="A4167">
            <v>9689883</v>
          </cell>
          <cell r="B4167">
            <v>341771</v>
          </cell>
          <cell r="C4167" t="str">
            <v>TELECOM SERVICE-AUDIO CONFERENCING</v>
          </cell>
        </row>
        <row r="4168">
          <cell r="A4168">
            <v>9689890</v>
          </cell>
          <cell r="B4168">
            <v>341771</v>
          </cell>
          <cell r="C4168" t="str">
            <v>TELECOM SERVICE-AUDIO CONFERENCING</v>
          </cell>
        </row>
        <row r="4169">
          <cell r="A4169">
            <v>9689906</v>
          </cell>
          <cell r="B4169">
            <v>341771</v>
          </cell>
          <cell r="C4169" t="str">
            <v>TELECOM SERVICE-AUDIO CONFERENCING</v>
          </cell>
        </row>
        <row r="4170">
          <cell r="A4170">
            <v>9689925</v>
          </cell>
          <cell r="B4170">
            <v>341771</v>
          </cell>
          <cell r="C4170" t="str">
            <v>TELECOM SERVICE-AUDIO CONFERENCING</v>
          </cell>
        </row>
        <row r="4171">
          <cell r="A4171">
            <v>9689990</v>
          </cell>
          <cell r="B4171">
            <v>341771</v>
          </cell>
          <cell r="C4171" t="str">
            <v>TELECOM SERVICE-AUDIO CONFERENCING</v>
          </cell>
        </row>
        <row r="4172">
          <cell r="A4172">
            <v>9689991</v>
          </cell>
          <cell r="B4172">
            <v>341771</v>
          </cell>
          <cell r="C4172" t="str">
            <v>TELECOM SERVICE-AUDIO CONFERENCING</v>
          </cell>
        </row>
        <row r="4173">
          <cell r="A4173">
            <v>9689992</v>
          </cell>
          <cell r="B4173">
            <v>341771</v>
          </cell>
          <cell r="C4173" t="str">
            <v>TELECOM SERVICE-AUDIO CONFERENCING</v>
          </cell>
        </row>
        <row r="4174">
          <cell r="A4174">
            <v>9689993</v>
          </cell>
          <cell r="B4174">
            <v>341771</v>
          </cell>
          <cell r="C4174" t="str">
            <v>TELECOM SERVICE-AUDIO CONFERENCING</v>
          </cell>
        </row>
        <row r="4175">
          <cell r="A4175">
            <v>9080700</v>
          </cell>
          <cell r="B4175">
            <v>341772</v>
          </cell>
          <cell r="C4175" t="str">
            <v>SERVICE - LONG DISTANCE</v>
          </cell>
        </row>
        <row r="4176">
          <cell r="A4176">
            <v>9080701</v>
          </cell>
          <cell r="B4176">
            <v>341772</v>
          </cell>
          <cell r="C4176" t="str">
            <v>SERVICE - LONG DISTANCE</v>
          </cell>
        </row>
        <row r="4177">
          <cell r="A4177">
            <v>9080702</v>
          </cell>
          <cell r="B4177">
            <v>341772</v>
          </cell>
          <cell r="C4177" t="str">
            <v>SERVICE - LONG DISTANCE</v>
          </cell>
        </row>
        <row r="4178">
          <cell r="A4178">
            <v>9080705</v>
          </cell>
          <cell r="B4178">
            <v>341772</v>
          </cell>
          <cell r="C4178" t="str">
            <v>SERVICE - LONG DISTANCE</v>
          </cell>
        </row>
        <row r="4179">
          <cell r="A4179">
            <v>9080707</v>
          </cell>
          <cell r="B4179">
            <v>341772</v>
          </cell>
          <cell r="C4179" t="str">
            <v>SERVICE - LONG DISTANCE</v>
          </cell>
        </row>
        <row r="4180">
          <cell r="A4180">
            <v>9080710</v>
          </cell>
          <cell r="B4180">
            <v>341772</v>
          </cell>
          <cell r="C4180" t="str">
            <v>SERVICE - LONG DISTANCE</v>
          </cell>
        </row>
        <row r="4181">
          <cell r="A4181">
            <v>9080999</v>
          </cell>
          <cell r="B4181">
            <v>341772</v>
          </cell>
          <cell r="C4181" t="str">
            <v>SERVICE - LONG DISTANCE</v>
          </cell>
        </row>
        <row r="4182">
          <cell r="A4182">
            <v>9090710</v>
          </cell>
          <cell r="B4182">
            <v>341772</v>
          </cell>
          <cell r="C4182" t="str">
            <v>SERVICE - LONG DISTANCE</v>
          </cell>
        </row>
        <row r="4183">
          <cell r="A4183">
            <v>9090999</v>
          </cell>
          <cell r="B4183">
            <v>341772</v>
          </cell>
          <cell r="C4183" t="str">
            <v>SERVICE - LONG DISTANCE</v>
          </cell>
        </row>
        <row r="4184">
          <cell r="A4184">
            <v>9100710</v>
          </cell>
          <cell r="B4184">
            <v>341772</v>
          </cell>
          <cell r="C4184" t="str">
            <v>SERVICE - LONG DISTANCE</v>
          </cell>
        </row>
        <row r="4185">
          <cell r="A4185">
            <v>9100999</v>
          </cell>
          <cell r="B4185">
            <v>341772</v>
          </cell>
          <cell r="C4185" t="str">
            <v>SERVICE - LONG DISTANCE</v>
          </cell>
        </row>
        <row r="4186">
          <cell r="A4186">
            <v>9110700</v>
          </cell>
          <cell r="B4186">
            <v>341772</v>
          </cell>
          <cell r="C4186" t="str">
            <v>SERVICE - LONG DISTANCE</v>
          </cell>
        </row>
        <row r="4187">
          <cell r="A4187">
            <v>9110702</v>
          </cell>
          <cell r="B4187">
            <v>341772</v>
          </cell>
          <cell r="C4187" t="str">
            <v>SERVICE - LONG DISTANCE</v>
          </cell>
        </row>
        <row r="4188">
          <cell r="A4188">
            <v>9110705</v>
          </cell>
          <cell r="B4188">
            <v>341772</v>
          </cell>
          <cell r="C4188" t="str">
            <v>SERVICE - LONG DISTANCE</v>
          </cell>
        </row>
        <row r="4189">
          <cell r="A4189">
            <v>9110707</v>
          </cell>
          <cell r="B4189">
            <v>341772</v>
          </cell>
          <cell r="C4189" t="str">
            <v>SERVICE - LONG DISTANCE</v>
          </cell>
        </row>
        <row r="4190">
          <cell r="A4190">
            <v>9110999</v>
          </cell>
          <cell r="B4190">
            <v>341772</v>
          </cell>
          <cell r="C4190" t="str">
            <v>SERVICE - LONG DISTANCE</v>
          </cell>
        </row>
        <row r="4191">
          <cell r="A4191">
            <v>9680700</v>
          </cell>
          <cell r="B4191">
            <v>341772</v>
          </cell>
          <cell r="C4191" t="str">
            <v>SERVICE - LONG DISTANCE</v>
          </cell>
        </row>
        <row r="4192">
          <cell r="A4192">
            <v>9680701</v>
          </cell>
          <cell r="B4192">
            <v>341772</v>
          </cell>
          <cell r="C4192" t="str">
            <v>SERVICE - LONG DISTANCE</v>
          </cell>
        </row>
        <row r="4193">
          <cell r="A4193">
            <v>9680702</v>
          </cell>
          <cell r="B4193">
            <v>341772</v>
          </cell>
          <cell r="C4193" t="str">
            <v>SERVICE - LONG DISTANCE</v>
          </cell>
        </row>
        <row r="4194">
          <cell r="A4194">
            <v>9680705</v>
          </cell>
          <cell r="B4194">
            <v>341772</v>
          </cell>
          <cell r="C4194" t="str">
            <v>SERVICE - LONG DISTANCE</v>
          </cell>
        </row>
        <row r="4195">
          <cell r="A4195">
            <v>9680707</v>
          </cell>
          <cell r="B4195">
            <v>341772</v>
          </cell>
          <cell r="C4195" t="str">
            <v>SERVICE - LONG DISTANCE</v>
          </cell>
        </row>
        <row r="4196">
          <cell r="A4196">
            <v>9680710</v>
          </cell>
          <cell r="B4196">
            <v>341772</v>
          </cell>
          <cell r="C4196" t="str">
            <v>SERVICE - LONG DISTANCE</v>
          </cell>
        </row>
        <row r="4197">
          <cell r="A4197">
            <v>9680712</v>
          </cell>
          <cell r="B4197">
            <v>341772</v>
          </cell>
          <cell r="C4197" t="str">
            <v>SERVICE - LONG DISTANCE</v>
          </cell>
        </row>
        <row r="4198">
          <cell r="A4198">
            <v>9680714</v>
          </cell>
          <cell r="B4198">
            <v>341772</v>
          </cell>
          <cell r="C4198" t="str">
            <v>SERVICE - LONG DISTANCE</v>
          </cell>
        </row>
        <row r="4199">
          <cell r="A4199">
            <v>9680734</v>
          </cell>
          <cell r="B4199">
            <v>341772</v>
          </cell>
          <cell r="C4199" t="str">
            <v>SERVICE - LONG DISTANCE</v>
          </cell>
        </row>
        <row r="4200">
          <cell r="A4200">
            <v>9680748</v>
          </cell>
          <cell r="B4200">
            <v>341772</v>
          </cell>
          <cell r="C4200" t="str">
            <v>SERVICE - LONG DISTANCE</v>
          </cell>
        </row>
        <row r="4201">
          <cell r="A4201">
            <v>9680749</v>
          </cell>
          <cell r="B4201">
            <v>341772</v>
          </cell>
          <cell r="C4201" t="str">
            <v>SERVICE - LONG DISTANCE</v>
          </cell>
        </row>
        <row r="4202">
          <cell r="A4202">
            <v>9680894</v>
          </cell>
          <cell r="B4202">
            <v>341772</v>
          </cell>
          <cell r="C4202" t="str">
            <v>SERVICE - LONG DISTANCE</v>
          </cell>
        </row>
        <row r="4203">
          <cell r="A4203">
            <v>9680999</v>
          </cell>
          <cell r="B4203">
            <v>341772</v>
          </cell>
          <cell r="C4203" t="str">
            <v>SERVICE - LONG DISTANCE</v>
          </cell>
        </row>
        <row r="4204">
          <cell r="A4204">
            <v>9681700</v>
          </cell>
          <cell r="B4204">
            <v>341772</v>
          </cell>
          <cell r="C4204" t="str">
            <v>SERVICE - LONG DISTANCE</v>
          </cell>
        </row>
        <row r="4205">
          <cell r="A4205">
            <v>9681701</v>
          </cell>
          <cell r="B4205">
            <v>341772</v>
          </cell>
          <cell r="C4205" t="str">
            <v>SERVICE - LONG DISTANCE</v>
          </cell>
        </row>
        <row r="4206">
          <cell r="A4206">
            <v>9681702</v>
          </cell>
          <cell r="B4206">
            <v>341772</v>
          </cell>
          <cell r="C4206" t="str">
            <v>SERVICE - LONG DISTANCE</v>
          </cell>
        </row>
        <row r="4207">
          <cell r="A4207">
            <v>9681705</v>
          </cell>
          <cell r="B4207">
            <v>341772</v>
          </cell>
          <cell r="C4207" t="str">
            <v>SERVICE - LONG DISTANCE</v>
          </cell>
        </row>
        <row r="4208">
          <cell r="A4208">
            <v>9681706</v>
          </cell>
          <cell r="B4208">
            <v>341772</v>
          </cell>
          <cell r="C4208" t="str">
            <v>SERVICE - LONG DISTANCE</v>
          </cell>
        </row>
        <row r="4209">
          <cell r="A4209">
            <v>9681707</v>
          </cell>
          <cell r="B4209">
            <v>341772</v>
          </cell>
          <cell r="C4209" t="str">
            <v>SERVICE - LONG DISTANCE</v>
          </cell>
        </row>
        <row r="4210">
          <cell r="A4210">
            <v>9681710</v>
          </cell>
          <cell r="B4210">
            <v>341772</v>
          </cell>
          <cell r="C4210" t="str">
            <v>SERVICE - LONG DISTANCE</v>
          </cell>
        </row>
        <row r="4211">
          <cell r="A4211">
            <v>9681712</v>
          </cell>
          <cell r="B4211">
            <v>341772</v>
          </cell>
          <cell r="C4211" t="str">
            <v>SERVICE - LONG DISTANCE</v>
          </cell>
        </row>
        <row r="4212">
          <cell r="A4212">
            <v>9681727</v>
          </cell>
          <cell r="B4212">
            <v>341772</v>
          </cell>
          <cell r="C4212" t="str">
            <v>SERVICE - LONG DISTANCE</v>
          </cell>
        </row>
        <row r="4213">
          <cell r="A4213">
            <v>9681734</v>
          </cell>
          <cell r="B4213">
            <v>341772</v>
          </cell>
          <cell r="C4213" t="str">
            <v>SERVICE - LONG DISTANCE</v>
          </cell>
        </row>
        <row r="4214">
          <cell r="A4214">
            <v>9681748</v>
          </cell>
          <cell r="B4214">
            <v>341772</v>
          </cell>
          <cell r="C4214" t="str">
            <v>SERVICE - LONG DISTANCE</v>
          </cell>
        </row>
        <row r="4215">
          <cell r="A4215">
            <v>9681749</v>
          </cell>
          <cell r="B4215">
            <v>341772</v>
          </cell>
          <cell r="C4215" t="str">
            <v>SERVICE - LONG DISTANCE</v>
          </cell>
        </row>
        <row r="4216">
          <cell r="A4216">
            <v>9681894</v>
          </cell>
          <cell r="B4216">
            <v>341772</v>
          </cell>
          <cell r="C4216" t="str">
            <v>SERVICE - LONG DISTANCE</v>
          </cell>
        </row>
        <row r="4217">
          <cell r="A4217">
            <v>9681999</v>
          </cell>
          <cell r="B4217">
            <v>341772</v>
          </cell>
          <cell r="C4217" t="str">
            <v>SERVICE - LONG DISTANCE</v>
          </cell>
        </row>
        <row r="4218">
          <cell r="A4218">
            <v>9682715</v>
          </cell>
          <cell r="B4218">
            <v>341772</v>
          </cell>
          <cell r="C4218" t="str">
            <v>SERVICE - LONG DISTANCE</v>
          </cell>
        </row>
        <row r="4219">
          <cell r="A4219">
            <v>9682722</v>
          </cell>
          <cell r="B4219">
            <v>341772</v>
          </cell>
          <cell r="C4219" t="str">
            <v>SERVICE - LONG DISTANCE</v>
          </cell>
        </row>
        <row r="4220">
          <cell r="A4220">
            <v>9682999</v>
          </cell>
          <cell r="B4220">
            <v>341772</v>
          </cell>
          <cell r="C4220" t="str">
            <v>SERVICE - LONG DISTANCE</v>
          </cell>
        </row>
        <row r="4221">
          <cell r="A4221">
            <v>9683999</v>
          </cell>
          <cell r="B4221">
            <v>341772</v>
          </cell>
          <cell r="C4221" t="str">
            <v>SERVICE - LONG DISTANCE</v>
          </cell>
        </row>
        <row r="4222">
          <cell r="A4222">
            <v>9684999</v>
          </cell>
          <cell r="B4222">
            <v>341772</v>
          </cell>
          <cell r="C4222" t="str">
            <v>SERVICE - LONG DISTANCE</v>
          </cell>
        </row>
        <row r="4223">
          <cell r="A4223">
            <v>9685999</v>
          </cell>
          <cell r="B4223">
            <v>341772</v>
          </cell>
          <cell r="C4223" t="str">
            <v>SERVICE - LONG DISTANCE</v>
          </cell>
        </row>
        <row r="4224">
          <cell r="A4224">
            <v>9689692</v>
          </cell>
          <cell r="B4224">
            <v>341772</v>
          </cell>
          <cell r="C4224" t="str">
            <v>SERVICE - LONG DISTANCE</v>
          </cell>
        </row>
        <row r="4225">
          <cell r="A4225">
            <v>9689747</v>
          </cell>
          <cell r="B4225">
            <v>341772</v>
          </cell>
          <cell r="C4225" t="str">
            <v>SERVICE - LONG DISTANCE</v>
          </cell>
        </row>
        <row r="4226">
          <cell r="A4226">
            <v>9689883</v>
          </cell>
          <cell r="B4226">
            <v>341772</v>
          </cell>
          <cell r="C4226" t="str">
            <v>SERVICE - LONG DISTANCE</v>
          </cell>
        </row>
        <row r="4227">
          <cell r="A4227">
            <v>9689890</v>
          </cell>
          <cell r="B4227">
            <v>341772</v>
          </cell>
          <cell r="C4227" t="str">
            <v>SERVICE - LONG DISTANCE</v>
          </cell>
        </row>
        <row r="4228">
          <cell r="A4228">
            <v>9689906</v>
          </cell>
          <cell r="B4228">
            <v>341772</v>
          </cell>
          <cell r="C4228" t="str">
            <v>SERVICE - LONG DISTANCE</v>
          </cell>
        </row>
        <row r="4229">
          <cell r="A4229">
            <v>9689925</v>
          </cell>
          <cell r="B4229">
            <v>341772</v>
          </cell>
          <cell r="C4229" t="str">
            <v>SERVICE - LONG DISTANCE</v>
          </cell>
        </row>
        <row r="4230">
          <cell r="A4230">
            <v>9689990</v>
          </cell>
          <cell r="B4230">
            <v>341772</v>
          </cell>
          <cell r="C4230" t="str">
            <v>SERVICE - LONG DISTANCE</v>
          </cell>
        </row>
        <row r="4231">
          <cell r="A4231">
            <v>9689991</v>
          </cell>
          <cell r="B4231">
            <v>341772</v>
          </cell>
          <cell r="C4231" t="str">
            <v>SERVICE - LONG DISTANCE</v>
          </cell>
        </row>
        <row r="4232">
          <cell r="A4232">
            <v>9689992</v>
          </cell>
          <cell r="B4232">
            <v>341772</v>
          </cell>
          <cell r="C4232" t="str">
            <v>SERVICE - LONG DISTANCE</v>
          </cell>
        </row>
        <row r="4233">
          <cell r="A4233">
            <v>9689993</v>
          </cell>
          <cell r="B4233">
            <v>341772</v>
          </cell>
          <cell r="C4233" t="str">
            <v>SERVICE - LONG DISTANCE</v>
          </cell>
        </row>
        <row r="4234">
          <cell r="A4234">
            <v>9689994</v>
          </cell>
          <cell r="B4234">
            <v>341772</v>
          </cell>
          <cell r="C4234" t="str">
            <v>SERVICE - LONG DISTANCE</v>
          </cell>
        </row>
        <row r="4235">
          <cell r="A4235">
            <v>8001054179</v>
          </cell>
          <cell r="B4235">
            <v>341773</v>
          </cell>
          <cell r="C4235" t="str">
            <v>SERVICE - CELLULAR</v>
          </cell>
        </row>
        <row r="4236">
          <cell r="A4236">
            <v>8001059542</v>
          </cell>
          <cell r="B4236">
            <v>341773</v>
          </cell>
          <cell r="C4236" t="str">
            <v>SERVICE - CELLULAR</v>
          </cell>
        </row>
        <row r="4237">
          <cell r="A4237">
            <v>8010512510</v>
          </cell>
          <cell r="B4237">
            <v>341773</v>
          </cell>
          <cell r="C4237" t="str">
            <v>SERVICE - CELLULAR</v>
          </cell>
        </row>
        <row r="4238">
          <cell r="A4238">
            <v>9080700</v>
          </cell>
          <cell r="B4238">
            <v>341773</v>
          </cell>
          <cell r="C4238" t="str">
            <v>SERVICE - CELLULAR</v>
          </cell>
        </row>
        <row r="4239">
          <cell r="A4239">
            <v>9080701</v>
          </cell>
          <cell r="B4239">
            <v>341773</v>
          </cell>
          <cell r="C4239" t="str">
            <v>SERVICE - CELLULAR</v>
          </cell>
        </row>
        <row r="4240">
          <cell r="A4240">
            <v>9080702</v>
          </cell>
          <cell r="B4240">
            <v>341773</v>
          </cell>
          <cell r="C4240" t="str">
            <v>SERVICE - CELLULAR</v>
          </cell>
        </row>
        <row r="4241">
          <cell r="A4241">
            <v>9080705</v>
          </cell>
          <cell r="B4241">
            <v>341773</v>
          </cell>
          <cell r="C4241" t="str">
            <v>SERVICE - CELLULAR</v>
          </cell>
        </row>
        <row r="4242">
          <cell r="A4242">
            <v>9080707</v>
          </cell>
          <cell r="B4242">
            <v>341773</v>
          </cell>
          <cell r="C4242" t="str">
            <v>SERVICE - CELLULAR</v>
          </cell>
        </row>
        <row r="4243">
          <cell r="A4243">
            <v>9080710</v>
          </cell>
          <cell r="B4243">
            <v>341773</v>
          </cell>
          <cell r="C4243" t="str">
            <v>SERVICE - CELLULAR</v>
          </cell>
        </row>
        <row r="4244">
          <cell r="A4244">
            <v>9080999</v>
          </cell>
          <cell r="B4244">
            <v>341773</v>
          </cell>
          <cell r="C4244" t="str">
            <v>SERVICE - CELLULAR</v>
          </cell>
        </row>
        <row r="4245">
          <cell r="A4245">
            <v>9090710</v>
          </cell>
          <cell r="B4245">
            <v>341773</v>
          </cell>
          <cell r="C4245" t="str">
            <v>SERVICE - CELLULAR</v>
          </cell>
        </row>
        <row r="4246">
          <cell r="A4246">
            <v>9090999</v>
          </cell>
          <cell r="B4246">
            <v>341773</v>
          </cell>
          <cell r="C4246" t="str">
            <v>SERVICE - CELLULAR</v>
          </cell>
        </row>
        <row r="4247">
          <cell r="A4247">
            <v>9100710</v>
          </cell>
          <cell r="B4247">
            <v>341773</v>
          </cell>
          <cell r="C4247" t="str">
            <v>SERVICE - CELLULAR</v>
          </cell>
        </row>
        <row r="4248">
          <cell r="A4248">
            <v>9100999</v>
          </cell>
          <cell r="B4248">
            <v>341773</v>
          </cell>
          <cell r="C4248" t="str">
            <v>SERVICE - CELLULAR</v>
          </cell>
        </row>
        <row r="4249">
          <cell r="A4249">
            <v>9110700</v>
          </cell>
          <cell r="B4249">
            <v>341773</v>
          </cell>
          <cell r="C4249" t="str">
            <v>SERVICE - CELLULAR</v>
          </cell>
        </row>
        <row r="4250">
          <cell r="A4250">
            <v>9110702</v>
          </cell>
          <cell r="B4250">
            <v>341773</v>
          </cell>
          <cell r="C4250" t="str">
            <v>SERVICE - CELLULAR</v>
          </cell>
        </row>
        <row r="4251">
          <cell r="A4251">
            <v>9110705</v>
          </cell>
          <cell r="B4251">
            <v>341773</v>
          </cell>
          <cell r="C4251" t="str">
            <v>SERVICE - CELLULAR</v>
          </cell>
        </row>
        <row r="4252">
          <cell r="A4252">
            <v>9110707</v>
          </cell>
          <cell r="B4252">
            <v>341773</v>
          </cell>
          <cell r="C4252" t="str">
            <v>SERVICE - CELLULAR</v>
          </cell>
        </row>
        <row r="4253">
          <cell r="A4253">
            <v>9110999</v>
          </cell>
          <cell r="B4253">
            <v>341773</v>
          </cell>
          <cell r="C4253" t="str">
            <v>SERVICE - CELLULAR</v>
          </cell>
        </row>
        <row r="4254">
          <cell r="A4254">
            <v>9680700</v>
          </cell>
          <cell r="B4254">
            <v>341773</v>
          </cell>
          <cell r="C4254" t="str">
            <v>SERVICE - CELLULAR</v>
          </cell>
        </row>
        <row r="4255">
          <cell r="A4255">
            <v>9680701</v>
          </cell>
          <cell r="B4255">
            <v>341773</v>
          </cell>
          <cell r="C4255" t="str">
            <v>SERVICE - CELLULAR</v>
          </cell>
        </row>
        <row r="4256">
          <cell r="A4256">
            <v>9680702</v>
          </cell>
          <cell r="B4256">
            <v>341773</v>
          </cell>
          <cell r="C4256" t="str">
            <v>SERVICE - CELLULAR</v>
          </cell>
        </row>
        <row r="4257">
          <cell r="A4257">
            <v>9680705</v>
          </cell>
          <cell r="B4257">
            <v>341773</v>
          </cell>
          <cell r="C4257" t="str">
            <v>SERVICE - CELLULAR</v>
          </cell>
        </row>
        <row r="4258">
          <cell r="A4258">
            <v>9680707</v>
          </cell>
          <cell r="B4258">
            <v>341773</v>
          </cell>
          <cell r="C4258" t="str">
            <v>SERVICE - CELLULAR</v>
          </cell>
        </row>
        <row r="4259">
          <cell r="A4259">
            <v>9680710</v>
          </cell>
          <cell r="B4259">
            <v>341773</v>
          </cell>
          <cell r="C4259" t="str">
            <v>SERVICE - CELLULAR</v>
          </cell>
        </row>
        <row r="4260">
          <cell r="A4260">
            <v>9680712</v>
          </cell>
          <cell r="B4260">
            <v>341773</v>
          </cell>
          <cell r="C4260" t="str">
            <v>SERVICE - CELLULAR</v>
          </cell>
        </row>
        <row r="4261">
          <cell r="A4261">
            <v>9680714</v>
          </cell>
          <cell r="B4261">
            <v>341773</v>
          </cell>
          <cell r="C4261" t="str">
            <v>SERVICE - CELLULAR</v>
          </cell>
        </row>
        <row r="4262">
          <cell r="A4262">
            <v>9680734</v>
          </cell>
          <cell r="B4262">
            <v>341773</v>
          </cell>
          <cell r="C4262" t="str">
            <v>SERVICE - CELLULAR</v>
          </cell>
        </row>
        <row r="4263">
          <cell r="A4263">
            <v>9680748</v>
          </cell>
          <cell r="B4263">
            <v>341773</v>
          </cell>
          <cell r="C4263" t="str">
            <v>SERVICE - CELLULAR</v>
          </cell>
        </row>
        <row r="4264">
          <cell r="A4264">
            <v>9680749</v>
          </cell>
          <cell r="B4264">
            <v>341773</v>
          </cell>
          <cell r="C4264" t="str">
            <v>SERVICE - CELLULAR</v>
          </cell>
        </row>
        <row r="4265">
          <cell r="A4265">
            <v>9680894</v>
          </cell>
          <cell r="B4265">
            <v>341773</v>
          </cell>
          <cell r="C4265" t="str">
            <v>SERVICE - CELLULAR</v>
          </cell>
        </row>
        <row r="4266">
          <cell r="A4266">
            <v>9680999</v>
          </cell>
          <cell r="B4266">
            <v>341773</v>
          </cell>
          <cell r="C4266" t="str">
            <v>SERVICE - CELLULAR</v>
          </cell>
        </row>
        <row r="4267">
          <cell r="A4267">
            <v>9681700</v>
          </cell>
          <cell r="B4267">
            <v>341773</v>
          </cell>
          <cell r="C4267" t="str">
            <v>SERVICE - CELLULAR</v>
          </cell>
        </row>
        <row r="4268">
          <cell r="A4268">
            <v>9681701</v>
          </cell>
          <cell r="B4268">
            <v>341773</v>
          </cell>
          <cell r="C4268" t="str">
            <v>SERVICE - CELLULAR</v>
          </cell>
        </row>
        <row r="4269">
          <cell r="A4269">
            <v>9681702</v>
          </cell>
          <cell r="B4269">
            <v>341773</v>
          </cell>
          <cell r="C4269" t="str">
            <v>SERVICE - CELLULAR</v>
          </cell>
        </row>
        <row r="4270">
          <cell r="A4270">
            <v>9681705</v>
          </cell>
          <cell r="B4270">
            <v>341773</v>
          </cell>
          <cell r="C4270" t="str">
            <v>SERVICE - CELLULAR</v>
          </cell>
        </row>
        <row r="4271">
          <cell r="A4271">
            <v>9681706</v>
          </cell>
          <cell r="B4271">
            <v>341773</v>
          </cell>
          <cell r="C4271" t="str">
            <v>SERVICE - CELLULAR</v>
          </cell>
        </row>
        <row r="4272">
          <cell r="A4272">
            <v>9681707</v>
          </cell>
          <cell r="B4272">
            <v>341773</v>
          </cell>
          <cell r="C4272" t="str">
            <v>SERVICE - CELLULAR</v>
          </cell>
        </row>
        <row r="4273">
          <cell r="A4273">
            <v>9681710</v>
          </cell>
          <cell r="B4273">
            <v>341773</v>
          </cell>
          <cell r="C4273" t="str">
            <v>SERVICE - CELLULAR</v>
          </cell>
        </row>
        <row r="4274">
          <cell r="A4274">
            <v>9681712</v>
          </cell>
          <cell r="B4274">
            <v>341773</v>
          </cell>
          <cell r="C4274" t="str">
            <v>SERVICE - CELLULAR</v>
          </cell>
        </row>
        <row r="4275">
          <cell r="A4275">
            <v>9681727</v>
          </cell>
          <cell r="B4275">
            <v>341773</v>
          </cell>
          <cell r="C4275" t="str">
            <v>SERVICE - CELLULAR</v>
          </cell>
        </row>
        <row r="4276">
          <cell r="A4276">
            <v>9681734</v>
          </cell>
          <cell r="B4276">
            <v>341773</v>
          </cell>
          <cell r="C4276" t="str">
            <v>SERVICE - CELLULAR</v>
          </cell>
        </row>
        <row r="4277">
          <cell r="A4277">
            <v>9681748</v>
          </cell>
          <cell r="B4277">
            <v>341773</v>
          </cell>
          <cell r="C4277" t="str">
            <v>SERVICE - CELLULAR</v>
          </cell>
        </row>
        <row r="4278">
          <cell r="A4278">
            <v>9681749</v>
          </cell>
          <cell r="B4278">
            <v>341773</v>
          </cell>
          <cell r="C4278" t="str">
            <v>SERVICE - CELLULAR</v>
          </cell>
        </row>
        <row r="4279">
          <cell r="A4279">
            <v>9681894</v>
          </cell>
          <cell r="B4279">
            <v>341773</v>
          </cell>
          <cell r="C4279" t="str">
            <v>SERVICE - CELLULAR</v>
          </cell>
        </row>
        <row r="4280">
          <cell r="A4280">
            <v>9681999</v>
          </cell>
          <cell r="B4280">
            <v>341773</v>
          </cell>
          <cell r="C4280" t="str">
            <v>SERVICE - CELLULAR</v>
          </cell>
        </row>
        <row r="4281">
          <cell r="A4281">
            <v>9682715</v>
          </cell>
          <cell r="B4281">
            <v>341773</v>
          </cell>
          <cell r="C4281" t="str">
            <v>SERVICE - CELLULAR</v>
          </cell>
        </row>
        <row r="4282">
          <cell r="A4282">
            <v>9682722</v>
          </cell>
          <cell r="B4282">
            <v>341773</v>
          </cell>
          <cell r="C4282" t="str">
            <v>SERVICE - CELLULAR</v>
          </cell>
        </row>
        <row r="4283">
          <cell r="A4283">
            <v>9682999</v>
          </cell>
          <cell r="B4283">
            <v>341773</v>
          </cell>
          <cell r="C4283" t="str">
            <v>SERVICE - CELLULAR</v>
          </cell>
        </row>
        <row r="4284">
          <cell r="A4284">
            <v>9683999</v>
          </cell>
          <cell r="B4284">
            <v>341773</v>
          </cell>
          <cell r="C4284" t="str">
            <v>SERVICE - CELLULAR</v>
          </cell>
        </row>
        <row r="4285">
          <cell r="A4285">
            <v>9684999</v>
          </cell>
          <cell r="B4285">
            <v>341773</v>
          </cell>
          <cell r="C4285" t="str">
            <v>SERVICE - CELLULAR</v>
          </cell>
        </row>
        <row r="4286">
          <cell r="A4286">
            <v>9685999</v>
          </cell>
          <cell r="B4286">
            <v>341773</v>
          </cell>
          <cell r="C4286" t="str">
            <v>SERVICE - CELLULAR</v>
          </cell>
        </row>
        <row r="4287">
          <cell r="A4287">
            <v>9689692</v>
          </cell>
          <cell r="B4287">
            <v>341773</v>
          </cell>
          <cell r="C4287" t="str">
            <v>SERVICE - CELLULAR</v>
          </cell>
        </row>
        <row r="4288">
          <cell r="A4288">
            <v>9689747</v>
          </cell>
          <cell r="B4288">
            <v>341773</v>
          </cell>
          <cell r="C4288" t="str">
            <v>SERVICE - CELLULAR</v>
          </cell>
        </row>
        <row r="4289">
          <cell r="A4289">
            <v>9689883</v>
          </cell>
          <cell r="B4289">
            <v>341773</v>
          </cell>
          <cell r="C4289" t="str">
            <v>SERVICE - CELLULAR</v>
          </cell>
        </row>
        <row r="4290">
          <cell r="A4290">
            <v>9689890</v>
          </cell>
          <cell r="B4290">
            <v>341773</v>
          </cell>
          <cell r="C4290" t="str">
            <v>SERVICE - CELLULAR</v>
          </cell>
        </row>
        <row r="4291">
          <cell r="A4291">
            <v>9689906</v>
          </cell>
          <cell r="B4291">
            <v>341773</v>
          </cell>
          <cell r="C4291" t="str">
            <v>SERVICE - CELLULAR</v>
          </cell>
        </row>
        <row r="4292">
          <cell r="A4292">
            <v>9689925</v>
          </cell>
          <cell r="B4292">
            <v>341773</v>
          </cell>
          <cell r="C4292" t="str">
            <v>SERVICE - CELLULAR</v>
          </cell>
        </row>
        <row r="4293">
          <cell r="A4293">
            <v>9689990</v>
          </cell>
          <cell r="B4293">
            <v>341773</v>
          </cell>
          <cell r="C4293" t="str">
            <v>SERVICE - CELLULAR</v>
          </cell>
        </row>
        <row r="4294">
          <cell r="A4294">
            <v>9689991</v>
          </cell>
          <cell r="B4294">
            <v>341773</v>
          </cell>
          <cell r="C4294" t="str">
            <v>SERVICE - CELLULAR</v>
          </cell>
        </row>
        <row r="4295">
          <cell r="A4295">
            <v>9689992</v>
          </cell>
          <cell r="B4295">
            <v>341773</v>
          </cell>
          <cell r="C4295" t="str">
            <v>SERVICE - CELLULAR</v>
          </cell>
        </row>
        <row r="4296">
          <cell r="A4296">
            <v>9689993</v>
          </cell>
          <cell r="B4296">
            <v>341773</v>
          </cell>
          <cell r="C4296" t="str">
            <v>SERVICE - CELLULAR</v>
          </cell>
        </row>
        <row r="4297">
          <cell r="A4297">
            <v>9689994</v>
          </cell>
          <cell r="B4297">
            <v>341773</v>
          </cell>
          <cell r="C4297" t="str">
            <v>SERVICE - CELLULAR</v>
          </cell>
        </row>
        <row r="4298">
          <cell r="A4298">
            <v>9969681</v>
          </cell>
          <cell r="B4298">
            <v>341773</v>
          </cell>
          <cell r="C4298" t="str">
            <v>SERVICE - CELLULAR</v>
          </cell>
        </row>
        <row r="4299">
          <cell r="A4299">
            <v>9969901</v>
          </cell>
          <cell r="B4299">
            <v>341773</v>
          </cell>
          <cell r="C4299" t="str">
            <v>SERVICE - CELLULAR</v>
          </cell>
        </row>
        <row r="4300">
          <cell r="A4300" t="str">
            <v>ZONE-0105-POST</v>
          </cell>
          <cell r="B4300">
            <v>341773</v>
          </cell>
          <cell r="C4300" t="str">
            <v>SERVICE - CELLULAR</v>
          </cell>
        </row>
        <row r="4301">
          <cell r="A4301" t="str">
            <v>ZONE-0112-POST</v>
          </cell>
          <cell r="B4301">
            <v>341773</v>
          </cell>
          <cell r="C4301" t="str">
            <v>SERVICE - CELLULAR</v>
          </cell>
        </row>
        <row r="4302">
          <cell r="A4302">
            <v>9090999</v>
          </cell>
          <cell r="B4302">
            <v>341774</v>
          </cell>
          <cell r="C4302" t="str">
            <v>SERVICE - CALLING CARDS</v>
          </cell>
        </row>
        <row r="4303">
          <cell r="A4303">
            <v>9100999</v>
          </cell>
          <cell r="B4303">
            <v>341774</v>
          </cell>
          <cell r="C4303" t="str">
            <v>SERVICE - CALLING CARDS</v>
          </cell>
        </row>
        <row r="4304">
          <cell r="A4304">
            <v>9680700</v>
          </cell>
          <cell r="B4304">
            <v>341774</v>
          </cell>
          <cell r="C4304" t="str">
            <v>SERVICE - CALLING CARDS</v>
          </cell>
        </row>
        <row r="4305">
          <cell r="A4305">
            <v>9680701</v>
          </cell>
          <cell r="B4305">
            <v>341774</v>
          </cell>
          <cell r="C4305" t="str">
            <v>SERVICE - CALLING CARDS</v>
          </cell>
        </row>
        <row r="4306">
          <cell r="A4306">
            <v>9680702</v>
          </cell>
          <cell r="B4306">
            <v>341774</v>
          </cell>
          <cell r="C4306" t="str">
            <v>SERVICE - CALLING CARDS</v>
          </cell>
        </row>
        <row r="4307">
          <cell r="A4307">
            <v>9680705</v>
          </cell>
          <cell r="B4307">
            <v>341774</v>
          </cell>
          <cell r="C4307" t="str">
            <v>SERVICE - CALLING CARDS</v>
          </cell>
        </row>
        <row r="4308">
          <cell r="A4308">
            <v>9680707</v>
          </cell>
          <cell r="B4308">
            <v>341774</v>
          </cell>
          <cell r="C4308" t="str">
            <v>SERVICE - CALLING CARDS</v>
          </cell>
        </row>
        <row r="4309">
          <cell r="A4309">
            <v>9680710</v>
          </cell>
          <cell r="B4309">
            <v>341774</v>
          </cell>
          <cell r="C4309" t="str">
            <v>SERVICE - CALLING CARDS</v>
          </cell>
        </row>
        <row r="4310">
          <cell r="A4310">
            <v>9680712</v>
          </cell>
          <cell r="B4310">
            <v>341774</v>
          </cell>
          <cell r="C4310" t="str">
            <v>SERVICE - CALLING CARDS</v>
          </cell>
        </row>
        <row r="4311">
          <cell r="A4311">
            <v>9680714</v>
          </cell>
          <cell r="B4311">
            <v>341774</v>
          </cell>
          <cell r="C4311" t="str">
            <v>SERVICE - CALLING CARDS</v>
          </cell>
        </row>
        <row r="4312">
          <cell r="A4312">
            <v>9680734</v>
          </cell>
          <cell r="B4312">
            <v>341774</v>
          </cell>
          <cell r="C4312" t="str">
            <v>SERVICE - CALLING CARDS</v>
          </cell>
        </row>
        <row r="4313">
          <cell r="A4313">
            <v>9680748</v>
          </cell>
          <cell r="B4313">
            <v>341774</v>
          </cell>
          <cell r="C4313" t="str">
            <v>SERVICE - CALLING CARDS</v>
          </cell>
        </row>
        <row r="4314">
          <cell r="A4314">
            <v>9680749</v>
          </cell>
          <cell r="B4314">
            <v>341774</v>
          </cell>
          <cell r="C4314" t="str">
            <v>SERVICE - CALLING CARDS</v>
          </cell>
        </row>
        <row r="4315">
          <cell r="A4315">
            <v>9680894</v>
          </cell>
          <cell r="B4315">
            <v>341774</v>
          </cell>
          <cell r="C4315" t="str">
            <v>SERVICE - CALLING CARDS</v>
          </cell>
        </row>
        <row r="4316">
          <cell r="A4316">
            <v>9680999</v>
          </cell>
          <cell r="B4316">
            <v>341774</v>
          </cell>
          <cell r="C4316" t="str">
            <v>SERVICE - CALLING CARDS</v>
          </cell>
        </row>
        <row r="4317">
          <cell r="A4317">
            <v>9681710</v>
          </cell>
          <cell r="B4317">
            <v>341774</v>
          </cell>
          <cell r="C4317" t="str">
            <v>SERVICE - CALLING CARDS</v>
          </cell>
        </row>
        <row r="4318">
          <cell r="A4318">
            <v>9681734</v>
          </cell>
          <cell r="B4318">
            <v>341774</v>
          </cell>
          <cell r="C4318" t="str">
            <v>SERVICE - CALLING CARDS</v>
          </cell>
        </row>
        <row r="4319">
          <cell r="A4319">
            <v>9681748</v>
          </cell>
          <cell r="B4319">
            <v>341774</v>
          </cell>
          <cell r="C4319" t="str">
            <v>SERVICE - CALLING CARDS</v>
          </cell>
        </row>
        <row r="4320">
          <cell r="A4320">
            <v>9681894</v>
          </cell>
          <cell r="B4320">
            <v>341774</v>
          </cell>
          <cell r="C4320" t="str">
            <v>SERVICE - CALLING CARDS</v>
          </cell>
        </row>
        <row r="4321">
          <cell r="A4321">
            <v>9689883</v>
          </cell>
          <cell r="B4321">
            <v>341774</v>
          </cell>
          <cell r="C4321" t="str">
            <v>SERVICE - CALLING CARDS</v>
          </cell>
        </row>
        <row r="4322">
          <cell r="A4322">
            <v>9689906</v>
          </cell>
          <cell r="B4322">
            <v>341774</v>
          </cell>
          <cell r="C4322" t="str">
            <v>SERVICE - CALLING CARDS</v>
          </cell>
        </row>
        <row r="4323">
          <cell r="A4323">
            <v>9689992</v>
          </cell>
          <cell r="B4323">
            <v>341774</v>
          </cell>
          <cell r="C4323" t="str">
            <v>SERVICE - CALLING CARDS</v>
          </cell>
        </row>
        <row r="4324">
          <cell r="A4324">
            <v>9682715</v>
          </cell>
          <cell r="B4324">
            <v>341776</v>
          </cell>
          <cell r="C4324" t="str">
            <v>SERVICE - 800 NUMBERS</v>
          </cell>
        </row>
        <row r="4325">
          <cell r="A4325">
            <v>9689883</v>
          </cell>
          <cell r="B4325">
            <v>341776</v>
          </cell>
          <cell r="C4325" t="str">
            <v>SERVICE - 800 NUMBERS</v>
          </cell>
        </row>
        <row r="4326">
          <cell r="A4326">
            <v>9689906</v>
          </cell>
          <cell r="B4326">
            <v>341776</v>
          </cell>
          <cell r="C4326" t="str">
            <v>SERVICE - 800 NUMBERS</v>
          </cell>
        </row>
        <row r="4327">
          <cell r="A4327">
            <v>9689992</v>
          </cell>
          <cell r="B4327">
            <v>341776</v>
          </cell>
          <cell r="C4327" t="str">
            <v>SERVICE - 800 NUMBERS</v>
          </cell>
        </row>
        <row r="4328">
          <cell r="A4328">
            <v>9689883</v>
          </cell>
          <cell r="B4328">
            <v>341777</v>
          </cell>
          <cell r="C4328" t="str">
            <v>SERVICE - PAGERS</v>
          </cell>
        </row>
        <row r="4329">
          <cell r="A4329">
            <v>9689906</v>
          </cell>
          <cell r="B4329">
            <v>341777</v>
          </cell>
          <cell r="C4329" t="str">
            <v>SERVICE - PAGERS</v>
          </cell>
        </row>
        <row r="4330">
          <cell r="A4330">
            <v>9689992</v>
          </cell>
          <cell r="B4330">
            <v>341777</v>
          </cell>
          <cell r="C4330" t="str">
            <v>SERVICE - PAGERS</v>
          </cell>
        </row>
        <row r="4331">
          <cell r="A4331">
            <v>9080700</v>
          </cell>
          <cell r="B4331">
            <v>341779</v>
          </cell>
          <cell r="C4331" t="str">
            <v>OTHER TELECOMMUNICATION SERVIC</v>
          </cell>
        </row>
        <row r="4332">
          <cell r="A4332">
            <v>9080701</v>
          </cell>
          <cell r="B4332">
            <v>341779</v>
          </cell>
          <cell r="C4332" t="str">
            <v>OTHER TELECOMMUNICATION SERVIC</v>
          </cell>
        </row>
        <row r="4333">
          <cell r="A4333">
            <v>9080702</v>
          </cell>
          <cell r="B4333">
            <v>341779</v>
          </cell>
          <cell r="C4333" t="str">
            <v>OTHER TELECOMMUNICATION SERVIC</v>
          </cell>
        </row>
        <row r="4334">
          <cell r="A4334">
            <v>9080705</v>
          </cell>
          <cell r="B4334">
            <v>341779</v>
          </cell>
          <cell r="C4334" t="str">
            <v>OTHER TELECOMMUNICATION SERVIC</v>
          </cell>
        </row>
        <row r="4335">
          <cell r="A4335">
            <v>9080707</v>
          </cell>
          <cell r="B4335">
            <v>341779</v>
          </cell>
          <cell r="C4335" t="str">
            <v>OTHER TELECOMMUNICATION SERVIC</v>
          </cell>
        </row>
        <row r="4336">
          <cell r="A4336">
            <v>9080710</v>
          </cell>
          <cell r="B4336">
            <v>341779</v>
          </cell>
          <cell r="C4336" t="str">
            <v>OTHER TELECOMMUNICATION SERVIC</v>
          </cell>
        </row>
        <row r="4337">
          <cell r="A4337">
            <v>9090999</v>
          </cell>
          <cell r="B4337">
            <v>341779</v>
          </cell>
          <cell r="C4337" t="str">
            <v>OTHER TELECOMMUNICATION SERVIC</v>
          </cell>
        </row>
        <row r="4338">
          <cell r="A4338">
            <v>9100999</v>
          </cell>
          <cell r="B4338">
            <v>341779</v>
          </cell>
          <cell r="C4338" t="str">
            <v>OTHER TELECOMMUNICATION SERVIC</v>
          </cell>
        </row>
        <row r="4339">
          <cell r="A4339">
            <v>9110700</v>
          </cell>
          <cell r="B4339">
            <v>341779</v>
          </cell>
          <cell r="C4339" t="str">
            <v>OTHER TELECOMMUNICATION SERVIC</v>
          </cell>
        </row>
        <row r="4340">
          <cell r="A4340">
            <v>9110702</v>
          </cell>
          <cell r="B4340">
            <v>341779</v>
          </cell>
          <cell r="C4340" t="str">
            <v>OTHER TELECOMMUNICATION SERVIC</v>
          </cell>
        </row>
        <row r="4341">
          <cell r="A4341">
            <v>9110705</v>
          </cell>
          <cell r="B4341">
            <v>341779</v>
          </cell>
          <cell r="C4341" t="str">
            <v>OTHER TELECOMMUNICATION SERVIC</v>
          </cell>
        </row>
        <row r="4342">
          <cell r="A4342">
            <v>9110707</v>
          </cell>
          <cell r="B4342">
            <v>341779</v>
          </cell>
          <cell r="C4342" t="str">
            <v>OTHER TELECOMMUNICATION SERVIC</v>
          </cell>
        </row>
        <row r="4343">
          <cell r="A4343">
            <v>9680700</v>
          </cell>
          <cell r="B4343">
            <v>341779</v>
          </cell>
          <cell r="C4343" t="str">
            <v>OTHER TELECOMMUNICATION SERVIC</v>
          </cell>
        </row>
        <row r="4344">
          <cell r="A4344">
            <v>9680701</v>
          </cell>
          <cell r="B4344">
            <v>341779</v>
          </cell>
          <cell r="C4344" t="str">
            <v>OTHER TELECOMMUNICATION SERVIC</v>
          </cell>
        </row>
        <row r="4345">
          <cell r="A4345">
            <v>9680702</v>
          </cell>
          <cell r="B4345">
            <v>341779</v>
          </cell>
          <cell r="C4345" t="str">
            <v>OTHER TELECOMMUNICATION SERVIC</v>
          </cell>
        </row>
        <row r="4346">
          <cell r="A4346">
            <v>9680705</v>
          </cell>
          <cell r="B4346">
            <v>341779</v>
          </cell>
          <cell r="C4346" t="str">
            <v>OTHER TELECOMMUNICATION SERVIC</v>
          </cell>
        </row>
        <row r="4347">
          <cell r="A4347">
            <v>9680707</v>
          </cell>
          <cell r="B4347">
            <v>341779</v>
          </cell>
          <cell r="C4347" t="str">
            <v>OTHER TELECOMMUNICATION SERVIC</v>
          </cell>
        </row>
        <row r="4348">
          <cell r="A4348">
            <v>9680710</v>
          </cell>
          <cell r="B4348">
            <v>341779</v>
          </cell>
          <cell r="C4348" t="str">
            <v>OTHER TELECOMMUNICATION SERVIC</v>
          </cell>
        </row>
        <row r="4349">
          <cell r="A4349">
            <v>9680712</v>
          </cell>
          <cell r="B4349">
            <v>341779</v>
          </cell>
          <cell r="C4349" t="str">
            <v>OTHER TELECOMMUNICATION SERVIC</v>
          </cell>
        </row>
        <row r="4350">
          <cell r="A4350">
            <v>9680714</v>
          </cell>
          <cell r="B4350">
            <v>341779</v>
          </cell>
          <cell r="C4350" t="str">
            <v>OTHER TELECOMMUNICATION SERVIC</v>
          </cell>
        </row>
        <row r="4351">
          <cell r="A4351">
            <v>9680734</v>
          </cell>
          <cell r="B4351">
            <v>341779</v>
          </cell>
          <cell r="C4351" t="str">
            <v>OTHER TELECOMMUNICATION SERVIC</v>
          </cell>
        </row>
        <row r="4352">
          <cell r="A4352">
            <v>9680748</v>
          </cell>
          <cell r="B4352">
            <v>341779</v>
          </cell>
          <cell r="C4352" t="str">
            <v>OTHER TELECOMMUNICATION SERVIC</v>
          </cell>
        </row>
        <row r="4353">
          <cell r="A4353">
            <v>9680749</v>
          </cell>
          <cell r="B4353">
            <v>341779</v>
          </cell>
          <cell r="C4353" t="str">
            <v>OTHER TELECOMMUNICATION SERVIC</v>
          </cell>
        </row>
        <row r="4354">
          <cell r="A4354">
            <v>9680894</v>
          </cell>
          <cell r="B4354">
            <v>341779</v>
          </cell>
          <cell r="C4354" t="str">
            <v>OTHER TELECOMMUNICATION SERVIC</v>
          </cell>
        </row>
        <row r="4355">
          <cell r="A4355">
            <v>9680999</v>
          </cell>
          <cell r="B4355">
            <v>341779</v>
          </cell>
          <cell r="C4355" t="str">
            <v>OTHER TELECOMMUNICATION SERVIC</v>
          </cell>
        </row>
        <row r="4356">
          <cell r="A4356">
            <v>9681700</v>
          </cell>
          <cell r="B4356">
            <v>341779</v>
          </cell>
          <cell r="C4356" t="str">
            <v>OTHER TELECOMMUNICATION SERVIC</v>
          </cell>
        </row>
        <row r="4357">
          <cell r="A4357">
            <v>9681701</v>
          </cell>
          <cell r="B4357">
            <v>341779</v>
          </cell>
          <cell r="C4357" t="str">
            <v>OTHER TELECOMMUNICATION SERVIC</v>
          </cell>
        </row>
        <row r="4358">
          <cell r="A4358">
            <v>9681702</v>
          </cell>
          <cell r="B4358">
            <v>341779</v>
          </cell>
          <cell r="C4358" t="str">
            <v>OTHER TELECOMMUNICATION SERVIC</v>
          </cell>
        </row>
        <row r="4359">
          <cell r="A4359">
            <v>9681705</v>
          </cell>
          <cell r="B4359">
            <v>341779</v>
          </cell>
          <cell r="C4359" t="str">
            <v>OTHER TELECOMMUNICATION SERVIC</v>
          </cell>
        </row>
        <row r="4360">
          <cell r="A4360">
            <v>9681706</v>
          </cell>
          <cell r="B4360">
            <v>341779</v>
          </cell>
          <cell r="C4360" t="str">
            <v>OTHER TELECOMMUNICATION SERVIC</v>
          </cell>
        </row>
        <row r="4361">
          <cell r="A4361">
            <v>9681707</v>
          </cell>
          <cell r="B4361">
            <v>341779</v>
          </cell>
          <cell r="C4361" t="str">
            <v>OTHER TELECOMMUNICATION SERVIC</v>
          </cell>
        </row>
        <row r="4362">
          <cell r="A4362">
            <v>9681710</v>
          </cell>
          <cell r="B4362">
            <v>341779</v>
          </cell>
          <cell r="C4362" t="str">
            <v>OTHER TELECOMMUNICATION SERVIC</v>
          </cell>
        </row>
        <row r="4363">
          <cell r="A4363">
            <v>9681712</v>
          </cell>
          <cell r="B4363">
            <v>341779</v>
          </cell>
          <cell r="C4363" t="str">
            <v>OTHER TELECOMMUNICATION SERVIC</v>
          </cell>
        </row>
        <row r="4364">
          <cell r="A4364">
            <v>9681727</v>
          </cell>
          <cell r="B4364">
            <v>341779</v>
          </cell>
          <cell r="C4364" t="str">
            <v>OTHER TELECOMMUNICATION SERVIC</v>
          </cell>
        </row>
        <row r="4365">
          <cell r="A4365">
            <v>9681734</v>
          </cell>
          <cell r="B4365">
            <v>341779</v>
          </cell>
          <cell r="C4365" t="str">
            <v>OTHER TELECOMMUNICATION SERVIC</v>
          </cell>
        </row>
        <row r="4366">
          <cell r="A4366">
            <v>9681748</v>
          </cell>
          <cell r="B4366">
            <v>341779</v>
          </cell>
          <cell r="C4366" t="str">
            <v>OTHER TELECOMMUNICATION SERVIC</v>
          </cell>
        </row>
        <row r="4367">
          <cell r="A4367">
            <v>9681749</v>
          </cell>
          <cell r="B4367">
            <v>341779</v>
          </cell>
          <cell r="C4367" t="str">
            <v>OTHER TELECOMMUNICATION SERVIC</v>
          </cell>
        </row>
        <row r="4368">
          <cell r="A4368">
            <v>9681894</v>
          </cell>
          <cell r="B4368">
            <v>341779</v>
          </cell>
          <cell r="C4368" t="str">
            <v>OTHER TELECOMMUNICATION SERVIC</v>
          </cell>
        </row>
        <row r="4369">
          <cell r="A4369">
            <v>9681999</v>
          </cell>
          <cell r="B4369">
            <v>341779</v>
          </cell>
          <cell r="C4369" t="str">
            <v>OTHER TELECOMMUNICATION SERVIC</v>
          </cell>
        </row>
        <row r="4370">
          <cell r="A4370">
            <v>9682715</v>
          </cell>
          <cell r="B4370">
            <v>341779</v>
          </cell>
          <cell r="C4370" t="str">
            <v>OTHER TELECOMMUNICATION SERVIC</v>
          </cell>
        </row>
        <row r="4371">
          <cell r="A4371">
            <v>9682722</v>
          </cell>
          <cell r="B4371">
            <v>341779</v>
          </cell>
          <cell r="C4371" t="str">
            <v>OTHER TELECOMMUNICATION SERVIC</v>
          </cell>
        </row>
        <row r="4372">
          <cell r="A4372">
            <v>9682999</v>
          </cell>
          <cell r="B4372">
            <v>341779</v>
          </cell>
          <cell r="C4372" t="str">
            <v>OTHER TELECOMMUNICATION SERVIC</v>
          </cell>
        </row>
        <row r="4373">
          <cell r="A4373">
            <v>9683999</v>
          </cell>
          <cell r="B4373">
            <v>341779</v>
          </cell>
          <cell r="C4373" t="str">
            <v>OTHER TELECOMMUNICATION SERVIC</v>
          </cell>
        </row>
        <row r="4374">
          <cell r="A4374">
            <v>9684999</v>
          </cell>
          <cell r="B4374">
            <v>341779</v>
          </cell>
          <cell r="C4374" t="str">
            <v>OTHER TELECOMMUNICATION SERVIC</v>
          </cell>
        </row>
        <row r="4375">
          <cell r="A4375">
            <v>9689692</v>
          </cell>
          <cell r="B4375">
            <v>341779</v>
          </cell>
          <cell r="C4375" t="str">
            <v>OTHER TELECOMMUNICATION SERVIC</v>
          </cell>
        </row>
        <row r="4376">
          <cell r="A4376">
            <v>9689747</v>
          </cell>
          <cell r="B4376">
            <v>341779</v>
          </cell>
          <cell r="C4376" t="str">
            <v>OTHER TELECOMMUNICATION SERVIC</v>
          </cell>
        </row>
        <row r="4377">
          <cell r="A4377">
            <v>9689883</v>
          </cell>
          <cell r="B4377">
            <v>341779</v>
          </cell>
          <cell r="C4377" t="str">
            <v>OTHER TELECOMMUNICATION SERVIC</v>
          </cell>
        </row>
        <row r="4378">
          <cell r="A4378">
            <v>9689890</v>
          </cell>
          <cell r="B4378">
            <v>341779</v>
          </cell>
          <cell r="C4378" t="str">
            <v>OTHER TELECOMMUNICATION SERVIC</v>
          </cell>
        </row>
        <row r="4379">
          <cell r="A4379">
            <v>9689906</v>
          </cell>
          <cell r="B4379">
            <v>341779</v>
          </cell>
          <cell r="C4379" t="str">
            <v>OTHER TELECOMMUNICATION SERVIC</v>
          </cell>
        </row>
        <row r="4380">
          <cell r="A4380">
            <v>9689925</v>
          </cell>
          <cell r="B4380">
            <v>341779</v>
          </cell>
          <cell r="C4380" t="str">
            <v>OTHER TELECOMMUNICATION SERVIC</v>
          </cell>
        </row>
        <row r="4381">
          <cell r="A4381">
            <v>9689990</v>
          </cell>
          <cell r="B4381">
            <v>341779</v>
          </cell>
          <cell r="C4381" t="str">
            <v>OTHER TELECOMMUNICATION SERVIC</v>
          </cell>
        </row>
        <row r="4382">
          <cell r="A4382">
            <v>9689991</v>
          </cell>
          <cell r="B4382">
            <v>341779</v>
          </cell>
          <cell r="C4382" t="str">
            <v>OTHER TELECOMMUNICATION SERVIC</v>
          </cell>
        </row>
        <row r="4383">
          <cell r="A4383">
            <v>9689992</v>
          </cell>
          <cell r="B4383">
            <v>341779</v>
          </cell>
          <cell r="C4383" t="str">
            <v>OTHER TELECOMMUNICATION SERVIC</v>
          </cell>
        </row>
        <row r="4384">
          <cell r="A4384">
            <v>9689993</v>
          </cell>
          <cell r="B4384">
            <v>341779</v>
          </cell>
          <cell r="C4384" t="str">
            <v>OTHER TELECOMMUNICATION SERVIC</v>
          </cell>
        </row>
        <row r="4385">
          <cell r="A4385">
            <v>9689994</v>
          </cell>
          <cell r="B4385">
            <v>341779</v>
          </cell>
          <cell r="C4385" t="str">
            <v>OTHER TELECOMMUNICATION SERVIC</v>
          </cell>
        </row>
        <row r="4386">
          <cell r="A4386">
            <v>9720703</v>
          </cell>
          <cell r="B4386">
            <v>341886</v>
          </cell>
          <cell r="C4386" t="str">
            <v>DIRECT MARKETING - POSTAGE</v>
          </cell>
        </row>
        <row r="4387">
          <cell r="A4387">
            <v>9724718</v>
          </cell>
          <cell r="B4387">
            <v>341886</v>
          </cell>
          <cell r="C4387" t="str">
            <v>DIRECT MARKETING - POSTAGE</v>
          </cell>
        </row>
        <row r="4388">
          <cell r="A4388">
            <v>9724721</v>
          </cell>
          <cell r="B4388">
            <v>341886</v>
          </cell>
          <cell r="C4388" t="str">
            <v>DIRECT MARKETING - POSTAGE</v>
          </cell>
        </row>
        <row r="4389">
          <cell r="A4389">
            <v>9724724</v>
          </cell>
          <cell r="B4389">
            <v>341886</v>
          </cell>
          <cell r="C4389" t="str">
            <v>DIRECT MARKETING - POSTAGE</v>
          </cell>
        </row>
        <row r="4390">
          <cell r="A4390">
            <v>9725703</v>
          </cell>
          <cell r="B4390">
            <v>341886</v>
          </cell>
          <cell r="C4390" t="str">
            <v>DIRECT MARKETING - POSTAGE</v>
          </cell>
        </row>
        <row r="4391">
          <cell r="A4391">
            <v>9725704</v>
          </cell>
          <cell r="B4391">
            <v>341886</v>
          </cell>
          <cell r="C4391" t="str">
            <v>DIRECT MARKETING - POSTAGE</v>
          </cell>
        </row>
        <row r="4392">
          <cell r="A4392">
            <v>9725711</v>
          </cell>
          <cell r="B4392">
            <v>341886</v>
          </cell>
          <cell r="C4392" t="str">
            <v>DIRECT MARKETING - POSTAGE</v>
          </cell>
        </row>
        <row r="4393">
          <cell r="A4393">
            <v>9725717</v>
          </cell>
          <cell r="B4393">
            <v>341886</v>
          </cell>
          <cell r="C4393" t="str">
            <v>DIRECT MARKETING - POSTAGE</v>
          </cell>
        </row>
        <row r="4394">
          <cell r="A4394">
            <v>9725725</v>
          </cell>
          <cell r="B4394">
            <v>341886</v>
          </cell>
          <cell r="C4394" t="str">
            <v>DIRECT MARKETING - POSTAGE</v>
          </cell>
        </row>
        <row r="4395">
          <cell r="A4395">
            <v>9080700</v>
          </cell>
          <cell r="B4395">
            <v>341979</v>
          </cell>
          <cell r="C4395" t="str">
            <v>VOICE/DATA TELECOMMUNICATIONS-PRORATE</v>
          </cell>
        </row>
        <row r="4396">
          <cell r="A4396">
            <v>9080701</v>
          </cell>
          <cell r="B4396">
            <v>341979</v>
          </cell>
          <cell r="C4396" t="str">
            <v>VOICE/DATA TELECOMMUNICATIONS-PRORATE</v>
          </cell>
        </row>
        <row r="4397">
          <cell r="A4397">
            <v>9080702</v>
          </cell>
          <cell r="B4397">
            <v>341979</v>
          </cell>
          <cell r="C4397" t="str">
            <v>VOICE/DATA TELECOMMUNICATIONS-PRORATE</v>
          </cell>
        </row>
        <row r="4398">
          <cell r="A4398">
            <v>9080705</v>
          </cell>
          <cell r="B4398">
            <v>341979</v>
          </cell>
          <cell r="C4398" t="str">
            <v>VOICE/DATA TELECOMMUNICATIONS-PRORATE</v>
          </cell>
        </row>
        <row r="4399">
          <cell r="A4399">
            <v>9080707</v>
          </cell>
          <cell r="B4399">
            <v>341979</v>
          </cell>
          <cell r="C4399" t="str">
            <v>VOICE/DATA TELECOMMUNICATIONS-PRORATE</v>
          </cell>
        </row>
        <row r="4400">
          <cell r="A4400">
            <v>9080710</v>
          </cell>
          <cell r="B4400">
            <v>341979</v>
          </cell>
          <cell r="C4400" t="str">
            <v>VOICE/DATA TELECOMMUNICATIONS-PRORATE</v>
          </cell>
        </row>
        <row r="4401">
          <cell r="A4401">
            <v>9090999</v>
          </cell>
          <cell r="B4401">
            <v>341979</v>
          </cell>
          <cell r="C4401" t="str">
            <v>VOICE/DATA TELECOMMUNICATIONS-PRORATE</v>
          </cell>
        </row>
        <row r="4402">
          <cell r="A4402">
            <v>9100999</v>
          </cell>
          <cell r="B4402">
            <v>341979</v>
          </cell>
          <cell r="C4402" t="str">
            <v>VOICE/DATA TELECOMMUNICATIONS-PRORATE</v>
          </cell>
        </row>
        <row r="4403">
          <cell r="A4403">
            <v>9110700</v>
          </cell>
          <cell r="B4403">
            <v>341979</v>
          </cell>
          <cell r="C4403" t="str">
            <v>VOICE/DATA TELECOMMUNICATIONS-PRORATE</v>
          </cell>
        </row>
        <row r="4404">
          <cell r="A4404">
            <v>9110702</v>
          </cell>
          <cell r="B4404">
            <v>341979</v>
          </cell>
          <cell r="C4404" t="str">
            <v>VOICE/DATA TELECOMMUNICATIONS-PRORATE</v>
          </cell>
        </row>
        <row r="4405">
          <cell r="A4405">
            <v>9110705</v>
          </cell>
          <cell r="B4405">
            <v>341979</v>
          </cell>
          <cell r="C4405" t="str">
            <v>VOICE/DATA TELECOMMUNICATIONS-PRORATE</v>
          </cell>
        </row>
        <row r="4406">
          <cell r="A4406">
            <v>9110707</v>
          </cell>
          <cell r="B4406">
            <v>341979</v>
          </cell>
          <cell r="C4406" t="str">
            <v>VOICE/DATA TELECOMMUNICATIONS-PRORATE</v>
          </cell>
        </row>
        <row r="4407">
          <cell r="A4407">
            <v>9680700</v>
          </cell>
          <cell r="B4407">
            <v>341979</v>
          </cell>
          <cell r="C4407" t="str">
            <v>VOICE/DATA TELECOMMUNICATIONS-PRORATE</v>
          </cell>
        </row>
        <row r="4408">
          <cell r="A4408">
            <v>9680701</v>
          </cell>
          <cell r="B4408">
            <v>341979</v>
          </cell>
          <cell r="C4408" t="str">
            <v>VOICE/DATA TELECOMMUNICATIONS-PRORATE</v>
          </cell>
        </row>
        <row r="4409">
          <cell r="A4409">
            <v>9680702</v>
          </cell>
          <cell r="B4409">
            <v>341979</v>
          </cell>
          <cell r="C4409" t="str">
            <v>VOICE/DATA TELECOMMUNICATIONS-PRORATE</v>
          </cell>
        </row>
        <row r="4410">
          <cell r="A4410">
            <v>9680705</v>
          </cell>
          <cell r="B4410">
            <v>341979</v>
          </cell>
          <cell r="C4410" t="str">
            <v>VOICE/DATA TELECOMMUNICATIONS-PRORATE</v>
          </cell>
        </row>
        <row r="4411">
          <cell r="A4411">
            <v>9680707</v>
          </cell>
          <cell r="B4411">
            <v>341979</v>
          </cell>
          <cell r="C4411" t="str">
            <v>VOICE/DATA TELECOMMUNICATIONS-PRORATE</v>
          </cell>
        </row>
        <row r="4412">
          <cell r="A4412">
            <v>9680710</v>
          </cell>
          <cell r="B4412">
            <v>341979</v>
          </cell>
          <cell r="C4412" t="str">
            <v>VOICE/DATA TELECOMMUNICATIONS-PRORATE</v>
          </cell>
        </row>
        <row r="4413">
          <cell r="A4413">
            <v>9680712</v>
          </cell>
          <cell r="B4413">
            <v>341979</v>
          </cell>
          <cell r="C4413" t="str">
            <v>VOICE/DATA TELECOMMUNICATIONS-PRORATE</v>
          </cell>
        </row>
        <row r="4414">
          <cell r="A4414">
            <v>9680714</v>
          </cell>
          <cell r="B4414">
            <v>341979</v>
          </cell>
          <cell r="C4414" t="str">
            <v>VOICE/DATA TELECOMMUNICATIONS-PRORATE</v>
          </cell>
        </row>
        <row r="4415">
          <cell r="A4415">
            <v>9680734</v>
          </cell>
          <cell r="B4415">
            <v>341979</v>
          </cell>
          <cell r="C4415" t="str">
            <v>VOICE/DATA TELECOMMUNICATIONS-PRORATE</v>
          </cell>
        </row>
        <row r="4416">
          <cell r="A4416">
            <v>9680748</v>
          </cell>
          <cell r="B4416">
            <v>341979</v>
          </cell>
          <cell r="C4416" t="str">
            <v>VOICE/DATA TELECOMMUNICATIONS-PRORATE</v>
          </cell>
        </row>
        <row r="4417">
          <cell r="A4417">
            <v>9680749</v>
          </cell>
          <cell r="B4417">
            <v>341979</v>
          </cell>
          <cell r="C4417" t="str">
            <v>VOICE/DATA TELECOMMUNICATIONS-PRORATE</v>
          </cell>
        </row>
        <row r="4418">
          <cell r="A4418">
            <v>9680894</v>
          </cell>
          <cell r="B4418">
            <v>341979</v>
          </cell>
          <cell r="C4418" t="str">
            <v>VOICE/DATA TELECOMMUNICATIONS-PRORATE</v>
          </cell>
        </row>
        <row r="4419">
          <cell r="A4419">
            <v>9680999</v>
          </cell>
          <cell r="B4419">
            <v>341979</v>
          </cell>
          <cell r="C4419" t="str">
            <v>VOICE/DATA TELECOMMUNICATIONS-PRORATE</v>
          </cell>
        </row>
        <row r="4420">
          <cell r="A4420">
            <v>9681700</v>
          </cell>
          <cell r="B4420">
            <v>341979</v>
          </cell>
          <cell r="C4420" t="str">
            <v>VOICE/DATA TELECOMMUNICATIONS-PRORATE</v>
          </cell>
        </row>
        <row r="4421">
          <cell r="A4421">
            <v>9681701</v>
          </cell>
          <cell r="B4421">
            <v>341979</v>
          </cell>
          <cell r="C4421" t="str">
            <v>VOICE/DATA TELECOMMUNICATIONS-PRORATE</v>
          </cell>
        </row>
        <row r="4422">
          <cell r="A4422">
            <v>9681702</v>
          </cell>
          <cell r="B4422">
            <v>341979</v>
          </cell>
          <cell r="C4422" t="str">
            <v>VOICE/DATA TELECOMMUNICATIONS-PRORATE</v>
          </cell>
        </row>
        <row r="4423">
          <cell r="A4423">
            <v>9681705</v>
          </cell>
          <cell r="B4423">
            <v>341979</v>
          </cell>
          <cell r="C4423" t="str">
            <v>VOICE/DATA TELECOMMUNICATIONS-PRORATE</v>
          </cell>
        </row>
        <row r="4424">
          <cell r="A4424">
            <v>9681706</v>
          </cell>
          <cell r="B4424">
            <v>341979</v>
          </cell>
          <cell r="C4424" t="str">
            <v>VOICE/DATA TELECOMMUNICATIONS-PRORATE</v>
          </cell>
        </row>
        <row r="4425">
          <cell r="A4425">
            <v>9681707</v>
          </cell>
          <cell r="B4425">
            <v>341979</v>
          </cell>
          <cell r="C4425" t="str">
            <v>VOICE/DATA TELECOMMUNICATIONS-PRORATE</v>
          </cell>
        </row>
        <row r="4426">
          <cell r="A4426">
            <v>9681710</v>
          </cell>
          <cell r="B4426">
            <v>341979</v>
          </cell>
          <cell r="C4426" t="str">
            <v>VOICE/DATA TELECOMMUNICATIONS-PRORATE</v>
          </cell>
        </row>
        <row r="4427">
          <cell r="A4427">
            <v>9681712</v>
          </cell>
          <cell r="B4427">
            <v>341979</v>
          </cell>
          <cell r="C4427" t="str">
            <v>VOICE/DATA TELECOMMUNICATIONS-PRORATE</v>
          </cell>
        </row>
        <row r="4428">
          <cell r="A4428">
            <v>9681727</v>
          </cell>
          <cell r="B4428">
            <v>341979</v>
          </cell>
          <cell r="C4428" t="str">
            <v>VOICE/DATA TELECOMMUNICATIONS-PRORATE</v>
          </cell>
        </row>
        <row r="4429">
          <cell r="A4429">
            <v>9681734</v>
          </cell>
          <cell r="B4429">
            <v>341979</v>
          </cell>
          <cell r="C4429" t="str">
            <v>VOICE/DATA TELECOMMUNICATIONS-PRORATE</v>
          </cell>
        </row>
        <row r="4430">
          <cell r="A4430">
            <v>9681748</v>
          </cell>
          <cell r="B4430">
            <v>341979</v>
          </cell>
          <cell r="C4430" t="str">
            <v>VOICE/DATA TELECOMMUNICATIONS-PRORATE</v>
          </cell>
        </row>
        <row r="4431">
          <cell r="A4431">
            <v>9681749</v>
          </cell>
          <cell r="B4431">
            <v>341979</v>
          </cell>
          <cell r="C4431" t="str">
            <v>VOICE/DATA TELECOMMUNICATIONS-PRORATE</v>
          </cell>
        </row>
        <row r="4432">
          <cell r="A4432">
            <v>9681894</v>
          </cell>
          <cell r="B4432">
            <v>341979</v>
          </cell>
          <cell r="C4432" t="str">
            <v>VOICE/DATA TELECOMMUNICATIONS-PRORATE</v>
          </cell>
        </row>
        <row r="4433">
          <cell r="A4433">
            <v>9681999</v>
          </cell>
          <cell r="B4433">
            <v>341979</v>
          </cell>
          <cell r="C4433" t="str">
            <v>VOICE/DATA TELECOMMUNICATIONS-PRORATE</v>
          </cell>
        </row>
        <row r="4434">
          <cell r="A4434">
            <v>9682715</v>
          </cell>
          <cell r="B4434">
            <v>341979</v>
          </cell>
          <cell r="C4434" t="str">
            <v>VOICE/DATA TELECOMMUNICATIONS-PRORATE</v>
          </cell>
        </row>
        <row r="4435">
          <cell r="A4435">
            <v>9682722</v>
          </cell>
          <cell r="B4435">
            <v>341979</v>
          </cell>
          <cell r="C4435" t="str">
            <v>VOICE/DATA TELECOMMUNICATIONS-PRORATE</v>
          </cell>
        </row>
        <row r="4436">
          <cell r="A4436">
            <v>9682999</v>
          </cell>
          <cell r="B4436">
            <v>341979</v>
          </cell>
          <cell r="C4436" t="str">
            <v>VOICE/DATA TELECOMMUNICATIONS-PRORATE</v>
          </cell>
        </row>
        <row r="4437">
          <cell r="A4437">
            <v>9683999</v>
          </cell>
          <cell r="B4437">
            <v>341979</v>
          </cell>
          <cell r="C4437" t="str">
            <v>VOICE/DATA TELECOMMUNICATIONS-PRORATE</v>
          </cell>
        </row>
        <row r="4438">
          <cell r="A4438">
            <v>9684999</v>
          </cell>
          <cell r="B4438">
            <v>341979</v>
          </cell>
          <cell r="C4438" t="str">
            <v>VOICE/DATA TELECOMMUNICATIONS-PRORATE</v>
          </cell>
        </row>
        <row r="4439">
          <cell r="A4439">
            <v>9689692</v>
          </cell>
          <cell r="B4439">
            <v>341979</v>
          </cell>
          <cell r="C4439" t="str">
            <v>VOICE/DATA TELECOMMUNICATIONS-PRORATE</v>
          </cell>
        </row>
        <row r="4440">
          <cell r="A4440">
            <v>9689747</v>
          </cell>
          <cell r="B4440">
            <v>341979</v>
          </cell>
          <cell r="C4440" t="str">
            <v>VOICE/DATA TELECOMMUNICATIONS-PRORATE</v>
          </cell>
        </row>
        <row r="4441">
          <cell r="A4441">
            <v>9689883</v>
          </cell>
          <cell r="B4441">
            <v>341979</v>
          </cell>
          <cell r="C4441" t="str">
            <v>VOICE/DATA TELECOMMUNICATIONS-PRORATE</v>
          </cell>
        </row>
        <row r="4442">
          <cell r="A4442">
            <v>9689890</v>
          </cell>
          <cell r="B4442">
            <v>341979</v>
          </cell>
          <cell r="C4442" t="str">
            <v>VOICE/DATA TELECOMMUNICATIONS-PRORATE</v>
          </cell>
        </row>
        <row r="4443">
          <cell r="A4443">
            <v>9689906</v>
          </cell>
          <cell r="B4443">
            <v>341979</v>
          </cell>
          <cell r="C4443" t="str">
            <v>VOICE/DATA TELECOMMUNICATIONS-PRORATE</v>
          </cell>
        </row>
        <row r="4444">
          <cell r="A4444">
            <v>9689925</v>
          </cell>
          <cell r="B4444">
            <v>341979</v>
          </cell>
          <cell r="C4444" t="str">
            <v>VOICE/DATA TELECOMMUNICATIONS-PRORATE</v>
          </cell>
        </row>
        <row r="4445">
          <cell r="A4445">
            <v>9689990</v>
          </cell>
          <cell r="B4445">
            <v>341979</v>
          </cell>
          <cell r="C4445" t="str">
            <v>VOICE/DATA TELECOMMUNICATIONS-PRORATE</v>
          </cell>
        </row>
        <row r="4446">
          <cell r="A4446">
            <v>9689991</v>
          </cell>
          <cell r="B4446">
            <v>341979</v>
          </cell>
          <cell r="C4446" t="str">
            <v>VOICE/DATA TELECOMMUNICATIONS-PRORATE</v>
          </cell>
        </row>
        <row r="4447">
          <cell r="A4447">
            <v>9689992</v>
          </cell>
          <cell r="B4447">
            <v>341979</v>
          </cell>
          <cell r="C4447" t="str">
            <v>VOICE/DATA TELECOMMUNICATIONS-PRORATE</v>
          </cell>
        </row>
        <row r="4448">
          <cell r="A4448">
            <v>9720703</v>
          </cell>
          <cell r="B4448">
            <v>342019</v>
          </cell>
          <cell r="C4448" t="str">
            <v>INSPECTION FEES-CITY</v>
          </cell>
        </row>
        <row r="4449">
          <cell r="A4449">
            <v>9723723</v>
          </cell>
          <cell r="B4449">
            <v>342019</v>
          </cell>
          <cell r="C4449" t="str">
            <v>INSPECTION FEES-CITY</v>
          </cell>
        </row>
        <row r="4450">
          <cell r="A4450">
            <v>9723729</v>
          </cell>
          <cell r="B4450">
            <v>342019</v>
          </cell>
          <cell r="C4450" t="str">
            <v>INSPECTION FEES-CITY</v>
          </cell>
        </row>
        <row r="4451">
          <cell r="A4451">
            <v>9724718</v>
          </cell>
          <cell r="B4451">
            <v>342019</v>
          </cell>
          <cell r="C4451" t="str">
            <v>INSPECTION FEES-CITY</v>
          </cell>
        </row>
        <row r="4452">
          <cell r="A4452">
            <v>9724721</v>
          </cell>
          <cell r="B4452">
            <v>342019</v>
          </cell>
          <cell r="C4452" t="str">
            <v>INSPECTION FEES-CITY</v>
          </cell>
        </row>
        <row r="4453">
          <cell r="A4453">
            <v>9724724</v>
          </cell>
          <cell r="B4453">
            <v>342019</v>
          </cell>
          <cell r="C4453" t="str">
            <v>INSPECTION FEES-CITY</v>
          </cell>
        </row>
        <row r="4454">
          <cell r="A4454">
            <v>9725703</v>
          </cell>
          <cell r="B4454">
            <v>342019</v>
          </cell>
          <cell r="C4454" t="str">
            <v>INSPECTION FEES-CITY</v>
          </cell>
        </row>
        <row r="4455">
          <cell r="A4455">
            <v>9725704</v>
          </cell>
          <cell r="B4455">
            <v>342019</v>
          </cell>
          <cell r="C4455" t="str">
            <v>INSPECTION FEES-CITY</v>
          </cell>
        </row>
        <row r="4456">
          <cell r="A4456">
            <v>9725711</v>
          </cell>
          <cell r="B4456">
            <v>342019</v>
          </cell>
          <cell r="C4456" t="str">
            <v>INSPECTION FEES-CITY</v>
          </cell>
        </row>
        <row r="4457">
          <cell r="A4457">
            <v>9725717</v>
          </cell>
          <cell r="B4457">
            <v>342019</v>
          </cell>
          <cell r="C4457" t="str">
            <v>INSPECTION FEES-CITY</v>
          </cell>
        </row>
        <row r="4458">
          <cell r="A4458">
            <v>9725725</v>
          </cell>
          <cell r="B4458">
            <v>342019</v>
          </cell>
          <cell r="C4458" t="str">
            <v>INSPECTION FEES-CITY</v>
          </cell>
        </row>
        <row r="4459">
          <cell r="A4459">
            <v>9080700</v>
          </cell>
          <cell r="B4459">
            <v>342049</v>
          </cell>
          <cell r="C4459" t="str">
            <v>SUBSCRIPTIONS</v>
          </cell>
        </row>
        <row r="4460">
          <cell r="A4460">
            <v>9080701</v>
          </cell>
          <cell r="B4460">
            <v>342049</v>
          </cell>
          <cell r="C4460" t="str">
            <v>SUBSCRIPTIONS</v>
          </cell>
        </row>
        <row r="4461">
          <cell r="A4461">
            <v>9080702</v>
          </cell>
          <cell r="B4461">
            <v>342049</v>
          </cell>
          <cell r="C4461" t="str">
            <v>SUBSCRIPTIONS</v>
          </cell>
        </row>
        <row r="4462">
          <cell r="A4462">
            <v>9080705</v>
          </cell>
          <cell r="B4462">
            <v>342049</v>
          </cell>
          <cell r="C4462" t="str">
            <v>SUBSCRIPTIONS</v>
          </cell>
        </row>
        <row r="4463">
          <cell r="A4463">
            <v>9080707</v>
          </cell>
          <cell r="B4463">
            <v>342049</v>
          </cell>
          <cell r="C4463" t="str">
            <v>SUBSCRIPTIONS</v>
          </cell>
        </row>
        <row r="4464">
          <cell r="A4464">
            <v>9080710</v>
          </cell>
          <cell r="B4464">
            <v>342049</v>
          </cell>
          <cell r="C4464" t="str">
            <v>SUBSCRIPTIONS</v>
          </cell>
        </row>
        <row r="4465">
          <cell r="A4465">
            <v>9080999</v>
          </cell>
          <cell r="B4465">
            <v>342049</v>
          </cell>
          <cell r="C4465" t="str">
            <v>SUBSCRIPTIONS</v>
          </cell>
        </row>
        <row r="4466">
          <cell r="A4466">
            <v>9090999</v>
          </cell>
          <cell r="B4466">
            <v>342049</v>
          </cell>
          <cell r="C4466" t="str">
            <v>SUBSCRIPTIONS</v>
          </cell>
        </row>
        <row r="4467">
          <cell r="A4467">
            <v>9100999</v>
          </cell>
          <cell r="B4467">
            <v>342049</v>
          </cell>
          <cell r="C4467" t="str">
            <v>SUBSCRIPTIONS</v>
          </cell>
        </row>
        <row r="4468">
          <cell r="A4468">
            <v>9110700</v>
          </cell>
          <cell r="B4468">
            <v>342049</v>
          </cell>
          <cell r="C4468" t="str">
            <v>SUBSCRIPTIONS</v>
          </cell>
        </row>
        <row r="4469">
          <cell r="A4469">
            <v>9110702</v>
          </cell>
          <cell r="B4469">
            <v>342049</v>
          </cell>
          <cell r="C4469" t="str">
            <v>SUBSCRIPTIONS</v>
          </cell>
        </row>
        <row r="4470">
          <cell r="A4470">
            <v>9110705</v>
          </cell>
          <cell r="B4470">
            <v>342049</v>
          </cell>
          <cell r="C4470" t="str">
            <v>SUBSCRIPTIONS</v>
          </cell>
        </row>
        <row r="4471">
          <cell r="A4471">
            <v>9110707</v>
          </cell>
          <cell r="B4471">
            <v>342049</v>
          </cell>
          <cell r="C4471" t="str">
            <v>SUBSCRIPTIONS</v>
          </cell>
        </row>
        <row r="4472">
          <cell r="A4472">
            <v>9110999</v>
          </cell>
          <cell r="B4472">
            <v>342049</v>
          </cell>
          <cell r="C4472" t="str">
            <v>SUBSCRIPTIONS</v>
          </cell>
        </row>
        <row r="4473">
          <cell r="A4473">
            <v>9680700</v>
          </cell>
          <cell r="B4473">
            <v>342049</v>
          </cell>
          <cell r="C4473" t="str">
            <v>SUBSCRIPTIONS</v>
          </cell>
        </row>
        <row r="4474">
          <cell r="A4474">
            <v>9680701</v>
          </cell>
          <cell r="B4474">
            <v>342049</v>
          </cell>
          <cell r="C4474" t="str">
            <v>SUBSCRIPTIONS</v>
          </cell>
        </row>
        <row r="4475">
          <cell r="A4475">
            <v>9680702</v>
          </cell>
          <cell r="B4475">
            <v>342049</v>
          </cell>
          <cell r="C4475" t="str">
            <v>SUBSCRIPTIONS</v>
          </cell>
        </row>
        <row r="4476">
          <cell r="A4476">
            <v>9680705</v>
          </cell>
          <cell r="B4476">
            <v>342049</v>
          </cell>
          <cell r="C4476" t="str">
            <v>SUBSCRIPTIONS</v>
          </cell>
        </row>
        <row r="4477">
          <cell r="A4477">
            <v>9680707</v>
          </cell>
          <cell r="B4477">
            <v>342049</v>
          </cell>
          <cell r="C4477" t="str">
            <v>SUBSCRIPTIONS</v>
          </cell>
        </row>
        <row r="4478">
          <cell r="A4478">
            <v>9680710</v>
          </cell>
          <cell r="B4478">
            <v>342049</v>
          </cell>
          <cell r="C4478" t="str">
            <v>SUBSCRIPTIONS</v>
          </cell>
        </row>
        <row r="4479">
          <cell r="A4479">
            <v>9680712</v>
          </cell>
          <cell r="B4479">
            <v>342049</v>
          </cell>
          <cell r="C4479" t="str">
            <v>SUBSCRIPTIONS</v>
          </cell>
        </row>
        <row r="4480">
          <cell r="A4480">
            <v>9680714</v>
          </cell>
          <cell r="B4480">
            <v>342049</v>
          </cell>
          <cell r="C4480" t="str">
            <v>SUBSCRIPTIONS</v>
          </cell>
        </row>
        <row r="4481">
          <cell r="A4481">
            <v>9680734</v>
          </cell>
          <cell r="B4481">
            <v>342049</v>
          </cell>
          <cell r="C4481" t="str">
            <v>SUBSCRIPTIONS</v>
          </cell>
        </row>
        <row r="4482">
          <cell r="A4482">
            <v>9680748</v>
          </cell>
          <cell r="B4482">
            <v>342049</v>
          </cell>
          <cell r="C4482" t="str">
            <v>SUBSCRIPTIONS</v>
          </cell>
        </row>
        <row r="4483">
          <cell r="A4483">
            <v>9680749</v>
          </cell>
          <cell r="B4483">
            <v>342049</v>
          </cell>
          <cell r="C4483" t="str">
            <v>SUBSCRIPTIONS</v>
          </cell>
        </row>
        <row r="4484">
          <cell r="A4484">
            <v>9680894</v>
          </cell>
          <cell r="B4484">
            <v>342049</v>
          </cell>
          <cell r="C4484" t="str">
            <v>SUBSCRIPTIONS</v>
          </cell>
        </row>
        <row r="4485">
          <cell r="A4485">
            <v>9680999</v>
          </cell>
          <cell r="B4485">
            <v>342049</v>
          </cell>
          <cell r="C4485" t="str">
            <v>SUBSCRIPTIONS</v>
          </cell>
        </row>
        <row r="4486">
          <cell r="A4486">
            <v>9681700</v>
          </cell>
          <cell r="B4486">
            <v>342049</v>
          </cell>
          <cell r="C4486" t="str">
            <v>SUBSCRIPTIONS</v>
          </cell>
        </row>
        <row r="4487">
          <cell r="A4487">
            <v>9681701</v>
          </cell>
          <cell r="B4487">
            <v>342049</v>
          </cell>
          <cell r="C4487" t="str">
            <v>SUBSCRIPTIONS</v>
          </cell>
        </row>
        <row r="4488">
          <cell r="A4488">
            <v>9681702</v>
          </cell>
          <cell r="B4488">
            <v>342049</v>
          </cell>
          <cell r="C4488" t="str">
            <v>SUBSCRIPTIONS</v>
          </cell>
        </row>
        <row r="4489">
          <cell r="A4489">
            <v>9681705</v>
          </cell>
          <cell r="B4489">
            <v>342049</v>
          </cell>
          <cell r="C4489" t="str">
            <v>SUBSCRIPTIONS</v>
          </cell>
        </row>
        <row r="4490">
          <cell r="A4490">
            <v>9681706</v>
          </cell>
          <cell r="B4490">
            <v>342049</v>
          </cell>
          <cell r="C4490" t="str">
            <v>SUBSCRIPTIONS</v>
          </cell>
        </row>
        <row r="4491">
          <cell r="A4491">
            <v>9681707</v>
          </cell>
          <cell r="B4491">
            <v>342049</v>
          </cell>
          <cell r="C4491" t="str">
            <v>SUBSCRIPTIONS</v>
          </cell>
        </row>
        <row r="4492">
          <cell r="A4492">
            <v>9681710</v>
          </cell>
          <cell r="B4492">
            <v>342049</v>
          </cell>
          <cell r="C4492" t="str">
            <v>SUBSCRIPTIONS</v>
          </cell>
        </row>
        <row r="4493">
          <cell r="A4493">
            <v>9681712</v>
          </cell>
          <cell r="B4493">
            <v>342049</v>
          </cell>
          <cell r="C4493" t="str">
            <v>SUBSCRIPTIONS</v>
          </cell>
        </row>
        <row r="4494">
          <cell r="A4494">
            <v>9681727</v>
          </cell>
          <cell r="B4494">
            <v>342049</v>
          </cell>
          <cell r="C4494" t="str">
            <v>SUBSCRIPTIONS</v>
          </cell>
        </row>
        <row r="4495">
          <cell r="A4495">
            <v>9681734</v>
          </cell>
          <cell r="B4495">
            <v>342049</v>
          </cell>
          <cell r="C4495" t="str">
            <v>SUBSCRIPTIONS</v>
          </cell>
        </row>
        <row r="4496">
          <cell r="A4496">
            <v>9681748</v>
          </cell>
          <cell r="B4496">
            <v>342049</v>
          </cell>
          <cell r="C4496" t="str">
            <v>SUBSCRIPTIONS</v>
          </cell>
        </row>
        <row r="4497">
          <cell r="A4497">
            <v>9681749</v>
          </cell>
          <cell r="B4497">
            <v>342049</v>
          </cell>
          <cell r="C4497" t="str">
            <v>SUBSCRIPTIONS</v>
          </cell>
        </row>
        <row r="4498">
          <cell r="A4498">
            <v>9681894</v>
          </cell>
          <cell r="B4498">
            <v>342049</v>
          </cell>
          <cell r="C4498" t="str">
            <v>SUBSCRIPTIONS</v>
          </cell>
        </row>
        <row r="4499">
          <cell r="A4499">
            <v>9681999</v>
          </cell>
          <cell r="B4499">
            <v>342049</v>
          </cell>
          <cell r="C4499" t="str">
            <v>SUBSCRIPTIONS</v>
          </cell>
        </row>
        <row r="4500">
          <cell r="A4500">
            <v>9683999</v>
          </cell>
          <cell r="B4500">
            <v>342049</v>
          </cell>
          <cell r="C4500" t="str">
            <v>SUBSCRIPTIONS</v>
          </cell>
        </row>
        <row r="4501">
          <cell r="A4501">
            <v>9684999</v>
          </cell>
          <cell r="B4501">
            <v>342049</v>
          </cell>
          <cell r="C4501" t="str">
            <v>SUBSCRIPTIONS</v>
          </cell>
        </row>
        <row r="4502">
          <cell r="A4502">
            <v>9689692</v>
          </cell>
          <cell r="B4502">
            <v>342049</v>
          </cell>
          <cell r="C4502" t="str">
            <v>SUBSCRIPTIONS</v>
          </cell>
        </row>
        <row r="4503">
          <cell r="A4503">
            <v>9689747</v>
          </cell>
          <cell r="B4503">
            <v>342049</v>
          </cell>
          <cell r="C4503" t="str">
            <v>SUBSCRIPTIONS</v>
          </cell>
        </row>
        <row r="4504">
          <cell r="A4504">
            <v>9689890</v>
          </cell>
          <cell r="B4504">
            <v>342049</v>
          </cell>
          <cell r="C4504" t="str">
            <v>SUBSCRIPTIONS</v>
          </cell>
        </row>
        <row r="4505">
          <cell r="A4505">
            <v>9689925</v>
          </cell>
          <cell r="B4505">
            <v>342049</v>
          </cell>
          <cell r="C4505" t="str">
            <v>SUBSCRIPTIONS</v>
          </cell>
        </row>
        <row r="4506">
          <cell r="A4506">
            <v>9689990</v>
          </cell>
          <cell r="B4506">
            <v>342049</v>
          </cell>
          <cell r="C4506" t="str">
            <v>SUBSCRIPTIONS</v>
          </cell>
        </row>
        <row r="4507">
          <cell r="A4507">
            <v>9689993</v>
          </cell>
          <cell r="B4507">
            <v>342049</v>
          </cell>
          <cell r="C4507" t="str">
            <v>SUBSCRIPTIONS</v>
          </cell>
        </row>
        <row r="4508">
          <cell r="A4508">
            <v>9689994</v>
          </cell>
          <cell r="B4508">
            <v>342049</v>
          </cell>
          <cell r="C4508" t="str">
            <v>SUBSCRIPTIONS</v>
          </cell>
        </row>
        <row r="4509">
          <cell r="A4509">
            <v>9722709</v>
          </cell>
          <cell r="B4509">
            <v>342058</v>
          </cell>
          <cell r="C4509" t="str">
            <v>MISCELLANEOUS OFFICE ADJUSTMEN</v>
          </cell>
        </row>
        <row r="4510">
          <cell r="A4510">
            <v>9722713</v>
          </cell>
          <cell r="B4510">
            <v>342058</v>
          </cell>
          <cell r="C4510" t="str">
            <v>MISCELLANEOUS OFFICE ADJUSTMEN</v>
          </cell>
        </row>
        <row r="4511">
          <cell r="A4511">
            <v>8001054179</v>
          </cell>
          <cell r="B4511">
            <v>342061</v>
          </cell>
          <cell r="C4511" t="str">
            <v>SETTLEMENT CLAIMS EXPENSES</v>
          </cell>
        </row>
        <row r="4512">
          <cell r="A4512">
            <v>8001059542</v>
          </cell>
          <cell r="B4512">
            <v>342061</v>
          </cell>
          <cell r="C4512" t="str">
            <v>SETTLEMENT CLAIMS EXPENSES</v>
          </cell>
        </row>
        <row r="4513">
          <cell r="A4513">
            <v>8010512510</v>
          </cell>
          <cell r="B4513">
            <v>342061</v>
          </cell>
          <cell r="C4513" t="str">
            <v>SETTLEMENT CLAIMS EXPENSES</v>
          </cell>
        </row>
        <row r="4514">
          <cell r="A4514">
            <v>9689991</v>
          </cell>
          <cell r="B4514">
            <v>342061</v>
          </cell>
          <cell r="C4514" t="str">
            <v>SETTLEMENT CLAIMS EXPENSES</v>
          </cell>
        </row>
        <row r="4515">
          <cell r="A4515">
            <v>9969681</v>
          </cell>
          <cell r="B4515">
            <v>342061</v>
          </cell>
          <cell r="C4515" t="str">
            <v>SETTLEMENT CLAIMS EXPENSES</v>
          </cell>
        </row>
        <row r="4516">
          <cell r="A4516">
            <v>9969901</v>
          </cell>
          <cell r="B4516">
            <v>342061</v>
          </cell>
          <cell r="C4516" t="str">
            <v>SETTLEMENT CLAIMS EXPENSES</v>
          </cell>
        </row>
        <row r="4517">
          <cell r="A4517" t="str">
            <v>ZONE-0105-POST</v>
          </cell>
          <cell r="B4517">
            <v>342061</v>
          </cell>
          <cell r="C4517" t="str">
            <v>SETTLEMENT CLAIMS EXPENSES</v>
          </cell>
        </row>
        <row r="4518">
          <cell r="A4518" t="str">
            <v>ZONE-0112-POST</v>
          </cell>
          <cell r="B4518">
            <v>342061</v>
          </cell>
          <cell r="C4518" t="str">
            <v>SETTLEMENT CLAIMS EXPENSES</v>
          </cell>
        </row>
        <row r="4519">
          <cell r="A4519">
            <v>9080999</v>
          </cell>
          <cell r="B4519">
            <v>342100</v>
          </cell>
          <cell r="C4519" t="str">
            <v>UNINSURED DISASTER LOSS/DAMAGE</v>
          </cell>
        </row>
        <row r="4520">
          <cell r="A4520">
            <v>9110999</v>
          </cell>
          <cell r="B4520">
            <v>342100</v>
          </cell>
          <cell r="C4520" t="str">
            <v>UNINSURED DISASTER LOSS/DAMAGE</v>
          </cell>
        </row>
        <row r="4521">
          <cell r="A4521">
            <v>9090999</v>
          </cell>
          <cell r="B4521">
            <v>342108</v>
          </cell>
          <cell r="C4521" t="str">
            <v>RETURN CHECKS/BAD DEBTS LESS</v>
          </cell>
        </row>
        <row r="4522">
          <cell r="A4522">
            <v>9100999</v>
          </cell>
          <cell r="B4522">
            <v>342108</v>
          </cell>
          <cell r="C4522" t="str">
            <v>RETURN CHECKS/BAD DEBTS LESS</v>
          </cell>
        </row>
        <row r="4523">
          <cell r="A4523">
            <v>9080700</v>
          </cell>
          <cell r="B4523">
            <v>342109</v>
          </cell>
          <cell r="C4523" t="str">
            <v>ACCTS RECEIVABLE-WRITE OFF</v>
          </cell>
        </row>
        <row r="4524">
          <cell r="A4524">
            <v>9080701</v>
          </cell>
          <cell r="B4524">
            <v>342109</v>
          </cell>
          <cell r="C4524" t="str">
            <v>ACCTS RECEIVABLE-WRITE OFF</v>
          </cell>
        </row>
        <row r="4525">
          <cell r="A4525">
            <v>9080702</v>
          </cell>
          <cell r="B4525">
            <v>342109</v>
          </cell>
          <cell r="C4525" t="str">
            <v>ACCTS RECEIVABLE-WRITE OFF</v>
          </cell>
        </row>
        <row r="4526">
          <cell r="A4526">
            <v>9080705</v>
          </cell>
          <cell r="B4526">
            <v>342109</v>
          </cell>
          <cell r="C4526" t="str">
            <v>ACCTS RECEIVABLE-WRITE OFF</v>
          </cell>
        </row>
        <row r="4527">
          <cell r="A4527">
            <v>9080707</v>
          </cell>
          <cell r="B4527">
            <v>342109</v>
          </cell>
          <cell r="C4527" t="str">
            <v>ACCTS RECEIVABLE-WRITE OFF</v>
          </cell>
        </row>
        <row r="4528">
          <cell r="A4528">
            <v>9080710</v>
          </cell>
          <cell r="B4528">
            <v>342109</v>
          </cell>
          <cell r="C4528" t="str">
            <v>ACCTS RECEIVABLE-WRITE OFF</v>
          </cell>
        </row>
        <row r="4529">
          <cell r="A4529">
            <v>9090999</v>
          </cell>
          <cell r="B4529">
            <v>342109</v>
          </cell>
          <cell r="C4529" t="str">
            <v>ACCTS RECEIVABLE-WRITE OFF</v>
          </cell>
        </row>
        <row r="4530">
          <cell r="A4530">
            <v>9100999</v>
          </cell>
          <cell r="B4530">
            <v>342109</v>
          </cell>
          <cell r="C4530" t="str">
            <v>ACCTS RECEIVABLE-WRITE OFF</v>
          </cell>
        </row>
        <row r="4531">
          <cell r="A4531">
            <v>9110700</v>
          </cell>
          <cell r="B4531">
            <v>342109</v>
          </cell>
          <cell r="C4531" t="str">
            <v>ACCTS RECEIVABLE-WRITE OFF</v>
          </cell>
        </row>
        <row r="4532">
          <cell r="A4532">
            <v>9110702</v>
          </cell>
          <cell r="B4532">
            <v>342109</v>
          </cell>
          <cell r="C4532" t="str">
            <v>ACCTS RECEIVABLE-WRITE OFF</v>
          </cell>
        </row>
        <row r="4533">
          <cell r="A4533">
            <v>9110705</v>
          </cell>
          <cell r="B4533">
            <v>342109</v>
          </cell>
          <cell r="C4533" t="str">
            <v>ACCTS RECEIVABLE-WRITE OFF</v>
          </cell>
        </row>
        <row r="4534">
          <cell r="A4534">
            <v>9110707</v>
          </cell>
          <cell r="B4534">
            <v>342109</v>
          </cell>
          <cell r="C4534" t="str">
            <v>ACCTS RECEIVABLE-WRITE OFF</v>
          </cell>
        </row>
        <row r="4535">
          <cell r="A4535">
            <v>9680700</v>
          </cell>
          <cell r="B4535">
            <v>342109</v>
          </cell>
          <cell r="C4535" t="str">
            <v>ACCTS RECEIVABLE-WRITE OFF</v>
          </cell>
        </row>
        <row r="4536">
          <cell r="A4536">
            <v>9680701</v>
          </cell>
          <cell r="B4536">
            <v>342109</v>
          </cell>
          <cell r="C4536" t="str">
            <v>ACCTS RECEIVABLE-WRITE OFF</v>
          </cell>
        </row>
        <row r="4537">
          <cell r="A4537">
            <v>9680702</v>
          </cell>
          <cell r="B4537">
            <v>342109</v>
          </cell>
          <cell r="C4537" t="str">
            <v>ACCTS RECEIVABLE-WRITE OFF</v>
          </cell>
        </row>
        <row r="4538">
          <cell r="A4538">
            <v>9680710</v>
          </cell>
          <cell r="B4538">
            <v>342109</v>
          </cell>
          <cell r="C4538" t="str">
            <v>ACCTS RECEIVABLE-WRITE OFF</v>
          </cell>
        </row>
        <row r="4539">
          <cell r="A4539">
            <v>9680734</v>
          </cell>
          <cell r="B4539">
            <v>342109</v>
          </cell>
          <cell r="C4539" t="str">
            <v>ACCTS RECEIVABLE-WRITE OFF</v>
          </cell>
        </row>
        <row r="4540">
          <cell r="A4540">
            <v>9680748</v>
          </cell>
          <cell r="B4540">
            <v>342109</v>
          </cell>
          <cell r="C4540" t="str">
            <v>ACCTS RECEIVABLE-WRITE OFF</v>
          </cell>
        </row>
        <row r="4541">
          <cell r="A4541">
            <v>9680894</v>
          </cell>
          <cell r="B4541">
            <v>342109</v>
          </cell>
          <cell r="C4541" t="str">
            <v>ACCTS RECEIVABLE-WRITE OFF</v>
          </cell>
        </row>
        <row r="4542">
          <cell r="A4542">
            <v>9680999</v>
          </cell>
          <cell r="B4542">
            <v>342109</v>
          </cell>
          <cell r="C4542" t="str">
            <v>ACCTS RECEIVABLE-WRITE OFF</v>
          </cell>
        </row>
        <row r="4543">
          <cell r="A4543">
            <v>9681700</v>
          </cell>
          <cell r="B4543">
            <v>342109</v>
          </cell>
          <cell r="C4543" t="str">
            <v>ACCTS RECEIVABLE-WRITE OFF</v>
          </cell>
        </row>
        <row r="4544">
          <cell r="A4544">
            <v>9681701</v>
          </cell>
          <cell r="B4544">
            <v>342109</v>
          </cell>
          <cell r="C4544" t="str">
            <v>ACCTS RECEIVABLE-WRITE OFF</v>
          </cell>
        </row>
        <row r="4545">
          <cell r="A4545">
            <v>9681702</v>
          </cell>
          <cell r="B4545">
            <v>342109</v>
          </cell>
          <cell r="C4545" t="str">
            <v>ACCTS RECEIVABLE-WRITE OFF</v>
          </cell>
        </row>
        <row r="4546">
          <cell r="A4546">
            <v>9681705</v>
          </cell>
          <cell r="B4546">
            <v>342109</v>
          </cell>
          <cell r="C4546" t="str">
            <v>ACCTS RECEIVABLE-WRITE OFF</v>
          </cell>
        </row>
        <row r="4547">
          <cell r="A4547">
            <v>9681706</v>
          </cell>
          <cell r="B4547">
            <v>342109</v>
          </cell>
          <cell r="C4547" t="str">
            <v>ACCTS RECEIVABLE-WRITE OFF</v>
          </cell>
        </row>
        <row r="4548">
          <cell r="A4548">
            <v>9681707</v>
          </cell>
          <cell r="B4548">
            <v>342109</v>
          </cell>
          <cell r="C4548" t="str">
            <v>ACCTS RECEIVABLE-WRITE OFF</v>
          </cell>
        </row>
        <row r="4549">
          <cell r="A4549">
            <v>9681710</v>
          </cell>
          <cell r="B4549">
            <v>342109</v>
          </cell>
          <cell r="C4549" t="str">
            <v>ACCTS RECEIVABLE-WRITE OFF</v>
          </cell>
        </row>
        <row r="4550">
          <cell r="A4550">
            <v>9681712</v>
          </cell>
          <cell r="B4550">
            <v>342109</v>
          </cell>
          <cell r="C4550" t="str">
            <v>ACCTS RECEIVABLE-WRITE OFF</v>
          </cell>
        </row>
        <row r="4551">
          <cell r="A4551">
            <v>9681716</v>
          </cell>
          <cell r="B4551">
            <v>342109</v>
          </cell>
          <cell r="C4551" t="str">
            <v>ACCTS RECEIVABLE-WRITE OFF</v>
          </cell>
        </row>
        <row r="4552">
          <cell r="A4552">
            <v>9681727</v>
          </cell>
          <cell r="B4552">
            <v>342109</v>
          </cell>
          <cell r="C4552" t="str">
            <v>ACCTS RECEIVABLE-WRITE OFF</v>
          </cell>
        </row>
        <row r="4553">
          <cell r="A4553">
            <v>9681734</v>
          </cell>
          <cell r="B4553">
            <v>342109</v>
          </cell>
          <cell r="C4553" t="str">
            <v>ACCTS RECEIVABLE-WRITE OFF</v>
          </cell>
        </row>
        <row r="4554">
          <cell r="A4554">
            <v>9681748</v>
          </cell>
          <cell r="B4554">
            <v>342109</v>
          </cell>
          <cell r="C4554" t="str">
            <v>ACCTS RECEIVABLE-WRITE OFF</v>
          </cell>
        </row>
        <row r="4555">
          <cell r="A4555">
            <v>9681749</v>
          </cell>
          <cell r="B4555">
            <v>342109</v>
          </cell>
          <cell r="C4555" t="str">
            <v>ACCTS RECEIVABLE-WRITE OFF</v>
          </cell>
        </row>
        <row r="4556">
          <cell r="A4556">
            <v>9681894</v>
          </cell>
          <cell r="B4556">
            <v>342109</v>
          </cell>
          <cell r="C4556" t="str">
            <v>ACCTS RECEIVABLE-WRITE OFF</v>
          </cell>
        </row>
        <row r="4557">
          <cell r="A4557">
            <v>9681999</v>
          </cell>
          <cell r="B4557">
            <v>342109</v>
          </cell>
          <cell r="C4557" t="str">
            <v>ACCTS RECEIVABLE-WRITE OFF</v>
          </cell>
        </row>
        <row r="4558">
          <cell r="A4558">
            <v>9689883</v>
          </cell>
          <cell r="B4558">
            <v>342109</v>
          </cell>
          <cell r="C4558" t="str">
            <v>ACCTS RECEIVABLE-WRITE OFF</v>
          </cell>
        </row>
        <row r="4559">
          <cell r="A4559">
            <v>9689906</v>
          </cell>
          <cell r="B4559">
            <v>342109</v>
          </cell>
          <cell r="C4559" t="str">
            <v>ACCTS RECEIVABLE-WRITE OFF</v>
          </cell>
        </row>
        <row r="4560">
          <cell r="A4560">
            <v>9689992</v>
          </cell>
          <cell r="B4560">
            <v>342109</v>
          </cell>
          <cell r="C4560" t="str">
            <v>ACCTS RECEIVABLE-WRITE OFF</v>
          </cell>
        </row>
        <row r="4561">
          <cell r="A4561">
            <v>9720716</v>
          </cell>
          <cell r="B4561">
            <v>342109</v>
          </cell>
          <cell r="C4561" t="str">
            <v>ACCTS RECEIVABLE-WRITE OFF</v>
          </cell>
        </row>
        <row r="4562">
          <cell r="A4562">
            <v>9723723</v>
          </cell>
          <cell r="B4562">
            <v>342109</v>
          </cell>
          <cell r="C4562" t="str">
            <v>ACCTS RECEIVABLE-WRITE OFF</v>
          </cell>
        </row>
        <row r="4563">
          <cell r="A4563">
            <v>9724718</v>
          </cell>
          <cell r="B4563">
            <v>342109</v>
          </cell>
          <cell r="C4563" t="str">
            <v>ACCTS RECEIVABLE-WRITE OFF</v>
          </cell>
        </row>
        <row r="4564">
          <cell r="A4564">
            <v>9080700</v>
          </cell>
          <cell r="B4564">
            <v>342190</v>
          </cell>
          <cell r="C4564" t="str">
            <v>EDUCATION EXPENSE</v>
          </cell>
        </row>
        <row r="4565">
          <cell r="A4565">
            <v>9080701</v>
          </cell>
          <cell r="B4565">
            <v>342190</v>
          </cell>
          <cell r="C4565" t="str">
            <v>EDUCATION EXPENSE</v>
          </cell>
        </row>
        <row r="4566">
          <cell r="A4566">
            <v>9080702</v>
          </cell>
          <cell r="B4566">
            <v>342190</v>
          </cell>
          <cell r="C4566" t="str">
            <v>EDUCATION EXPENSE</v>
          </cell>
        </row>
        <row r="4567">
          <cell r="A4567">
            <v>9080705</v>
          </cell>
          <cell r="B4567">
            <v>342190</v>
          </cell>
          <cell r="C4567" t="str">
            <v>EDUCATION EXPENSE</v>
          </cell>
        </row>
        <row r="4568">
          <cell r="A4568">
            <v>9080707</v>
          </cell>
          <cell r="B4568">
            <v>342190</v>
          </cell>
          <cell r="C4568" t="str">
            <v>EDUCATION EXPENSE</v>
          </cell>
        </row>
        <row r="4569">
          <cell r="A4569">
            <v>9080710</v>
          </cell>
          <cell r="B4569">
            <v>342190</v>
          </cell>
          <cell r="C4569" t="str">
            <v>EDUCATION EXPENSE</v>
          </cell>
        </row>
        <row r="4570">
          <cell r="A4570">
            <v>9080999</v>
          </cell>
          <cell r="B4570">
            <v>342190</v>
          </cell>
          <cell r="C4570" t="str">
            <v>EDUCATION EXPENSE</v>
          </cell>
        </row>
        <row r="4571">
          <cell r="A4571">
            <v>9090999</v>
          </cell>
          <cell r="B4571">
            <v>342190</v>
          </cell>
          <cell r="C4571" t="str">
            <v>EDUCATION EXPENSE</v>
          </cell>
        </row>
        <row r="4572">
          <cell r="A4572">
            <v>9100999</v>
          </cell>
          <cell r="B4572">
            <v>342190</v>
          </cell>
          <cell r="C4572" t="str">
            <v>EDUCATION EXPENSE</v>
          </cell>
        </row>
        <row r="4573">
          <cell r="A4573">
            <v>9110700</v>
          </cell>
          <cell r="B4573">
            <v>342190</v>
          </cell>
          <cell r="C4573" t="str">
            <v>EDUCATION EXPENSE</v>
          </cell>
        </row>
        <row r="4574">
          <cell r="A4574">
            <v>9110702</v>
          </cell>
          <cell r="B4574">
            <v>342190</v>
          </cell>
          <cell r="C4574" t="str">
            <v>EDUCATION EXPENSE</v>
          </cell>
        </row>
        <row r="4575">
          <cell r="A4575">
            <v>9110705</v>
          </cell>
          <cell r="B4575">
            <v>342190</v>
          </cell>
          <cell r="C4575" t="str">
            <v>EDUCATION EXPENSE</v>
          </cell>
        </row>
        <row r="4576">
          <cell r="A4576">
            <v>9110707</v>
          </cell>
          <cell r="B4576">
            <v>342190</v>
          </cell>
          <cell r="C4576" t="str">
            <v>EDUCATION EXPENSE</v>
          </cell>
        </row>
        <row r="4577">
          <cell r="A4577">
            <v>9110999</v>
          </cell>
          <cell r="B4577">
            <v>342190</v>
          </cell>
          <cell r="C4577" t="str">
            <v>EDUCATION EXPENSE</v>
          </cell>
        </row>
        <row r="4578">
          <cell r="A4578">
            <v>9680700</v>
          </cell>
          <cell r="B4578">
            <v>342190</v>
          </cell>
          <cell r="C4578" t="str">
            <v>EDUCATION EXPENSE</v>
          </cell>
        </row>
        <row r="4579">
          <cell r="A4579">
            <v>9680701</v>
          </cell>
          <cell r="B4579">
            <v>342190</v>
          </cell>
          <cell r="C4579" t="str">
            <v>EDUCATION EXPENSE</v>
          </cell>
        </row>
        <row r="4580">
          <cell r="A4580">
            <v>9680702</v>
          </cell>
          <cell r="B4580">
            <v>342190</v>
          </cell>
          <cell r="C4580" t="str">
            <v>EDUCATION EXPENSE</v>
          </cell>
        </row>
        <row r="4581">
          <cell r="A4581">
            <v>9680705</v>
          </cell>
          <cell r="B4581">
            <v>342190</v>
          </cell>
          <cell r="C4581" t="str">
            <v>EDUCATION EXPENSE</v>
          </cell>
        </row>
        <row r="4582">
          <cell r="A4582">
            <v>9680707</v>
          </cell>
          <cell r="B4582">
            <v>342190</v>
          </cell>
          <cell r="C4582" t="str">
            <v>EDUCATION EXPENSE</v>
          </cell>
        </row>
        <row r="4583">
          <cell r="A4583">
            <v>9680710</v>
          </cell>
          <cell r="B4583">
            <v>342190</v>
          </cell>
          <cell r="C4583" t="str">
            <v>EDUCATION EXPENSE</v>
          </cell>
        </row>
        <row r="4584">
          <cell r="A4584">
            <v>9680712</v>
          </cell>
          <cell r="B4584">
            <v>342190</v>
          </cell>
          <cell r="C4584" t="str">
            <v>EDUCATION EXPENSE</v>
          </cell>
        </row>
        <row r="4585">
          <cell r="A4585">
            <v>9680714</v>
          </cell>
          <cell r="B4585">
            <v>342190</v>
          </cell>
          <cell r="C4585" t="str">
            <v>EDUCATION EXPENSE</v>
          </cell>
        </row>
        <row r="4586">
          <cell r="A4586">
            <v>9680734</v>
          </cell>
          <cell r="B4586">
            <v>342190</v>
          </cell>
          <cell r="C4586" t="str">
            <v>EDUCATION EXPENSE</v>
          </cell>
        </row>
        <row r="4587">
          <cell r="A4587">
            <v>9680748</v>
          </cell>
          <cell r="B4587">
            <v>342190</v>
          </cell>
          <cell r="C4587" t="str">
            <v>EDUCATION EXPENSE</v>
          </cell>
        </row>
        <row r="4588">
          <cell r="A4588">
            <v>9680749</v>
          </cell>
          <cell r="B4588">
            <v>342190</v>
          </cell>
          <cell r="C4588" t="str">
            <v>EDUCATION EXPENSE</v>
          </cell>
        </row>
        <row r="4589">
          <cell r="A4589">
            <v>9680894</v>
          </cell>
          <cell r="B4589">
            <v>342190</v>
          </cell>
          <cell r="C4589" t="str">
            <v>EDUCATION EXPENSE</v>
          </cell>
        </row>
        <row r="4590">
          <cell r="A4590">
            <v>9680999</v>
          </cell>
          <cell r="B4590">
            <v>342190</v>
          </cell>
          <cell r="C4590" t="str">
            <v>EDUCATION EXPENSE</v>
          </cell>
        </row>
        <row r="4591">
          <cell r="A4591">
            <v>9681700</v>
          </cell>
          <cell r="B4591">
            <v>342190</v>
          </cell>
          <cell r="C4591" t="str">
            <v>EDUCATION EXPENSE</v>
          </cell>
        </row>
        <row r="4592">
          <cell r="A4592">
            <v>9681701</v>
          </cell>
          <cell r="B4592">
            <v>342190</v>
          </cell>
          <cell r="C4592" t="str">
            <v>EDUCATION EXPENSE</v>
          </cell>
        </row>
        <row r="4593">
          <cell r="A4593">
            <v>9681702</v>
          </cell>
          <cell r="B4593">
            <v>342190</v>
          </cell>
          <cell r="C4593" t="str">
            <v>EDUCATION EXPENSE</v>
          </cell>
        </row>
        <row r="4594">
          <cell r="A4594">
            <v>9681705</v>
          </cell>
          <cell r="B4594">
            <v>342190</v>
          </cell>
          <cell r="C4594" t="str">
            <v>EDUCATION EXPENSE</v>
          </cell>
        </row>
        <row r="4595">
          <cell r="A4595">
            <v>9681706</v>
          </cell>
          <cell r="B4595">
            <v>342190</v>
          </cell>
          <cell r="C4595" t="str">
            <v>EDUCATION EXPENSE</v>
          </cell>
        </row>
        <row r="4596">
          <cell r="A4596">
            <v>9681707</v>
          </cell>
          <cell r="B4596">
            <v>342190</v>
          </cell>
          <cell r="C4596" t="str">
            <v>EDUCATION EXPENSE</v>
          </cell>
        </row>
        <row r="4597">
          <cell r="A4597">
            <v>9681710</v>
          </cell>
          <cell r="B4597">
            <v>342190</v>
          </cell>
          <cell r="C4597" t="str">
            <v>EDUCATION EXPENSE</v>
          </cell>
        </row>
        <row r="4598">
          <cell r="A4598">
            <v>9681712</v>
          </cell>
          <cell r="B4598">
            <v>342190</v>
          </cell>
          <cell r="C4598" t="str">
            <v>EDUCATION EXPENSE</v>
          </cell>
        </row>
        <row r="4599">
          <cell r="A4599">
            <v>9681727</v>
          </cell>
          <cell r="B4599">
            <v>342190</v>
          </cell>
          <cell r="C4599" t="str">
            <v>EDUCATION EXPENSE</v>
          </cell>
        </row>
        <row r="4600">
          <cell r="A4600">
            <v>9681734</v>
          </cell>
          <cell r="B4600">
            <v>342190</v>
          </cell>
          <cell r="C4600" t="str">
            <v>EDUCATION EXPENSE</v>
          </cell>
        </row>
        <row r="4601">
          <cell r="A4601">
            <v>9681748</v>
          </cell>
          <cell r="B4601">
            <v>342190</v>
          </cell>
          <cell r="C4601" t="str">
            <v>EDUCATION EXPENSE</v>
          </cell>
        </row>
        <row r="4602">
          <cell r="A4602">
            <v>9681749</v>
          </cell>
          <cell r="B4602">
            <v>342190</v>
          </cell>
          <cell r="C4602" t="str">
            <v>EDUCATION EXPENSE</v>
          </cell>
        </row>
        <row r="4603">
          <cell r="A4603">
            <v>9681894</v>
          </cell>
          <cell r="B4603">
            <v>342190</v>
          </cell>
          <cell r="C4603" t="str">
            <v>EDUCATION EXPENSE</v>
          </cell>
        </row>
        <row r="4604">
          <cell r="A4604">
            <v>9681999</v>
          </cell>
          <cell r="B4604">
            <v>342190</v>
          </cell>
          <cell r="C4604" t="str">
            <v>EDUCATION EXPENSE</v>
          </cell>
        </row>
        <row r="4605">
          <cell r="A4605">
            <v>9682999</v>
          </cell>
          <cell r="B4605">
            <v>342190</v>
          </cell>
          <cell r="C4605" t="str">
            <v>EDUCATION EXPENSE</v>
          </cell>
        </row>
        <row r="4606">
          <cell r="A4606">
            <v>9683999</v>
          </cell>
          <cell r="B4606">
            <v>342190</v>
          </cell>
          <cell r="C4606" t="str">
            <v>EDUCATION EXPENSE</v>
          </cell>
        </row>
        <row r="4607">
          <cell r="A4607">
            <v>9684999</v>
          </cell>
          <cell r="B4607">
            <v>342190</v>
          </cell>
          <cell r="C4607" t="str">
            <v>EDUCATION EXPENSE</v>
          </cell>
        </row>
        <row r="4608">
          <cell r="A4608">
            <v>9689692</v>
          </cell>
          <cell r="B4608">
            <v>342190</v>
          </cell>
          <cell r="C4608" t="str">
            <v>EDUCATION EXPENSE</v>
          </cell>
        </row>
        <row r="4609">
          <cell r="A4609">
            <v>9689747</v>
          </cell>
          <cell r="B4609">
            <v>342190</v>
          </cell>
          <cell r="C4609" t="str">
            <v>EDUCATION EXPENSE</v>
          </cell>
        </row>
        <row r="4610">
          <cell r="A4610">
            <v>9689883</v>
          </cell>
          <cell r="B4610">
            <v>342190</v>
          </cell>
          <cell r="C4610" t="str">
            <v>EDUCATION EXPENSE</v>
          </cell>
        </row>
        <row r="4611">
          <cell r="A4611">
            <v>9689890</v>
          </cell>
          <cell r="B4611">
            <v>342190</v>
          </cell>
          <cell r="C4611" t="str">
            <v>EDUCATION EXPENSE</v>
          </cell>
        </row>
        <row r="4612">
          <cell r="A4612">
            <v>9689906</v>
          </cell>
          <cell r="B4612">
            <v>342190</v>
          </cell>
          <cell r="C4612" t="str">
            <v>EDUCATION EXPENSE</v>
          </cell>
        </row>
        <row r="4613">
          <cell r="A4613">
            <v>9689925</v>
          </cell>
          <cell r="B4613">
            <v>342190</v>
          </cell>
          <cell r="C4613" t="str">
            <v>EDUCATION EXPENSE</v>
          </cell>
        </row>
        <row r="4614">
          <cell r="A4614">
            <v>9689990</v>
          </cell>
          <cell r="B4614">
            <v>342190</v>
          </cell>
          <cell r="C4614" t="str">
            <v>EDUCATION EXPENSE</v>
          </cell>
        </row>
        <row r="4615">
          <cell r="A4615">
            <v>9689991</v>
          </cell>
          <cell r="B4615">
            <v>342190</v>
          </cell>
          <cell r="C4615" t="str">
            <v>EDUCATION EXPENSE</v>
          </cell>
        </row>
        <row r="4616">
          <cell r="A4616">
            <v>9689992</v>
          </cell>
          <cell r="B4616">
            <v>342190</v>
          </cell>
          <cell r="C4616" t="str">
            <v>EDUCATION EXPENSE</v>
          </cell>
        </row>
        <row r="4617">
          <cell r="A4617">
            <v>9689993</v>
          </cell>
          <cell r="B4617">
            <v>342190</v>
          </cell>
          <cell r="C4617" t="str">
            <v>EDUCATION EXPENSE</v>
          </cell>
        </row>
        <row r="4618">
          <cell r="A4618">
            <v>9689994</v>
          </cell>
          <cell r="B4618">
            <v>342190</v>
          </cell>
          <cell r="C4618" t="str">
            <v>EDUCATION EXPENSE</v>
          </cell>
        </row>
        <row r="4619">
          <cell r="A4619">
            <v>9080700</v>
          </cell>
          <cell r="B4619">
            <v>342230</v>
          </cell>
          <cell r="C4619" t="str">
            <v>EMPLOYEE SERVICE AWARDS/PRIZES</v>
          </cell>
        </row>
        <row r="4620">
          <cell r="A4620">
            <v>9080701</v>
          </cell>
          <cell r="B4620">
            <v>342230</v>
          </cell>
          <cell r="C4620" t="str">
            <v>EMPLOYEE SERVICE AWARDS/PRIZES</v>
          </cell>
        </row>
        <row r="4621">
          <cell r="A4621">
            <v>9080702</v>
          </cell>
          <cell r="B4621">
            <v>342230</v>
          </cell>
          <cell r="C4621" t="str">
            <v>EMPLOYEE SERVICE AWARDS/PRIZES</v>
          </cell>
        </row>
        <row r="4622">
          <cell r="A4622">
            <v>9080705</v>
          </cell>
          <cell r="B4622">
            <v>342230</v>
          </cell>
          <cell r="C4622" t="str">
            <v>EMPLOYEE SERVICE AWARDS/PRIZES</v>
          </cell>
        </row>
        <row r="4623">
          <cell r="A4623">
            <v>9080707</v>
          </cell>
          <cell r="B4623">
            <v>342230</v>
          </cell>
          <cell r="C4623" t="str">
            <v>EMPLOYEE SERVICE AWARDS/PRIZES</v>
          </cell>
        </row>
        <row r="4624">
          <cell r="A4624">
            <v>9080710</v>
          </cell>
          <cell r="B4624">
            <v>342230</v>
          </cell>
          <cell r="C4624" t="str">
            <v>EMPLOYEE SERVICE AWARDS/PRIZES</v>
          </cell>
        </row>
        <row r="4625">
          <cell r="A4625">
            <v>9080999</v>
          </cell>
          <cell r="B4625">
            <v>342230</v>
          </cell>
          <cell r="C4625" t="str">
            <v>EMPLOYEE SERVICE AWARDS/PRIZES</v>
          </cell>
        </row>
        <row r="4626">
          <cell r="A4626">
            <v>9090999</v>
          </cell>
          <cell r="B4626">
            <v>342230</v>
          </cell>
          <cell r="C4626" t="str">
            <v>EMPLOYEE SERVICE AWARDS/PRIZES</v>
          </cell>
        </row>
        <row r="4627">
          <cell r="A4627">
            <v>9100999</v>
          </cell>
          <cell r="B4627">
            <v>342230</v>
          </cell>
          <cell r="C4627" t="str">
            <v>EMPLOYEE SERVICE AWARDS/PRIZES</v>
          </cell>
        </row>
        <row r="4628">
          <cell r="A4628">
            <v>9110700</v>
          </cell>
          <cell r="B4628">
            <v>342230</v>
          </cell>
          <cell r="C4628" t="str">
            <v>EMPLOYEE SERVICE AWARDS/PRIZES</v>
          </cell>
        </row>
        <row r="4629">
          <cell r="A4629">
            <v>9110702</v>
          </cell>
          <cell r="B4629">
            <v>342230</v>
          </cell>
          <cell r="C4629" t="str">
            <v>EMPLOYEE SERVICE AWARDS/PRIZES</v>
          </cell>
        </row>
        <row r="4630">
          <cell r="A4630">
            <v>9110705</v>
          </cell>
          <cell r="B4630">
            <v>342230</v>
          </cell>
          <cell r="C4630" t="str">
            <v>EMPLOYEE SERVICE AWARDS/PRIZES</v>
          </cell>
        </row>
        <row r="4631">
          <cell r="A4631">
            <v>9110707</v>
          </cell>
          <cell r="B4631">
            <v>342230</v>
          </cell>
          <cell r="C4631" t="str">
            <v>EMPLOYEE SERVICE AWARDS/PRIZES</v>
          </cell>
        </row>
        <row r="4632">
          <cell r="A4632">
            <v>9110999</v>
          </cell>
          <cell r="B4632">
            <v>342230</v>
          </cell>
          <cell r="C4632" t="str">
            <v>EMPLOYEE SERVICE AWARDS/PRIZES</v>
          </cell>
        </row>
        <row r="4633">
          <cell r="A4633">
            <v>9680700</v>
          </cell>
          <cell r="B4633">
            <v>342230</v>
          </cell>
          <cell r="C4633" t="str">
            <v>EMPLOYEE SERVICE AWARDS/PRIZES</v>
          </cell>
        </row>
        <row r="4634">
          <cell r="A4634">
            <v>9680701</v>
          </cell>
          <cell r="B4634">
            <v>342230</v>
          </cell>
          <cell r="C4634" t="str">
            <v>EMPLOYEE SERVICE AWARDS/PRIZES</v>
          </cell>
        </row>
        <row r="4635">
          <cell r="A4635">
            <v>9680702</v>
          </cell>
          <cell r="B4635">
            <v>342230</v>
          </cell>
          <cell r="C4635" t="str">
            <v>EMPLOYEE SERVICE AWARDS/PRIZES</v>
          </cell>
        </row>
        <row r="4636">
          <cell r="A4636">
            <v>9680705</v>
          </cell>
          <cell r="B4636">
            <v>342230</v>
          </cell>
          <cell r="C4636" t="str">
            <v>EMPLOYEE SERVICE AWARDS/PRIZES</v>
          </cell>
        </row>
        <row r="4637">
          <cell r="A4637">
            <v>9680707</v>
          </cell>
          <cell r="B4637">
            <v>342230</v>
          </cell>
          <cell r="C4637" t="str">
            <v>EMPLOYEE SERVICE AWARDS/PRIZES</v>
          </cell>
        </row>
        <row r="4638">
          <cell r="A4638">
            <v>9680710</v>
          </cell>
          <cell r="B4638">
            <v>342230</v>
          </cell>
          <cell r="C4638" t="str">
            <v>EMPLOYEE SERVICE AWARDS/PRIZES</v>
          </cell>
        </row>
        <row r="4639">
          <cell r="A4639">
            <v>9680712</v>
          </cell>
          <cell r="B4639">
            <v>342230</v>
          </cell>
          <cell r="C4639" t="str">
            <v>EMPLOYEE SERVICE AWARDS/PRIZES</v>
          </cell>
        </row>
        <row r="4640">
          <cell r="A4640">
            <v>9680714</v>
          </cell>
          <cell r="B4640">
            <v>342230</v>
          </cell>
          <cell r="C4640" t="str">
            <v>EMPLOYEE SERVICE AWARDS/PRIZES</v>
          </cell>
        </row>
        <row r="4641">
          <cell r="A4641">
            <v>9680734</v>
          </cell>
          <cell r="B4641">
            <v>342230</v>
          </cell>
          <cell r="C4641" t="str">
            <v>EMPLOYEE SERVICE AWARDS/PRIZES</v>
          </cell>
        </row>
        <row r="4642">
          <cell r="A4642">
            <v>9680748</v>
          </cell>
          <cell r="B4642">
            <v>342230</v>
          </cell>
          <cell r="C4642" t="str">
            <v>EMPLOYEE SERVICE AWARDS/PRIZES</v>
          </cell>
        </row>
        <row r="4643">
          <cell r="A4643">
            <v>9680749</v>
          </cell>
          <cell r="B4643">
            <v>342230</v>
          </cell>
          <cell r="C4643" t="str">
            <v>EMPLOYEE SERVICE AWARDS/PRIZES</v>
          </cell>
        </row>
        <row r="4644">
          <cell r="A4644">
            <v>9680894</v>
          </cell>
          <cell r="B4644">
            <v>342230</v>
          </cell>
          <cell r="C4644" t="str">
            <v>EMPLOYEE SERVICE AWARDS/PRIZES</v>
          </cell>
        </row>
        <row r="4645">
          <cell r="A4645">
            <v>9680999</v>
          </cell>
          <cell r="B4645">
            <v>342230</v>
          </cell>
          <cell r="C4645" t="str">
            <v>EMPLOYEE SERVICE AWARDS/PRIZES</v>
          </cell>
        </row>
        <row r="4646">
          <cell r="A4646">
            <v>9681700</v>
          </cell>
          <cell r="B4646">
            <v>342230</v>
          </cell>
          <cell r="C4646" t="str">
            <v>EMPLOYEE SERVICE AWARDS/PRIZES</v>
          </cell>
        </row>
        <row r="4647">
          <cell r="A4647">
            <v>9681701</v>
          </cell>
          <cell r="B4647">
            <v>342230</v>
          </cell>
          <cell r="C4647" t="str">
            <v>EMPLOYEE SERVICE AWARDS/PRIZES</v>
          </cell>
        </row>
        <row r="4648">
          <cell r="A4648">
            <v>9681702</v>
          </cell>
          <cell r="B4648">
            <v>342230</v>
          </cell>
          <cell r="C4648" t="str">
            <v>EMPLOYEE SERVICE AWARDS/PRIZES</v>
          </cell>
        </row>
        <row r="4649">
          <cell r="A4649">
            <v>9681705</v>
          </cell>
          <cell r="B4649">
            <v>342230</v>
          </cell>
          <cell r="C4649" t="str">
            <v>EMPLOYEE SERVICE AWARDS/PRIZES</v>
          </cell>
        </row>
        <row r="4650">
          <cell r="A4650">
            <v>9681706</v>
          </cell>
          <cell r="B4650">
            <v>342230</v>
          </cell>
          <cell r="C4650" t="str">
            <v>EMPLOYEE SERVICE AWARDS/PRIZES</v>
          </cell>
        </row>
        <row r="4651">
          <cell r="A4651">
            <v>9681707</v>
          </cell>
          <cell r="B4651">
            <v>342230</v>
          </cell>
          <cell r="C4651" t="str">
            <v>EMPLOYEE SERVICE AWARDS/PRIZES</v>
          </cell>
        </row>
        <row r="4652">
          <cell r="A4652">
            <v>9681710</v>
          </cell>
          <cell r="B4652">
            <v>342230</v>
          </cell>
          <cell r="C4652" t="str">
            <v>EMPLOYEE SERVICE AWARDS/PRIZES</v>
          </cell>
        </row>
        <row r="4653">
          <cell r="A4653">
            <v>9681712</v>
          </cell>
          <cell r="B4653">
            <v>342230</v>
          </cell>
          <cell r="C4653" t="str">
            <v>EMPLOYEE SERVICE AWARDS/PRIZES</v>
          </cell>
        </row>
        <row r="4654">
          <cell r="A4654">
            <v>9681727</v>
          </cell>
          <cell r="B4654">
            <v>342230</v>
          </cell>
          <cell r="C4654" t="str">
            <v>EMPLOYEE SERVICE AWARDS/PRIZES</v>
          </cell>
        </row>
        <row r="4655">
          <cell r="A4655">
            <v>9681734</v>
          </cell>
          <cell r="B4655">
            <v>342230</v>
          </cell>
          <cell r="C4655" t="str">
            <v>EMPLOYEE SERVICE AWARDS/PRIZES</v>
          </cell>
        </row>
        <row r="4656">
          <cell r="A4656">
            <v>9681748</v>
          </cell>
          <cell r="B4656">
            <v>342230</v>
          </cell>
          <cell r="C4656" t="str">
            <v>EMPLOYEE SERVICE AWARDS/PRIZES</v>
          </cell>
        </row>
        <row r="4657">
          <cell r="A4657">
            <v>9681749</v>
          </cell>
          <cell r="B4657">
            <v>342230</v>
          </cell>
          <cell r="C4657" t="str">
            <v>EMPLOYEE SERVICE AWARDS/PRIZES</v>
          </cell>
        </row>
        <row r="4658">
          <cell r="A4658">
            <v>9681894</v>
          </cell>
          <cell r="B4658">
            <v>342230</v>
          </cell>
          <cell r="C4658" t="str">
            <v>EMPLOYEE SERVICE AWARDS/PRIZES</v>
          </cell>
        </row>
        <row r="4659">
          <cell r="A4659">
            <v>9681999</v>
          </cell>
          <cell r="B4659">
            <v>342230</v>
          </cell>
          <cell r="C4659" t="str">
            <v>EMPLOYEE SERVICE AWARDS/PRIZES</v>
          </cell>
        </row>
        <row r="4660">
          <cell r="A4660">
            <v>9682715</v>
          </cell>
          <cell r="B4660">
            <v>342230</v>
          </cell>
          <cell r="C4660" t="str">
            <v>EMPLOYEE SERVICE AWARDS/PRIZES</v>
          </cell>
        </row>
        <row r="4661">
          <cell r="A4661">
            <v>9689692</v>
          </cell>
          <cell r="B4661">
            <v>342230</v>
          </cell>
          <cell r="C4661" t="str">
            <v>EMPLOYEE SERVICE AWARDS/PRIZES</v>
          </cell>
        </row>
        <row r="4662">
          <cell r="A4662">
            <v>9689747</v>
          </cell>
          <cell r="B4662">
            <v>342230</v>
          </cell>
          <cell r="C4662" t="str">
            <v>EMPLOYEE SERVICE AWARDS/PRIZES</v>
          </cell>
        </row>
        <row r="4663">
          <cell r="A4663">
            <v>9689890</v>
          </cell>
          <cell r="B4663">
            <v>342230</v>
          </cell>
          <cell r="C4663" t="str">
            <v>EMPLOYEE SERVICE AWARDS/PRIZES</v>
          </cell>
        </row>
        <row r="4664">
          <cell r="A4664">
            <v>9689906</v>
          </cell>
          <cell r="B4664">
            <v>342230</v>
          </cell>
          <cell r="C4664" t="str">
            <v>EMPLOYEE SERVICE AWARDS/PRIZES</v>
          </cell>
        </row>
        <row r="4665">
          <cell r="A4665">
            <v>9689925</v>
          </cell>
          <cell r="B4665">
            <v>342230</v>
          </cell>
          <cell r="C4665" t="str">
            <v>EMPLOYEE SERVICE AWARDS/PRIZES</v>
          </cell>
        </row>
        <row r="4666">
          <cell r="A4666">
            <v>9689990</v>
          </cell>
          <cell r="B4666">
            <v>342230</v>
          </cell>
          <cell r="C4666" t="str">
            <v>EMPLOYEE SERVICE AWARDS/PRIZES</v>
          </cell>
        </row>
        <row r="4667">
          <cell r="A4667">
            <v>9689994</v>
          </cell>
          <cell r="B4667">
            <v>342230</v>
          </cell>
          <cell r="C4667" t="str">
            <v>EMPLOYEE SERVICE AWARDS/PRIZES</v>
          </cell>
        </row>
        <row r="4668">
          <cell r="A4668">
            <v>9080700</v>
          </cell>
          <cell r="B4668">
            <v>342291</v>
          </cell>
          <cell r="C4668" t="str">
            <v>EDP SOFTWARE &amp; PROGRAM PRODUCT</v>
          </cell>
        </row>
        <row r="4669">
          <cell r="A4669">
            <v>9080701</v>
          </cell>
          <cell r="B4669">
            <v>342291</v>
          </cell>
          <cell r="C4669" t="str">
            <v>EDP SOFTWARE &amp; PROGRAM PRODUCT</v>
          </cell>
        </row>
        <row r="4670">
          <cell r="A4670">
            <v>9080702</v>
          </cell>
          <cell r="B4670">
            <v>342291</v>
          </cell>
          <cell r="C4670" t="str">
            <v>EDP SOFTWARE &amp; PROGRAM PRODUCT</v>
          </cell>
        </row>
        <row r="4671">
          <cell r="A4671">
            <v>9080705</v>
          </cell>
          <cell r="B4671">
            <v>342291</v>
          </cell>
          <cell r="C4671" t="str">
            <v>EDP SOFTWARE &amp; PROGRAM PRODUCT</v>
          </cell>
        </row>
        <row r="4672">
          <cell r="A4672">
            <v>9080707</v>
          </cell>
          <cell r="B4672">
            <v>342291</v>
          </cell>
          <cell r="C4672" t="str">
            <v>EDP SOFTWARE &amp; PROGRAM PRODUCT</v>
          </cell>
        </row>
        <row r="4673">
          <cell r="A4673">
            <v>9080710</v>
          </cell>
          <cell r="B4673">
            <v>342291</v>
          </cell>
          <cell r="C4673" t="str">
            <v>EDP SOFTWARE &amp; PROGRAM PRODUCT</v>
          </cell>
        </row>
        <row r="4674">
          <cell r="A4674">
            <v>9080999</v>
          </cell>
          <cell r="B4674">
            <v>342291</v>
          </cell>
          <cell r="C4674" t="str">
            <v>EDP SOFTWARE &amp; PROGRAM PRODUCT</v>
          </cell>
        </row>
        <row r="4675">
          <cell r="A4675">
            <v>9090710</v>
          </cell>
          <cell r="B4675">
            <v>342291</v>
          </cell>
          <cell r="C4675" t="str">
            <v>EDP SOFTWARE &amp; PROGRAM PRODUCT</v>
          </cell>
        </row>
        <row r="4676">
          <cell r="A4676">
            <v>9090999</v>
          </cell>
          <cell r="B4676">
            <v>342291</v>
          </cell>
          <cell r="C4676" t="str">
            <v>EDP SOFTWARE &amp; PROGRAM PRODUCT</v>
          </cell>
        </row>
        <row r="4677">
          <cell r="A4677">
            <v>9100710</v>
          </cell>
          <cell r="B4677">
            <v>342291</v>
          </cell>
          <cell r="C4677" t="str">
            <v>EDP SOFTWARE &amp; PROGRAM PRODUCT</v>
          </cell>
        </row>
        <row r="4678">
          <cell r="A4678">
            <v>9100999</v>
          </cell>
          <cell r="B4678">
            <v>342291</v>
          </cell>
          <cell r="C4678" t="str">
            <v>EDP SOFTWARE &amp; PROGRAM PRODUCT</v>
          </cell>
        </row>
        <row r="4679">
          <cell r="A4679">
            <v>9110700</v>
          </cell>
          <cell r="B4679">
            <v>342291</v>
          </cell>
          <cell r="C4679" t="str">
            <v>EDP SOFTWARE &amp; PROGRAM PRODUCT</v>
          </cell>
        </row>
        <row r="4680">
          <cell r="A4680">
            <v>9110702</v>
          </cell>
          <cell r="B4680">
            <v>342291</v>
          </cell>
          <cell r="C4680" t="str">
            <v>EDP SOFTWARE &amp; PROGRAM PRODUCT</v>
          </cell>
        </row>
        <row r="4681">
          <cell r="A4681">
            <v>9110705</v>
          </cell>
          <cell r="B4681">
            <v>342291</v>
          </cell>
          <cell r="C4681" t="str">
            <v>EDP SOFTWARE &amp; PROGRAM PRODUCT</v>
          </cell>
        </row>
        <row r="4682">
          <cell r="A4682">
            <v>9110707</v>
          </cell>
          <cell r="B4682">
            <v>342291</v>
          </cell>
          <cell r="C4682" t="str">
            <v>EDP SOFTWARE &amp; PROGRAM PRODUCT</v>
          </cell>
        </row>
        <row r="4683">
          <cell r="A4683">
            <v>9110999</v>
          </cell>
          <cell r="B4683">
            <v>342291</v>
          </cell>
          <cell r="C4683" t="str">
            <v>EDP SOFTWARE &amp; PROGRAM PRODUCT</v>
          </cell>
        </row>
        <row r="4684">
          <cell r="A4684">
            <v>9680999</v>
          </cell>
          <cell r="B4684">
            <v>342291</v>
          </cell>
          <cell r="C4684" t="str">
            <v>EDP SOFTWARE &amp; PROGRAM PRODUCT</v>
          </cell>
        </row>
        <row r="4685">
          <cell r="A4685">
            <v>9681700</v>
          </cell>
          <cell r="B4685">
            <v>342291</v>
          </cell>
          <cell r="C4685" t="str">
            <v>EDP SOFTWARE &amp; PROGRAM PRODUCT</v>
          </cell>
        </row>
        <row r="4686">
          <cell r="A4686">
            <v>9681701</v>
          </cell>
          <cell r="B4686">
            <v>342291</v>
          </cell>
          <cell r="C4686" t="str">
            <v>EDP SOFTWARE &amp; PROGRAM PRODUCT</v>
          </cell>
        </row>
        <row r="4687">
          <cell r="A4687">
            <v>9681702</v>
          </cell>
          <cell r="B4687">
            <v>342291</v>
          </cell>
          <cell r="C4687" t="str">
            <v>EDP SOFTWARE &amp; PROGRAM PRODUCT</v>
          </cell>
        </row>
        <row r="4688">
          <cell r="A4688">
            <v>9681705</v>
          </cell>
          <cell r="B4688">
            <v>342291</v>
          </cell>
          <cell r="C4688" t="str">
            <v>EDP SOFTWARE &amp; PROGRAM PRODUCT</v>
          </cell>
        </row>
        <row r="4689">
          <cell r="A4689">
            <v>9681706</v>
          </cell>
          <cell r="B4689">
            <v>342291</v>
          </cell>
          <cell r="C4689" t="str">
            <v>EDP SOFTWARE &amp; PROGRAM PRODUCT</v>
          </cell>
        </row>
        <row r="4690">
          <cell r="A4690">
            <v>9681707</v>
          </cell>
          <cell r="B4690">
            <v>342291</v>
          </cell>
          <cell r="C4690" t="str">
            <v>EDP SOFTWARE &amp; PROGRAM PRODUCT</v>
          </cell>
        </row>
        <row r="4691">
          <cell r="A4691">
            <v>9681712</v>
          </cell>
          <cell r="B4691">
            <v>342291</v>
          </cell>
          <cell r="C4691" t="str">
            <v>EDP SOFTWARE &amp; PROGRAM PRODUCT</v>
          </cell>
        </row>
        <row r="4692">
          <cell r="A4692">
            <v>9681727</v>
          </cell>
          <cell r="B4692">
            <v>342291</v>
          </cell>
          <cell r="C4692" t="str">
            <v>EDP SOFTWARE &amp; PROGRAM PRODUCT</v>
          </cell>
        </row>
        <row r="4693">
          <cell r="A4693">
            <v>9681749</v>
          </cell>
          <cell r="B4693">
            <v>342291</v>
          </cell>
          <cell r="C4693" t="str">
            <v>EDP SOFTWARE &amp; PROGRAM PRODUCT</v>
          </cell>
        </row>
        <row r="4694">
          <cell r="A4694">
            <v>9681999</v>
          </cell>
          <cell r="B4694">
            <v>342291</v>
          </cell>
          <cell r="C4694" t="str">
            <v>EDP SOFTWARE &amp; PROGRAM PRODUCT</v>
          </cell>
        </row>
        <row r="4695">
          <cell r="A4695">
            <v>9683999</v>
          </cell>
          <cell r="B4695">
            <v>342291</v>
          </cell>
          <cell r="C4695" t="str">
            <v>EDP SOFTWARE &amp; PROGRAM PRODUCT</v>
          </cell>
        </row>
        <row r="4696">
          <cell r="A4696">
            <v>9684999</v>
          </cell>
          <cell r="B4696">
            <v>342291</v>
          </cell>
          <cell r="C4696" t="str">
            <v>EDP SOFTWARE &amp; PROGRAM PRODUCT</v>
          </cell>
        </row>
        <row r="4697">
          <cell r="A4697">
            <v>9689883</v>
          </cell>
          <cell r="B4697">
            <v>342291</v>
          </cell>
          <cell r="C4697" t="str">
            <v>EDP SOFTWARE &amp; PROGRAM PRODUCT</v>
          </cell>
        </row>
        <row r="4698">
          <cell r="A4698">
            <v>9689890</v>
          </cell>
          <cell r="B4698">
            <v>342291</v>
          </cell>
          <cell r="C4698" t="str">
            <v>EDP SOFTWARE &amp; PROGRAM PRODUCT</v>
          </cell>
        </row>
        <row r="4699">
          <cell r="A4699">
            <v>9689906</v>
          </cell>
          <cell r="B4699">
            <v>342291</v>
          </cell>
          <cell r="C4699" t="str">
            <v>EDP SOFTWARE &amp; PROGRAM PRODUCT</v>
          </cell>
        </row>
        <row r="4700">
          <cell r="A4700">
            <v>9689990</v>
          </cell>
          <cell r="B4700">
            <v>342291</v>
          </cell>
          <cell r="C4700" t="str">
            <v>EDP SOFTWARE &amp; PROGRAM PRODUCT</v>
          </cell>
        </row>
        <row r="4701">
          <cell r="A4701">
            <v>9689991</v>
          </cell>
          <cell r="B4701">
            <v>342291</v>
          </cell>
          <cell r="C4701" t="str">
            <v>EDP SOFTWARE &amp; PROGRAM PRODUCT</v>
          </cell>
        </row>
        <row r="4702">
          <cell r="A4702">
            <v>9689992</v>
          </cell>
          <cell r="B4702">
            <v>342291</v>
          </cell>
          <cell r="C4702" t="str">
            <v>EDP SOFTWARE &amp; PROGRAM PRODUCT</v>
          </cell>
        </row>
        <row r="4703">
          <cell r="A4703">
            <v>9689993</v>
          </cell>
          <cell r="B4703">
            <v>342291</v>
          </cell>
          <cell r="C4703" t="str">
            <v>EDP SOFTWARE &amp; PROGRAM PRODUCT</v>
          </cell>
        </row>
        <row r="4704">
          <cell r="A4704">
            <v>9689994</v>
          </cell>
          <cell r="B4704">
            <v>342291</v>
          </cell>
          <cell r="C4704" t="str">
            <v>EDP SOFTWARE &amp; PROGRAM PRODUCT</v>
          </cell>
        </row>
        <row r="4705">
          <cell r="A4705">
            <v>8001054179</v>
          </cell>
          <cell r="B4705">
            <v>342435</v>
          </cell>
          <cell r="C4705" t="str">
            <v>LEGAL/ARBITRATION FEES-REBILLE</v>
          </cell>
        </row>
        <row r="4706">
          <cell r="A4706">
            <v>8001059542</v>
          </cell>
          <cell r="B4706">
            <v>342435</v>
          </cell>
          <cell r="C4706" t="str">
            <v>LEGAL/ARBITRATION FEES-REBILLE</v>
          </cell>
        </row>
        <row r="4707">
          <cell r="A4707">
            <v>8010512510</v>
          </cell>
          <cell r="B4707">
            <v>342435</v>
          </cell>
          <cell r="C4707" t="str">
            <v>LEGAL/ARBITRATION FEES-REBILLE</v>
          </cell>
        </row>
        <row r="4708">
          <cell r="A4708">
            <v>9969681</v>
          </cell>
          <cell r="B4708">
            <v>342435</v>
          </cell>
          <cell r="C4708" t="str">
            <v>LEGAL/ARBITRATION FEES-REBILLE</v>
          </cell>
        </row>
        <row r="4709">
          <cell r="A4709">
            <v>9969901</v>
          </cell>
          <cell r="B4709">
            <v>342435</v>
          </cell>
          <cell r="C4709" t="str">
            <v>LEGAL/ARBITRATION FEES-REBILLE</v>
          </cell>
        </row>
        <row r="4710">
          <cell r="A4710" t="str">
            <v>ZONE-0105-POST</v>
          </cell>
          <cell r="B4710">
            <v>342435</v>
          </cell>
          <cell r="C4710" t="str">
            <v>LEGAL/ARBITRATION FEES-REBILLE</v>
          </cell>
        </row>
        <row r="4711">
          <cell r="A4711" t="str">
            <v>ZONE-0112-POST</v>
          </cell>
          <cell r="B4711">
            <v>342435</v>
          </cell>
          <cell r="C4711" t="str">
            <v>LEGAL/ARBITRATION FEES-REBILLE</v>
          </cell>
        </row>
        <row r="4712">
          <cell r="A4712">
            <v>9080999</v>
          </cell>
          <cell r="B4712">
            <v>342437</v>
          </cell>
          <cell r="C4712" t="str">
            <v>LEGAL/ARBITRATION FEES-OUTSIDE</v>
          </cell>
        </row>
        <row r="4713">
          <cell r="A4713">
            <v>9090999</v>
          </cell>
          <cell r="B4713">
            <v>342437</v>
          </cell>
          <cell r="C4713" t="str">
            <v>LEGAL/ARBITRATION FEES-OUTSIDE</v>
          </cell>
        </row>
        <row r="4714">
          <cell r="A4714">
            <v>9110999</v>
          </cell>
          <cell r="B4714">
            <v>342437</v>
          </cell>
          <cell r="C4714" t="str">
            <v>LEGAL/ARBITRATION FEES-OUTSIDE</v>
          </cell>
        </row>
        <row r="4715">
          <cell r="A4715">
            <v>9689883</v>
          </cell>
          <cell r="B4715">
            <v>342437</v>
          </cell>
          <cell r="C4715" t="str">
            <v>LEGAL/ARBITRATION FEES-OUTSIDE</v>
          </cell>
        </row>
        <row r="4716">
          <cell r="A4716">
            <v>9689906</v>
          </cell>
          <cell r="B4716">
            <v>342437</v>
          </cell>
          <cell r="C4716" t="str">
            <v>LEGAL/ARBITRATION FEES-OUTSIDE</v>
          </cell>
        </row>
        <row r="4717">
          <cell r="A4717">
            <v>9689991</v>
          </cell>
          <cell r="B4717">
            <v>342437</v>
          </cell>
          <cell r="C4717" t="str">
            <v>LEGAL/ARBITRATION FEES-OUTSIDE</v>
          </cell>
        </row>
        <row r="4718">
          <cell r="A4718">
            <v>9689992</v>
          </cell>
          <cell r="B4718">
            <v>342437</v>
          </cell>
          <cell r="C4718" t="str">
            <v>LEGAL/ARBITRATION FEES-OUTSIDE</v>
          </cell>
        </row>
        <row r="4719">
          <cell r="A4719">
            <v>9689994</v>
          </cell>
          <cell r="B4719">
            <v>342437</v>
          </cell>
          <cell r="C4719" t="str">
            <v>LEGAL/ARBITRATION FEES-OUTSIDE</v>
          </cell>
        </row>
        <row r="4720">
          <cell r="A4720">
            <v>9722709</v>
          </cell>
          <cell r="B4720">
            <v>342437</v>
          </cell>
          <cell r="C4720" t="str">
            <v>LEGAL/ARBITRATION FEES-OUTSIDE</v>
          </cell>
        </row>
        <row r="4721">
          <cell r="A4721">
            <v>9722713</v>
          </cell>
          <cell r="B4721">
            <v>342437</v>
          </cell>
          <cell r="C4721" t="str">
            <v>LEGAL/ARBITRATION FEES-OUTSIDE</v>
          </cell>
        </row>
        <row r="4722">
          <cell r="A4722">
            <v>9080999</v>
          </cell>
          <cell r="B4722">
            <v>342438</v>
          </cell>
          <cell r="C4722" t="str">
            <v>LEGAL EXPENSE-OUTSIDE</v>
          </cell>
        </row>
        <row r="4723">
          <cell r="A4723">
            <v>9090999</v>
          </cell>
          <cell r="B4723">
            <v>342438</v>
          </cell>
          <cell r="C4723" t="str">
            <v>LEGAL EXPENSE-OUTSIDE</v>
          </cell>
        </row>
        <row r="4724">
          <cell r="A4724">
            <v>9100999</v>
          </cell>
          <cell r="B4724">
            <v>342438</v>
          </cell>
          <cell r="C4724" t="str">
            <v>LEGAL EXPENSE-OUTSIDE</v>
          </cell>
        </row>
        <row r="4725">
          <cell r="A4725">
            <v>9110999</v>
          </cell>
          <cell r="B4725">
            <v>342438</v>
          </cell>
          <cell r="C4725" t="str">
            <v>LEGAL EXPENSE-OUTSIDE</v>
          </cell>
        </row>
        <row r="4726">
          <cell r="A4726">
            <v>9689883</v>
          </cell>
          <cell r="B4726">
            <v>342438</v>
          </cell>
          <cell r="C4726" t="str">
            <v>LEGAL EXPENSE-OUTSIDE</v>
          </cell>
        </row>
        <row r="4727">
          <cell r="A4727">
            <v>9689991</v>
          </cell>
          <cell r="B4727">
            <v>342438</v>
          </cell>
          <cell r="C4727" t="str">
            <v>LEGAL EXPENSE-OUTSIDE</v>
          </cell>
        </row>
        <row r="4728">
          <cell r="A4728">
            <v>9080999</v>
          </cell>
          <cell r="B4728">
            <v>342603</v>
          </cell>
          <cell r="C4728" t="str">
            <v>SECURITY SERVICE</v>
          </cell>
        </row>
        <row r="4729">
          <cell r="A4729">
            <v>9110999</v>
          </cell>
          <cell r="B4729">
            <v>342603</v>
          </cell>
          <cell r="C4729" t="str">
            <v>SECURITY SERVICE</v>
          </cell>
        </row>
        <row r="4730">
          <cell r="A4730">
            <v>8001054179</v>
          </cell>
          <cell r="B4730">
            <v>342611</v>
          </cell>
          <cell r="C4730" t="str">
            <v>MESSENGER SERVICE</v>
          </cell>
        </row>
        <row r="4731">
          <cell r="A4731">
            <v>8001059542</v>
          </cell>
          <cell r="B4731">
            <v>342611</v>
          </cell>
          <cell r="C4731" t="str">
            <v>MESSENGER SERVICE</v>
          </cell>
        </row>
        <row r="4732">
          <cell r="A4732">
            <v>8010512510</v>
          </cell>
          <cell r="B4732">
            <v>342611</v>
          </cell>
          <cell r="C4732" t="str">
            <v>MESSENGER SERVICE</v>
          </cell>
        </row>
        <row r="4733">
          <cell r="A4733">
            <v>9969681</v>
          </cell>
          <cell r="B4733">
            <v>342611</v>
          </cell>
          <cell r="C4733" t="str">
            <v>MESSENGER SERVICE</v>
          </cell>
        </row>
        <row r="4734">
          <cell r="A4734">
            <v>9969901</v>
          </cell>
          <cell r="B4734">
            <v>342611</v>
          </cell>
          <cell r="C4734" t="str">
            <v>MESSENGER SERVICE</v>
          </cell>
        </row>
        <row r="4735">
          <cell r="A4735" t="str">
            <v>ZONE-0105-POST</v>
          </cell>
          <cell r="B4735">
            <v>342611</v>
          </cell>
          <cell r="C4735" t="str">
            <v>MESSENGER SERVICE</v>
          </cell>
        </row>
        <row r="4736">
          <cell r="A4736" t="str">
            <v>ZONE-0112-POST</v>
          </cell>
          <cell r="B4736">
            <v>342611</v>
          </cell>
          <cell r="C4736" t="str">
            <v>MESSENGER SERVICE</v>
          </cell>
        </row>
        <row r="4737">
          <cell r="A4737">
            <v>9080700</v>
          </cell>
          <cell r="B4737">
            <v>342623</v>
          </cell>
          <cell r="C4737" t="str">
            <v>CLERICAL</v>
          </cell>
        </row>
        <row r="4738">
          <cell r="A4738">
            <v>9080701</v>
          </cell>
          <cell r="B4738">
            <v>342623</v>
          </cell>
          <cell r="C4738" t="str">
            <v>CLERICAL</v>
          </cell>
        </row>
        <row r="4739">
          <cell r="A4739">
            <v>9080702</v>
          </cell>
          <cell r="B4739">
            <v>342623</v>
          </cell>
          <cell r="C4739" t="str">
            <v>CLERICAL</v>
          </cell>
        </row>
        <row r="4740">
          <cell r="A4740">
            <v>9080705</v>
          </cell>
          <cell r="B4740">
            <v>342623</v>
          </cell>
          <cell r="C4740" t="str">
            <v>CLERICAL</v>
          </cell>
        </row>
        <row r="4741">
          <cell r="A4741">
            <v>9080707</v>
          </cell>
          <cell r="B4741">
            <v>342623</v>
          </cell>
          <cell r="C4741" t="str">
            <v>CLERICAL</v>
          </cell>
        </row>
        <row r="4742">
          <cell r="A4742">
            <v>9080710</v>
          </cell>
          <cell r="B4742">
            <v>342623</v>
          </cell>
          <cell r="C4742" t="str">
            <v>CLERICAL</v>
          </cell>
        </row>
        <row r="4743">
          <cell r="A4743">
            <v>9090710</v>
          </cell>
          <cell r="B4743">
            <v>342623</v>
          </cell>
          <cell r="C4743" t="str">
            <v>CLERICAL</v>
          </cell>
        </row>
        <row r="4744">
          <cell r="A4744">
            <v>9090999</v>
          </cell>
          <cell r="B4744">
            <v>342623</v>
          </cell>
          <cell r="C4744" t="str">
            <v>CLERICAL</v>
          </cell>
        </row>
        <row r="4745">
          <cell r="A4745">
            <v>9100710</v>
          </cell>
          <cell r="B4745">
            <v>342623</v>
          </cell>
          <cell r="C4745" t="str">
            <v>CLERICAL</v>
          </cell>
        </row>
        <row r="4746">
          <cell r="A4746">
            <v>9100999</v>
          </cell>
          <cell r="B4746">
            <v>342623</v>
          </cell>
          <cell r="C4746" t="str">
            <v>CLERICAL</v>
          </cell>
        </row>
        <row r="4747">
          <cell r="A4747">
            <v>9110700</v>
          </cell>
          <cell r="B4747">
            <v>342623</v>
          </cell>
          <cell r="C4747" t="str">
            <v>CLERICAL</v>
          </cell>
        </row>
        <row r="4748">
          <cell r="A4748">
            <v>9110702</v>
          </cell>
          <cell r="B4748">
            <v>342623</v>
          </cell>
          <cell r="C4748" t="str">
            <v>CLERICAL</v>
          </cell>
        </row>
        <row r="4749">
          <cell r="A4749">
            <v>9110705</v>
          </cell>
          <cell r="B4749">
            <v>342623</v>
          </cell>
          <cell r="C4749" t="str">
            <v>CLERICAL</v>
          </cell>
        </row>
        <row r="4750">
          <cell r="A4750">
            <v>9110707</v>
          </cell>
          <cell r="B4750">
            <v>342623</v>
          </cell>
          <cell r="C4750" t="str">
            <v>CLERICAL</v>
          </cell>
        </row>
        <row r="4751">
          <cell r="A4751">
            <v>9681700</v>
          </cell>
          <cell r="B4751">
            <v>342623</v>
          </cell>
          <cell r="C4751" t="str">
            <v>CLERICAL</v>
          </cell>
        </row>
        <row r="4752">
          <cell r="A4752">
            <v>9681701</v>
          </cell>
          <cell r="B4752">
            <v>342623</v>
          </cell>
          <cell r="C4752" t="str">
            <v>CLERICAL</v>
          </cell>
        </row>
        <row r="4753">
          <cell r="A4753">
            <v>9681702</v>
          </cell>
          <cell r="B4753">
            <v>342623</v>
          </cell>
          <cell r="C4753" t="str">
            <v>CLERICAL</v>
          </cell>
        </row>
        <row r="4754">
          <cell r="A4754">
            <v>9681705</v>
          </cell>
          <cell r="B4754">
            <v>342623</v>
          </cell>
          <cell r="C4754" t="str">
            <v>CLERICAL</v>
          </cell>
        </row>
        <row r="4755">
          <cell r="A4755">
            <v>9681706</v>
          </cell>
          <cell r="B4755">
            <v>342623</v>
          </cell>
          <cell r="C4755" t="str">
            <v>CLERICAL</v>
          </cell>
        </row>
        <row r="4756">
          <cell r="A4756">
            <v>9681707</v>
          </cell>
          <cell r="B4756">
            <v>342623</v>
          </cell>
          <cell r="C4756" t="str">
            <v>CLERICAL</v>
          </cell>
        </row>
        <row r="4757">
          <cell r="A4757">
            <v>9681712</v>
          </cell>
          <cell r="B4757">
            <v>342623</v>
          </cell>
          <cell r="C4757" t="str">
            <v>CLERICAL</v>
          </cell>
        </row>
        <row r="4758">
          <cell r="A4758">
            <v>9681727</v>
          </cell>
          <cell r="B4758">
            <v>342623</v>
          </cell>
          <cell r="C4758" t="str">
            <v>CLERICAL</v>
          </cell>
        </row>
        <row r="4759">
          <cell r="A4759">
            <v>9681749</v>
          </cell>
          <cell r="B4759">
            <v>342623</v>
          </cell>
          <cell r="C4759" t="str">
            <v>CLERICAL</v>
          </cell>
        </row>
        <row r="4760">
          <cell r="A4760">
            <v>9681999</v>
          </cell>
          <cell r="B4760">
            <v>342623</v>
          </cell>
          <cell r="C4760" t="str">
            <v>CLERICAL</v>
          </cell>
        </row>
        <row r="4761">
          <cell r="A4761">
            <v>9682715</v>
          </cell>
          <cell r="B4761">
            <v>342623</v>
          </cell>
          <cell r="C4761" t="str">
            <v>CLERICAL</v>
          </cell>
        </row>
        <row r="4762">
          <cell r="A4762">
            <v>9682722</v>
          </cell>
          <cell r="B4762">
            <v>342623</v>
          </cell>
          <cell r="C4762" t="str">
            <v>CLERICAL</v>
          </cell>
        </row>
        <row r="4763">
          <cell r="A4763">
            <v>9682999</v>
          </cell>
          <cell r="B4763">
            <v>342623</v>
          </cell>
          <cell r="C4763" t="str">
            <v>CLERICAL</v>
          </cell>
        </row>
        <row r="4764">
          <cell r="A4764">
            <v>9683999</v>
          </cell>
          <cell r="B4764">
            <v>342623</v>
          </cell>
          <cell r="C4764" t="str">
            <v>CLERICAL</v>
          </cell>
        </row>
        <row r="4765">
          <cell r="A4765">
            <v>9684999</v>
          </cell>
          <cell r="B4765">
            <v>342623</v>
          </cell>
          <cell r="C4765" t="str">
            <v>CLERICAL</v>
          </cell>
        </row>
        <row r="4766">
          <cell r="A4766">
            <v>9689692</v>
          </cell>
          <cell r="B4766">
            <v>342623</v>
          </cell>
          <cell r="C4766" t="str">
            <v>CLERICAL</v>
          </cell>
        </row>
        <row r="4767">
          <cell r="A4767">
            <v>9689747</v>
          </cell>
          <cell r="B4767">
            <v>342623</v>
          </cell>
          <cell r="C4767" t="str">
            <v>CLERICAL</v>
          </cell>
        </row>
        <row r="4768">
          <cell r="A4768">
            <v>9689883</v>
          </cell>
          <cell r="B4768">
            <v>342623</v>
          </cell>
          <cell r="C4768" t="str">
            <v>CLERICAL</v>
          </cell>
        </row>
        <row r="4769">
          <cell r="A4769">
            <v>9689890</v>
          </cell>
          <cell r="B4769">
            <v>342623</v>
          </cell>
          <cell r="C4769" t="str">
            <v>CLERICAL</v>
          </cell>
        </row>
        <row r="4770">
          <cell r="A4770">
            <v>9689906</v>
          </cell>
          <cell r="B4770">
            <v>342623</v>
          </cell>
          <cell r="C4770" t="str">
            <v>CLERICAL</v>
          </cell>
        </row>
        <row r="4771">
          <cell r="A4771">
            <v>9689925</v>
          </cell>
          <cell r="B4771">
            <v>342623</v>
          </cell>
          <cell r="C4771" t="str">
            <v>CLERICAL</v>
          </cell>
        </row>
        <row r="4772">
          <cell r="A4772">
            <v>9689990</v>
          </cell>
          <cell r="B4772">
            <v>342623</v>
          </cell>
          <cell r="C4772" t="str">
            <v>CLERICAL</v>
          </cell>
        </row>
        <row r="4773">
          <cell r="A4773">
            <v>9689991</v>
          </cell>
          <cell r="B4773">
            <v>342623</v>
          </cell>
          <cell r="C4773" t="str">
            <v>CLERICAL</v>
          </cell>
        </row>
        <row r="4774">
          <cell r="A4774">
            <v>9689992</v>
          </cell>
          <cell r="B4774">
            <v>342623</v>
          </cell>
          <cell r="C4774" t="str">
            <v>CLERICAL</v>
          </cell>
        </row>
        <row r="4775">
          <cell r="A4775">
            <v>8001054179</v>
          </cell>
          <cell r="B4775">
            <v>342627</v>
          </cell>
          <cell r="C4775" t="str">
            <v>BANK SERVICE &amp; COLLECTION</v>
          </cell>
        </row>
        <row r="4776">
          <cell r="A4776">
            <v>8001059542</v>
          </cell>
          <cell r="B4776">
            <v>342627</v>
          </cell>
          <cell r="C4776" t="str">
            <v>BANK SERVICE &amp; COLLECTION</v>
          </cell>
        </row>
        <row r="4777">
          <cell r="A4777">
            <v>8010512510</v>
          </cell>
          <cell r="B4777">
            <v>342627</v>
          </cell>
          <cell r="C4777" t="str">
            <v>BANK SERVICE &amp; COLLECTION</v>
          </cell>
        </row>
        <row r="4778">
          <cell r="A4778">
            <v>9090999</v>
          </cell>
          <cell r="B4778">
            <v>342627</v>
          </cell>
          <cell r="C4778" t="str">
            <v>BANK SERVICE &amp; COLLECTION</v>
          </cell>
        </row>
        <row r="4779">
          <cell r="A4779">
            <v>9100999</v>
          </cell>
          <cell r="B4779">
            <v>342627</v>
          </cell>
          <cell r="C4779" t="str">
            <v>BANK SERVICE &amp; COLLECTION</v>
          </cell>
        </row>
        <row r="4780">
          <cell r="A4780">
            <v>9689883</v>
          </cell>
          <cell r="B4780">
            <v>342627</v>
          </cell>
          <cell r="C4780" t="str">
            <v>BANK SERVICE &amp; COLLECTION</v>
          </cell>
        </row>
        <row r="4781">
          <cell r="A4781">
            <v>9689906</v>
          </cell>
          <cell r="B4781">
            <v>342627</v>
          </cell>
          <cell r="C4781" t="str">
            <v>BANK SERVICE &amp; COLLECTION</v>
          </cell>
        </row>
        <row r="4782">
          <cell r="A4782">
            <v>9689992</v>
          </cell>
          <cell r="B4782">
            <v>342627</v>
          </cell>
          <cell r="C4782" t="str">
            <v>BANK SERVICE &amp; COLLECTION</v>
          </cell>
        </row>
        <row r="4783">
          <cell r="A4783">
            <v>9689994</v>
          </cell>
          <cell r="B4783">
            <v>342627</v>
          </cell>
          <cell r="C4783" t="str">
            <v>BANK SERVICE &amp; COLLECTION</v>
          </cell>
        </row>
        <row r="4784">
          <cell r="A4784">
            <v>9720703</v>
          </cell>
          <cell r="B4784">
            <v>342627</v>
          </cell>
          <cell r="C4784" t="str">
            <v>BANK SERVICE &amp; COLLECTION</v>
          </cell>
        </row>
        <row r="4785">
          <cell r="A4785">
            <v>9722709</v>
          </cell>
          <cell r="B4785">
            <v>342627</v>
          </cell>
          <cell r="C4785" t="str">
            <v>BANK SERVICE &amp; COLLECTION</v>
          </cell>
        </row>
        <row r="4786">
          <cell r="A4786">
            <v>9722713</v>
          </cell>
          <cell r="B4786">
            <v>342627</v>
          </cell>
          <cell r="C4786" t="str">
            <v>BANK SERVICE &amp; COLLECTION</v>
          </cell>
        </row>
        <row r="4787">
          <cell r="A4787">
            <v>9724718</v>
          </cell>
          <cell r="B4787">
            <v>342627</v>
          </cell>
          <cell r="C4787" t="str">
            <v>BANK SERVICE &amp; COLLECTION</v>
          </cell>
        </row>
        <row r="4788">
          <cell r="A4788">
            <v>9724721</v>
          </cell>
          <cell r="B4788">
            <v>342627</v>
          </cell>
          <cell r="C4788" t="str">
            <v>BANK SERVICE &amp; COLLECTION</v>
          </cell>
        </row>
        <row r="4789">
          <cell r="A4789">
            <v>9724724</v>
          </cell>
          <cell r="B4789">
            <v>342627</v>
          </cell>
          <cell r="C4789" t="str">
            <v>BANK SERVICE &amp; COLLECTION</v>
          </cell>
        </row>
        <row r="4790">
          <cell r="A4790">
            <v>9725703</v>
          </cell>
          <cell r="B4790">
            <v>342627</v>
          </cell>
          <cell r="C4790" t="str">
            <v>BANK SERVICE &amp; COLLECTION</v>
          </cell>
        </row>
        <row r="4791">
          <cell r="A4791">
            <v>9725704</v>
          </cell>
          <cell r="B4791">
            <v>342627</v>
          </cell>
          <cell r="C4791" t="str">
            <v>BANK SERVICE &amp; COLLECTION</v>
          </cell>
        </row>
        <row r="4792">
          <cell r="A4792">
            <v>9725711</v>
          </cell>
          <cell r="B4792">
            <v>342627</v>
          </cell>
          <cell r="C4792" t="str">
            <v>BANK SERVICE &amp; COLLECTION</v>
          </cell>
        </row>
        <row r="4793">
          <cell r="A4793">
            <v>9725717</v>
          </cell>
          <cell r="B4793">
            <v>342627</v>
          </cell>
          <cell r="C4793" t="str">
            <v>BANK SERVICE &amp; COLLECTION</v>
          </cell>
        </row>
        <row r="4794">
          <cell r="A4794">
            <v>9725725</v>
          </cell>
          <cell r="B4794">
            <v>342627</v>
          </cell>
          <cell r="C4794" t="str">
            <v>BANK SERVICE &amp; COLLECTION</v>
          </cell>
        </row>
        <row r="4795">
          <cell r="A4795">
            <v>9969681</v>
          </cell>
          <cell r="B4795">
            <v>342627</v>
          </cell>
          <cell r="C4795" t="str">
            <v>BANK SERVICE &amp; COLLECTION</v>
          </cell>
        </row>
        <row r="4796">
          <cell r="A4796">
            <v>9969901</v>
          </cell>
          <cell r="B4796">
            <v>342627</v>
          </cell>
          <cell r="C4796" t="str">
            <v>BANK SERVICE &amp; COLLECTION</v>
          </cell>
        </row>
        <row r="4797">
          <cell r="A4797" t="str">
            <v>ZONE-0105-POST</v>
          </cell>
          <cell r="B4797">
            <v>342627</v>
          </cell>
          <cell r="C4797" t="str">
            <v>BANK SERVICE &amp; COLLECTION</v>
          </cell>
        </row>
        <row r="4798">
          <cell r="A4798" t="str">
            <v>ZONE-0112-POST</v>
          </cell>
          <cell r="B4798">
            <v>342627</v>
          </cell>
          <cell r="C4798" t="str">
            <v>BANK SERVICE &amp; COLLECTION</v>
          </cell>
        </row>
        <row r="4799">
          <cell r="A4799">
            <v>9080999</v>
          </cell>
          <cell r="B4799">
            <v>342628</v>
          </cell>
          <cell r="C4799" t="str">
            <v>APPRAISALS AND SURVEYS</v>
          </cell>
        </row>
        <row r="4800">
          <cell r="A4800">
            <v>9110999</v>
          </cell>
          <cell r="B4800">
            <v>342628</v>
          </cell>
          <cell r="C4800" t="str">
            <v>APPRAISALS AND SURVEYS</v>
          </cell>
        </row>
        <row r="4801">
          <cell r="A4801">
            <v>9689994</v>
          </cell>
          <cell r="B4801">
            <v>342628</v>
          </cell>
          <cell r="C4801" t="str">
            <v>APPRAISALS AND SURVEYS</v>
          </cell>
        </row>
        <row r="4802">
          <cell r="A4802">
            <v>9090999</v>
          </cell>
          <cell r="B4802">
            <v>342630</v>
          </cell>
          <cell r="C4802" t="str">
            <v>RETURNED CHECK FEE</v>
          </cell>
        </row>
        <row r="4803">
          <cell r="A4803">
            <v>8001054179</v>
          </cell>
          <cell r="B4803">
            <v>342631</v>
          </cell>
          <cell r="C4803" t="str">
            <v>ADVISORY AND CONSULTANTS</v>
          </cell>
        </row>
        <row r="4804">
          <cell r="A4804">
            <v>8001059542</v>
          </cell>
          <cell r="B4804">
            <v>342631</v>
          </cell>
          <cell r="C4804" t="str">
            <v>ADVISORY AND CONSULTANTS</v>
          </cell>
        </row>
        <row r="4805">
          <cell r="A4805">
            <v>8010512510</v>
          </cell>
          <cell r="B4805">
            <v>342631</v>
          </cell>
          <cell r="C4805" t="str">
            <v>ADVISORY AND CONSULTANTS</v>
          </cell>
        </row>
        <row r="4806">
          <cell r="A4806">
            <v>9080700</v>
          </cell>
          <cell r="B4806">
            <v>342631</v>
          </cell>
          <cell r="C4806" t="str">
            <v>ADVISORY AND CONSULTANTS</v>
          </cell>
        </row>
        <row r="4807">
          <cell r="A4807">
            <v>9080701</v>
          </cell>
          <cell r="B4807">
            <v>342631</v>
          </cell>
          <cell r="C4807" t="str">
            <v>ADVISORY AND CONSULTANTS</v>
          </cell>
        </row>
        <row r="4808">
          <cell r="A4808">
            <v>9080702</v>
          </cell>
          <cell r="B4808">
            <v>342631</v>
          </cell>
          <cell r="C4808" t="str">
            <v>ADVISORY AND CONSULTANTS</v>
          </cell>
        </row>
        <row r="4809">
          <cell r="A4809">
            <v>9080705</v>
          </cell>
          <cell r="B4809">
            <v>342631</v>
          </cell>
          <cell r="C4809" t="str">
            <v>ADVISORY AND CONSULTANTS</v>
          </cell>
        </row>
        <row r="4810">
          <cell r="A4810">
            <v>9080707</v>
          </cell>
          <cell r="B4810">
            <v>342631</v>
          </cell>
          <cell r="C4810" t="str">
            <v>ADVISORY AND CONSULTANTS</v>
          </cell>
        </row>
        <row r="4811">
          <cell r="A4811">
            <v>9080710</v>
          </cell>
          <cell r="B4811">
            <v>342631</v>
          </cell>
          <cell r="C4811" t="str">
            <v>ADVISORY AND CONSULTANTS</v>
          </cell>
        </row>
        <row r="4812">
          <cell r="A4812">
            <v>9080999</v>
          </cell>
          <cell r="B4812">
            <v>342631</v>
          </cell>
          <cell r="C4812" t="str">
            <v>ADVISORY AND CONSULTANTS</v>
          </cell>
        </row>
        <row r="4813">
          <cell r="A4813">
            <v>9090999</v>
          </cell>
          <cell r="B4813">
            <v>342631</v>
          </cell>
          <cell r="C4813" t="str">
            <v>ADVISORY AND CONSULTANTS</v>
          </cell>
        </row>
        <row r="4814">
          <cell r="A4814">
            <v>9100999</v>
          </cell>
          <cell r="B4814">
            <v>342631</v>
          </cell>
          <cell r="C4814" t="str">
            <v>ADVISORY AND CONSULTANTS</v>
          </cell>
        </row>
        <row r="4815">
          <cell r="A4815">
            <v>9110700</v>
          </cell>
          <cell r="B4815">
            <v>342631</v>
          </cell>
          <cell r="C4815" t="str">
            <v>ADVISORY AND CONSULTANTS</v>
          </cell>
        </row>
        <row r="4816">
          <cell r="A4816">
            <v>9110702</v>
          </cell>
          <cell r="B4816">
            <v>342631</v>
          </cell>
          <cell r="C4816" t="str">
            <v>ADVISORY AND CONSULTANTS</v>
          </cell>
        </row>
        <row r="4817">
          <cell r="A4817">
            <v>9110705</v>
          </cell>
          <cell r="B4817">
            <v>342631</v>
          </cell>
          <cell r="C4817" t="str">
            <v>ADVISORY AND CONSULTANTS</v>
          </cell>
        </row>
        <row r="4818">
          <cell r="A4818">
            <v>9110707</v>
          </cell>
          <cell r="B4818">
            <v>342631</v>
          </cell>
          <cell r="C4818" t="str">
            <v>ADVISORY AND CONSULTANTS</v>
          </cell>
        </row>
        <row r="4819">
          <cell r="A4819">
            <v>9110999</v>
          </cell>
          <cell r="B4819">
            <v>342631</v>
          </cell>
          <cell r="C4819" t="str">
            <v>ADVISORY AND CONSULTANTS</v>
          </cell>
        </row>
        <row r="4820">
          <cell r="A4820">
            <v>9680700</v>
          </cell>
          <cell r="B4820">
            <v>342631</v>
          </cell>
          <cell r="C4820" t="str">
            <v>ADVISORY AND CONSULTANTS</v>
          </cell>
        </row>
        <row r="4821">
          <cell r="A4821">
            <v>9680701</v>
          </cell>
          <cell r="B4821">
            <v>342631</v>
          </cell>
          <cell r="C4821" t="str">
            <v>ADVISORY AND CONSULTANTS</v>
          </cell>
        </row>
        <row r="4822">
          <cell r="A4822">
            <v>9680702</v>
          </cell>
          <cell r="B4822">
            <v>342631</v>
          </cell>
          <cell r="C4822" t="str">
            <v>ADVISORY AND CONSULTANTS</v>
          </cell>
        </row>
        <row r="4823">
          <cell r="A4823">
            <v>9680705</v>
          </cell>
          <cell r="B4823">
            <v>342631</v>
          </cell>
          <cell r="C4823" t="str">
            <v>ADVISORY AND CONSULTANTS</v>
          </cell>
        </row>
        <row r="4824">
          <cell r="A4824">
            <v>9680707</v>
          </cell>
          <cell r="B4824">
            <v>342631</v>
          </cell>
          <cell r="C4824" t="str">
            <v>ADVISORY AND CONSULTANTS</v>
          </cell>
        </row>
        <row r="4825">
          <cell r="A4825">
            <v>9680710</v>
          </cell>
          <cell r="B4825">
            <v>342631</v>
          </cell>
          <cell r="C4825" t="str">
            <v>ADVISORY AND CONSULTANTS</v>
          </cell>
        </row>
        <row r="4826">
          <cell r="A4826">
            <v>9680712</v>
          </cell>
          <cell r="B4826">
            <v>342631</v>
          </cell>
          <cell r="C4826" t="str">
            <v>ADVISORY AND CONSULTANTS</v>
          </cell>
        </row>
        <row r="4827">
          <cell r="A4827">
            <v>9680714</v>
          </cell>
          <cell r="B4827">
            <v>342631</v>
          </cell>
          <cell r="C4827" t="str">
            <v>ADVISORY AND CONSULTANTS</v>
          </cell>
        </row>
        <row r="4828">
          <cell r="A4828">
            <v>9680734</v>
          </cell>
          <cell r="B4828">
            <v>342631</v>
          </cell>
          <cell r="C4828" t="str">
            <v>ADVISORY AND CONSULTANTS</v>
          </cell>
        </row>
        <row r="4829">
          <cell r="A4829">
            <v>9680748</v>
          </cell>
          <cell r="B4829">
            <v>342631</v>
          </cell>
          <cell r="C4829" t="str">
            <v>ADVISORY AND CONSULTANTS</v>
          </cell>
        </row>
        <row r="4830">
          <cell r="A4830">
            <v>9680749</v>
          </cell>
          <cell r="B4830">
            <v>342631</v>
          </cell>
          <cell r="C4830" t="str">
            <v>ADVISORY AND CONSULTANTS</v>
          </cell>
        </row>
        <row r="4831">
          <cell r="A4831">
            <v>9680894</v>
          </cell>
          <cell r="B4831">
            <v>342631</v>
          </cell>
          <cell r="C4831" t="str">
            <v>ADVISORY AND CONSULTANTS</v>
          </cell>
        </row>
        <row r="4832">
          <cell r="A4832">
            <v>9680999</v>
          </cell>
          <cell r="B4832">
            <v>342631</v>
          </cell>
          <cell r="C4832" t="str">
            <v>ADVISORY AND CONSULTANTS</v>
          </cell>
        </row>
        <row r="4833">
          <cell r="A4833">
            <v>9681700</v>
          </cell>
          <cell r="B4833">
            <v>342631</v>
          </cell>
          <cell r="C4833" t="str">
            <v>ADVISORY AND CONSULTANTS</v>
          </cell>
        </row>
        <row r="4834">
          <cell r="A4834">
            <v>9681701</v>
          </cell>
          <cell r="B4834">
            <v>342631</v>
          </cell>
          <cell r="C4834" t="str">
            <v>ADVISORY AND CONSULTANTS</v>
          </cell>
        </row>
        <row r="4835">
          <cell r="A4835">
            <v>9681702</v>
          </cell>
          <cell r="B4835">
            <v>342631</v>
          </cell>
          <cell r="C4835" t="str">
            <v>ADVISORY AND CONSULTANTS</v>
          </cell>
        </row>
        <row r="4836">
          <cell r="A4836">
            <v>9681705</v>
          </cell>
          <cell r="B4836">
            <v>342631</v>
          </cell>
          <cell r="C4836" t="str">
            <v>ADVISORY AND CONSULTANTS</v>
          </cell>
        </row>
        <row r="4837">
          <cell r="A4837">
            <v>9681706</v>
          </cell>
          <cell r="B4837">
            <v>342631</v>
          </cell>
          <cell r="C4837" t="str">
            <v>ADVISORY AND CONSULTANTS</v>
          </cell>
        </row>
        <row r="4838">
          <cell r="A4838">
            <v>9681707</v>
          </cell>
          <cell r="B4838">
            <v>342631</v>
          </cell>
          <cell r="C4838" t="str">
            <v>ADVISORY AND CONSULTANTS</v>
          </cell>
        </row>
        <row r="4839">
          <cell r="A4839">
            <v>9681710</v>
          </cell>
          <cell r="B4839">
            <v>342631</v>
          </cell>
          <cell r="C4839" t="str">
            <v>ADVISORY AND CONSULTANTS</v>
          </cell>
        </row>
        <row r="4840">
          <cell r="A4840">
            <v>9681712</v>
          </cell>
          <cell r="B4840">
            <v>342631</v>
          </cell>
          <cell r="C4840" t="str">
            <v>ADVISORY AND CONSULTANTS</v>
          </cell>
        </row>
        <row r="4841">
          <cell r="A4841">
            <v>9681727</v>
          </cell>
          <cell r="B4841">
            <v>342631</v>
          </cell>
          <cell r="C4841" t="str">
            <v>ADVISORY AND CONSULTANTS</v>
          </cell>
        </row>
        <row r="4842">
          <cell r="A4842">
            <v>9681734</v>
          </cell>
          <cell r="B4842">
            <v>342631</v>
          </cell>
          <cell r="C4842" t="str">
            <v>ADVISORY AND CONSULTANTS</v>
          </cell>
        </row>
        <row r="4843">
          <cell r="A4843">
            <v>9681748</v>
          </cell>
          <cell r="B4843">
            <v>342631</v>
          </cell>
          <cell r="C4843" t="str">
            <v>ADVISORY AND CONSULTANTS</v>
          </cell>
        </row>
        <row r="4844">
          <cell r="A4844">
            <v>9681749</v>
          </cell>
          <cell r="B4844">
            <v>342631</v>
          </cell>
          <cell r="C4844" t="str">
            <v>ADVISORY AND CONSULTANTS</v>
          </cell>
        </row>
        <row r="4845">
          <cell r="A4845">
            <v>9681894</v>
          </cell>
          <cell r="B4845">
            <v>342631</v>
          </cell>
          <cell r="C4845" t="str">
            <v>ADVISORY AND CONSULTANTS</v>
          </cell>
        </row>
        <row r="4846">
          <cell r="A4846">
            <v>9681999</v>
          </cell>
          <cell r="B4846">
            <v>342631</v>
          </cell>
          <cell r="C4846" t="str">
            <v>ADVISORY AND CONSULTANTS</v>
          </cell>
        </row>
        <row r="4847">
          <cell r="A4847">
            <v>9682715</v>
          </cell>
          <cell r="B4847">
            <v>342631</v>
          </cell>
          <cell r="C4847" t="str">
            <v>ADVISORY AND CONSULTANTS</v>
          </cell>
        </row>
        <row r="4848">
          <cell r="A4848">
            <v>9682722</v>
          </cell>
          <cell r="B4848">
            <v>342631</v>
          </cell>
          <cell r="C4848" t="str">
            <v>ADVISORY AND CONSULTANTS</v>
          </cell>
        </row>
        <row r="4849">
          <cell r="A4849">
            <v>9682999</v>
          </cell>
          <cell r="B4849">
            <v>342631</v>
          </cell>
          <cell r="C4849" t="str">
            <v>ADVISORY AND CONSULTANTS</v>
          </cell>
        </row>
        <row r="4850">
          <cell r="A4850">
            <v>9683999</v>
          </cell>
          <cell r="B4850">
            <v>342631</v>
          </cell>
          <cell r="C4850" t="str">
            <v>ADVISORY AND CONSULTANTS</v>
          </cell>
        </row>
        <row r="4851">
          <cell r="A4851">
            <v>9684999</v>
          </cell>
          <cell r="B4851">
            <v>342631</v>
          </cell>
          <cell r="C4851" t="str">
            <v>ADVISORY AND CONSULTANTS</v>
          </cell>
        </row>
        <row r="4852">
          <cell r="A4852">
            <v>9689692</v>
          </cell>
          <cell r="B4852">
            <v>342631</v>
          </cell>
          <cell r="C4852" t="str">
            <v>ADVISORY AND CONSULTANTS</v>
          </cell>
        </row>
        <row r="4853">
          <cell r="A4853">
            <v>9689747</v>
          </cell>
          <cell r="B4853">
            <v>342631</v>
          </cell>
          <cell r="C4853" t="str">
            <v>ADVISORY AND CONSULTANTS</v>
          </cell>
        </row>
        <row r="4854">
          <cell r="A4854">
            <v>9689883</v>
          </cell>
          <cell r="B4854">
            <v>342631</v>
          </cell>
          <cell r="C4854" t="str">
            <v>ADVISORY AND CONSULTANTS</v>
          </cell>
        </row>
        <row r="4855">
          <cell r="A4855">
            <v>9689890</v>
          </cell>
          <cell r="B4855">
            <v>342631</v>
          </cell>
          <cell r="C4855" t="str">
            <v>ADVISORY AND CONSULTANTS</v>
          </cell>
        </row>
        <row r="4856">
          <cell r="A4856">
            <v>9689906</v>
          </cell>
          <cell r="B4856">
            <v>342631</v>
          </cell>
          <cell r="C4856" t="str">
            <v>ADVISORY AND CONSULTANTS</v>
          </cell>
        </row>
        <row r="4857">
          <cell r="A4857">
            <v>9689925</v>
          </cell>
          <cell r="B4857">
            <v>342631</v>
          </cell>
          <cell r="C4857" t="str">
            <v>ADVISORY AND CONSULTANTS</v>
          </cell>
        </row>
        <row r="4858">
          <cell r="A4858">
            <v>9689990</v>
          </cell>
          <cell r="B4858">
            <v>342631</v>
          </cell>
          <cell r="C4858" t="str">
            <v>ADVISORY AND CONSULTANTS</v>
          </cell>
        </row>
        <row r="4859">
          <cell r="A4859">
            <v>9689991</v>
          </cell>
          <cell r="B4859">
            <v>342631</v>
          </cell>
          <cell r="C4859" t="str">
            <v>ADVISORY AND CONSULTANTS</v>
          </cell>
        </row>
        <row r="4860">
          <cell r="A4860">
            <v>9689992</v>
          </cell>
          <cell r="B4860">
            <v>342631</v>
          </cell>
          <cell r="C4860" t="str">
            <v>ADVISORY AND CONSULTANTS</v>
          </cell>
        </row>
        <row r="4861">
          <cell r="A4861">
            <v>9689993</v>
          </cell>
          <cell r="B4861">
            <v>342631</v>
          </cell>
          <cell r="C4861" t="str">
            <v>ADVISORY AND CONSULTANTS</v>
          </cell>
        </row>
        <row r="4862">
          <cell r="A4862">
            <v>9689994</v>
          </cell>
          <cell r="B4862">
            <v>342631</v>
          </cell>
          <cell r="C4862" t="str">
            <v>ADVISORY AND CONSULTANTS</v>
          </cell>
        </row>
        <row r="4863">
          <cell r="A4863">
            <v>9720703</v>
          </cell>
          <cell r="B4863">
            <v>342631</v>
          </cell>
          <cell r="C4863" t="str">
            <v>ADVISORY AND CONSULTANTS</v>
          </cell>
        </row>
        <row r="4864">
          <cell r="A4864">
            <v>9724718</v>
          </cell>
          <cell r="B4864">
            <v>342631</v>
          </cell>
          <cell r="C4864" t="str">
            <v>ADVISORY AND CONSULTANTS</v>
          </cell>
        </row>
        <row r="4865">
          <cell r="A4865">
            <v>9724721</v>
          </cell>
          <cell r="B4865">
            <v>342631</v>
          </cell>
          <cell r="C4865" t="str">
            <v>ADVISORY AND CONSULTANTS</v>
          </cell>
        </row>
        <row r="4866">
          <cell r="A4866">
            <v>9724724</v>
          </cell>
          <cell r="B4866">
            <v>342631</v>
          </cell>
          <cell r="C4866" t="str">
            <v>ADVISORY AND CONSULTANTS</v>
          </cell>
        </row>
        <row r="4867">
          <cell r="A4867">
            <v>9724726</v>
          </cell>
          <cell r="B4867">
            <v>342631</v>
          </cell>
          <cell r="C4867" t="str">
            <v>ADVISORY AND CONSULTANTS</v>
          </cell>
        </row>
        <row r="4868">
          <cell r="A4868">
            <v>9725703</v>
          </cell>
          <cell r="B4868">
            <v>342631</v>
          </cell>
          <cell r="C4868" t="str">
            <v>ADVISORY AND CONSULTANTS</v>
          </cell>
        </row>
        <row r="4869">
          <cell r="A4869">
            <v>9725704</v>
          </cell>
          <cell r="B4869">
            <v>342631</v>
          </cell>
          <cell r="C4869" t="str">
            <v>ADVISORY AND CONSULTANTS</v>
          </cell>
        </row>
        <row r="4870">
          <cell r="A4870">
            <v>9725711</v>
          </cell>
          <cell r="B4870">
            <v>342631</v>
          </cell>
          <cell r="C4870" t="str">
            <v>ADVISORY AND CONSULTANTS</v>
          </cell>
        </row>
        <row r="4871">
          <cell r="A4871">
            <v>9725717</v>
          </cell>
          <cell r="B4871">
            <v>342631</v>
          </cell>
          <cell r="C4871" t="str">
            <v>ADVISORY AND CONSULTANTS</v>
          </cell>
        </row>
        <row r="4872">
          <cell r="A4872">
            <v>9725725</v>
          </cell>
          <cell r="B4872">
            <v>342631</v>
          </cell>
          <cell r="C4872" t="str">
            <v>ADVISORY AND CONSULTANTS</v>
          </cell>
        </row>
        <row r="4873">
          <cell r="A4873">
            <v>9969681</v>
          </cell>
          <cell r="B4873">
            <v>342631</v>
          </cell>
          <cell r="C4873" t="str">
            <v>ADVISORY AND CONSULTANTS</v>
          </cell>
        </row>
        <row r="4874">
          <cell r="A4874">
            <v>9969901</v>
          </cell>
          <cell r="B4874">
            <v>342631</v>
          </cell>
          <cell r="C4874" t="str">
            <v>ADVISORY AND CONSULTANTS</v>
          </cell>
        </row>
        <row r="4875">
          <cell r="A4875" t="str">
            <v>ZONE-0105-POST</v>
          </cell>
          <cell r="B4875">
            <v>342631</v>
          </cell>
          <cell r="C4875" t="str">
            <v>ADVISORY AND CONSULTANTS</v>
          </cell>
        </row>
        <row r="4876">
          <cell r="A4876" t="str">
            <v>ZONE-0112-POST</v>
          </cell>
          <cell r="B4876">
            <v>342631</v>
          </cell>
          <cell r="C4876" t="str">
            <v>ADVISORY AND CONSULTANTS</v>
          </cell>
        </row>
        <row r="4877">
          <cell r="A4877">
            <v>9080700</v>
          </cell>
          <cell r="B4877">
            <v>342632</v>
          </cell>
          <cell r="C4877" t="str">
            <v>PRINTING SERVICE</v>
          </cell>
        </row>
        <row r="4878">
          <cell r="A4878">
            <v>9080701</v>
          </cell>
          <cell r="B4878">
            <v>342632</v>
          </cell>
          <cell r="C4878" t="str">
            <v>PRINTING SERVICE</v>
          </cell>
        </row>
        <row r="4879">
          <cell r="A4879">
            <v>9080702</v>
          </cell>
          <cell r="B4879">
            <v>342632</v>
          </cell>
          <cell r="C4879" t="str">
            <v>PRINTING SERVICE</v>
          </cell>
        </row>
        <row r="4880">
          <cell r="A4880">
            <v>9080705</v>
          </cell>
          <cell r="B4880">
            <v>342632</v>
          </cell>
          <cell r="C4880" t="str">
            <v>PRINTING SERVICE</v>
          </cell>
        </row>
        <row r="4881">
          <cell r="A4881">
            <v>9080707</v>
          </cell>
          <cell r="B4881">
            <v>342632</v>
          </cell>
          <cell r="C4881" t="str">
            <v>PRINTING SERVICE</v>
          </cell>
        </row>
        <row r="4882">
          <cell r="A4882">
            <v>9080710</v>
          </cell>
          <cell r="B4882">
            <v>342632</v>
          </cell>
          <cell r="C4882" t="str">
            <v>PRINTING SERVICE</v>
          </cell>
        </row>
        <row r="4883">
          <cell r="A4883">
            <v>9080999</v>
          </cell>
          <cell r="B4883">
            <v>342632</v>
          </cell>
          <cell r="C4883" t="str">
            <v>PRINTING SERVICE</v>
          </cell>
        </row>
        <row r="4884">
          <cell r="A4884">
            <v>9090710</v>
          </cell>
          <cell r="B4884">
            <v>342632</v>
          </cell>
          <cell r="C4884" t="str">
            <v>PRINTING SERVICE</v>
          </cell>
        </row>
        <row r="4885">
          <cell r="A4885">
            <v>9090999</v>
          </cell>
          <cell r="B4885">
            <v>342632</v>
          </cell>
          <cell r="C4885" t="str">
            <v>PRINTING SERVICE</v>
          </cell>
        </row>
        <row r="4886">
          <cell r="A4886">
            <v>9100710</v>
          </cell>
          <cell r="B4886">
            <v>342632</v>
          </cell>
          <cell r="C4886" t="str">
            <v>PRINTING SERVICE</v>
          </cell>
        </row>
        <row r="4887">
          <cell r="A4887">
            <v>9100999</v>
          </cell>
          <cell r="B4887">
            <v>342632</v>
          </cell>
          <cell r="C4887" t="str">
            <v>PRINTING SERVICE</v>
          </cell>
        </row>
        <row r="4888">
          <cell r="A4888">
            <v>9110700</v>
          </cell>
          <cell r="B4888">
            <v>342632</v>
          </cell>
          <cell r="C4888" t="str">
            <v>PRINTING SERVICE</v>
          </cell>
        </row>
        <row r="4889">
          <cell r="A4889">
            <v>9110702</v>
          </cell>
          <cell r="B4889">
            <v>342632</v>
          </cell>
          <cell r="C4889" t="str">
            <v>PRINTING SERVICE</v>
          </cell>
        </row>
        <row r="4890">
          <cell r="A4890">
            <v>9110705</v>
          </cell>
          <cell r="B4890">
            <v>342632</v>
          </cell>
          <cell r="C4890" t="str">
            <v>PRINTING SERVICE</v>
          </cell>
        </row>
        <row r="4891">
          <cell r="A4891">
            <v>9110707</v>
          </cell>
          <cell r="B4891">
            <v>342632</v>
          </cell>
          <cell r="C4891" t="str">
            <v>PRINTING SERVICE</v>
          </cell>
        </row>
        <row r="4892">
          <cell r="A4892">
            <v>9110999</v>
          </cell>
          <cell r="B4892">
            <v>342632</v>
          </cell>
          <cell r="C4892" t="str">
            <v>PRINTING SERVICE</v>
          </cell>
        </row>
        <row r="4893">
          <cell r="A4893">
            <v>9680700</v>
          </cell>
          <cell r="B4893">
            <v>342632</v>
          </cell>
          <cell r="C4893" t="str">
            <v>PRINTING SERVICE</v>
          </cell>
        </row>
        <row r="4894">
          <cell r="A4894">
            <v>9680701</v>
          </cell>
          <cell r="B4894">
            <v>342632</v>
          </cell>
          <cell r="C4894" t="str">
            <v>PRINTING SERVICE</v>
          </cell>
        </row>
        <row r="4895">
          <cell r="A4895">
            <v>9680702</v>
          </cell>
          <cell r="B4895">
            <v>342632</v>
          </cell>
          <cell r="C4895" t="str">
            <v>PRINTING SERVICE</v>
          </cell>
        </row>
        <row r="4896">
          <cell r="A4896">
            <v>9680705</v>
          </cell>
          <cell r="B4896">
            <v>342632</v>
          </cell>
          <cell r="C4896" t="str">
            <v>PRINTING SERVICE</v>
          </cell>
        </row>
        <row r="4897">
          <cell r="A4897">
            <v>9680707</v>
          </cell>
          <cell r="B4897">
            <v>342632</v>
          </cell>
          <cell r="C4897" t="str">
            <v>PRINTING SERVICE</v>
          </cell>
        </row>
        <row r="4898">
          <cell r="A4898">
            <v>9680710</v>
          </cell>
          <cell r="B4898">
            <v>342632</v>
          </cell>
          <cell r="C4898" t="str">
            <v>PRINTING SERVICE</v>
          </cell>
        </row>
        <row r="4899">
          <cell r="A4899">
            <v>9680712</v>
          </cell>
          <cell r="B4899">
            <v>342632</v>
          </cell>
          <cell r="C4899" t="str">
            <v>PRINTING SERVICE</v>
          </cell>
        </row>
        <row r="4900">
          <cell r="A4900">
            <v>9680714</v>
          </cell>
          <cell r="B4900">
            <v>342632</v>
          </cell>
          <cell r="C4900" t="str">
            <v>PRINTING SERVICE</v>
          </cell>
        </row>
        <row r="4901">
          <cell r="A4901">
            <v>9680734</v>
          </cell>
          <cell r="B4901">
            <v>342632</v>
          </cell>
          <cell r="C4901" t="str">
            <v>PRINTING SERVICE</v>
          </cell>
        </row>
        <row r="4902">
          <cell r="A4902">
            <v>9680748</v>
          </cell>
          <cell r="B4902">
            <v>342632</v>
          </cell>
          <cell r="C4902" t="str">
            <v>PRINTING SERVICE</v>
          </cell>
        </row>
        <row r="4903">
          <cell r="A4903">
            <v>9680749</v>
          </cell>
          <cell r="B4903">
            <v>342632</v>
          </cell>
          <cell r="C4903" t="str">
            <v>PRINTING SERVICE</v>
          </cell>
        </row>
        <row r="4904">
          <cell r="A4904">
            <v>9680894</v>
          </cell>
          <cell r="B4904">
            <v>342632</v>
          </cell>
          <cell r="C4904" t="str">
            <v>PRINTING SERVICE</v>
          </cell>
        </row>
        <row r="4905">
          <cell r="A4905">
            <v>9680999</v>
          </cell>
          <cell r="B4905">
            <v>342632</v>
          </cell>
          <cell r="C4905" t="str">
            <v>PRINTING SERVICE</v>
          </cell>
        </row>
        <row r="4906">
          <cell r="A4906">
            <v>9681700</v>
          </cell>
          <cell r="B4906">
            <v>342632</v>
          </cell>
          <cell r="C4906" t="str">
            <v>PRINTING SERVICE</v>
          </cell>
        </row>
        <row r="4907">
          <cell r="A4907">
            <v>9681701</v>
          </cell>
          <cell r="B4907">
            <v>342632</v>
          </cell>
          <cell r="C4907" t="str">
            <v>PRINTING SERVICE</v>
          </cell>
        </row>
        <row r="4908">
          <cell r="A4908">
            <v>9681702</v>
          </cell>
          <cell r="B4908">
            <v>342632</v>
          </cell>
          <cell r="C4908" t="str">
            <v>PRINTING SERVICE</v>
          </cell>
        </row>
        <row r="4909">
          <cell r="A4909">
            <v>9681705</v>
          </cell>
          <cell r="B4909">
            <v>342632</v>
          </cell>
          <cell r="C4909" t="str">
            <v>PRINTING SERVICE</v>
          </cell>
        </row>
        <row r="4910">
          <cell r="A4910">
            <v>9681706</v>
          </cell>
          <cell r="B4910">
            <v>342632</v>
          </cell>
          <cell r="C4910" t="str">
            <v>PRINTING SERVICE</v>
          </cell>
        </row>
        <row r="4911">
          <cell r="A4911">
            <v>9681707</v>
          </cell>
          <cell r="B4911">
            <v>342632</v>
          </cell>
          <cell r="C4911" t="str">
            <v>PRINTING SERVICE</v>
          </cell>
        </row>
        <row r="4912">
          <cell r="A4912">
            <v>9681710</v>
          </cell>
          <cell r="B4912">
            <v>342632</v>
          </cell>
          <cell r="C4912" t="str">
            <v>PRINTING SERVICE</v>
          </cell>
        </row>
        <row r="4913">
          <cell r="A4913">
            <v>9681712</v>
          </cell>
          <cell r="B4913">
            <v>342632</v>
          </cell>
          <cell r="C4913" t="str">
            <v>PRINTING SERVICE</v>
          </cell>
        </row>
        <row r="4914">
          <cell r="A4914">
            <v>9681727</v>
          </cell>
          <cell r="B4914">
            <v>342632</v>
          </cell>
          <cell r="C4914" t="str">
            <v>PRINTING SERVICE</v>
          </cell>
        </row>
        <row r="4915">
          <cell r="A4915">
            <v>9681734</v>
          </cell>
          <cell r="B4915">
            <v>342632</v>
          </cell>
          <cell r="C4915" t="str">
            <v>PRINTING SERVICE</v>
          </cell>
        </row>
        <row r="4916">
          <cell r="A4916">
            <v>9681748</v>
          </cell>
          <cell r="B4916">
            <v>342632</v>
          </cell>
          <cell r="C4916" t="str">
            <v>PRINTING SERVICE</v>
          </cell>
        </row>
        <row r="4917">
          <cell r="A4917">
            <v>9681749</v>
          </cell>
          <cell r="B4917">
            <v>342632</v>
          </cell>
          <cell r="C4917" t="str">
            <v>PRINTING SERVICE</v>
          </cell>
        </row>
        <row r="4918">
          <cell r="A4918">
            <v>9681894</v>
          </cell>
          <cell r="B4918">
            <v>342632</v>
          </cell>
          <cell r="C4918" t="str">
            <v>PRINTING SERVICE</v>
          </cell>
        </row>
        <row r="4919">
          <cell r="A4919">
            <v>9681999</v>
          </cell>
          <cell r="B4919">
            <v>342632</v>
          </cell>
          <cell r="C4919" t="str">
            <v>PRINTING SERVICE</v>
          </cell>
        </row>
        <row r="4920">
          <cell r="A4920">
            <v>9682715</v>
          </cell>
          <cell r="B4920">
            <v>342632</v>
          </cell>
          <cell r="C4920" t="str">
            <v>PRINTING SERVICE</v>
          </cell>
        </row>
        <row r="4921">
          <cell r="A4921">
            <v>9682722</v>
          </cell>
          <cell r="B4921">
            <v>342632</v>
          </cell>
          <cell r="C4921" t="str">
            <v>PRINTING SERVICE</v>
          </cell>
        </row>
        <row r="4922">
          <cell r="A4922">
            <v>9682999</v>
          </cell>
          <cell r="B4922">
            <v>342632</v>
          </cell>
          <cell r="C4922" t="str">
            <v>PRINTING SERVICE</v>
          </cell>
        </row>
        <row r="4923">
          <cell r="A4923">
            <v>9720703</v>
          </cell>
          <cell r="B4923">
            <v>342632</v>
          </cell>
          <cell r="C4923" t="str">
            <v>PRINTING SERVICE</v>
          </cell>
        </row>
        <row r="4924">
          <cell r="A4924">
            <v>9722709</v>
          </cell>
          <cell r="B4924">
            <v>342632</v>
          </cell>
          <cell r="C4924" t="str">
            <v>PRINTING SERVICE</v>
          </cell>
        </row>
        <row r="4925">
          <cell r="A4925">
            <v>9722713</v>
          </cell>
          <cell r="B4925">
            <v>342632</v>
          </cell>
          <cell r="C4925" t="str">
            <v>PRINTING SERVICE</v>
          </cell>
        </row>
        <row r="4926">
          <cell r="A4926">
            <v>9724718</v>
          </cell>
          <cell r="B4926">
            <v>342632</v>
          </cell>
          <cell r="C4926" t="str">
            <v>PRINTING SERVICE</v>
          </cell>
        </row>
        <row r="4927">
          <cell r="A4927">
            <v>9724721</v>
          </cell>
          <cell r="B4927">
            <v>342632</v>
          </cell>
          <cell r="C4927" t="str">
            <v>PRINTING SERVICE</v>
          </cell>
        </row>
        <row r="4928">
          <cell r="A4928">
            <v>9724724</v>
          </cell>
          <cell r="B4928">
            <v>342632</v>
          </cell>
          <cell r="C4928" t="str">
            <v>PRINTING SERVICE</v>
          </cell>
        </row>
        <row r="4929">
          <cell r="A4929">
            <v>9725703</v>
          </cell>
          <cell r="B4929">
            <v>342632</v>
          </cell>
          <cell r="C4929" t="str">
            <v>PRINTING SERVICE</v>
          </cell>
        </row>
        <row r="4930">
          <cell r="A4930">
            <v>9725704</v>
          </cell>
          <cell r="B4930">
            <v>342632</v>
          </cell>
          <cell r="C4930" t="str">
            <v>PRINTING SERVICE</v>
          </cell>
        </row>
        <row r="4931">
          <cell r="A4931">
            <v>9725711</v>
          </cell>
          <cell r="B4931">
            <v>342632</v>
          </cell>
          <cell r="C4931" t="str">
            <v>PRINTING SERVICE</v>
          </cell>
        </row>
        <row r="4932">
          <cell r="A4932">
            <v>9725717</v>
          </cell>
          <cell r="B4932">
            <v>342632</v>
          </cell>
          <cell r="C4932" t="str">
            <v>PRINTING SERVICE</v>
          </cell>
        </row>
        <row r="4933">
          <cell r="A4933">
            <v>9725725</v>
          </cell>
          <cell r="B4933">
            <v>342632</v>
          </cell>
          <cell r="C4933" t="str">
            <v>PRINTING SERVICE</v>
          </cell>
        </row>
        <row r="4934">
          <cell r="A4934">
            <v>8001054179</v>
          </cell>
          <cell r="B4934">
            <v>342634</v>
          </cell>
          <cell r="C4934" t="str">
            <v>OUTSIDE SERVICES PURCHASED-OTH</v>
          </cell>
        </row>
        <row r="4935">
          <cell r="A4935">
            <v>8001059542</v>
          </cell>
          <cell r="B4935">
            <v>342634</v>
          </cell>
          <cell r="C4935" t="str">
            <v>OUTSIDE SERVICES PURCHASED-OTH</v>
          </cell>
        </row>
        <row r="4936">
          <cell r="A4936">
            <v>8010512510</v>
          </cell>
          <cell r="B4936">
            <v>342634</v>
          </cell>
          <cell r="C4936" t="str">
            <v>OUTSIDE SERVICES PURCHASED-OTH</v>
          </cell>
        </row>
        <row r="4937">
          <cell r="A4937">
            <v>9080700</v>
          </cell>
          <cell r="B4937">
            <v>342634</v>
          </cell>
          <cell r="C4937" t="str">
            <v>OUTSIDE SERVICES PURCHASED-OTH</v>
          </cell>
        </row>
        <row r="4938">
          <cell r="A4938">
            <v>9080701</v>
          </cell>
          <cell r="B4938">
            <v>342634</v>
          </cell>
          <cell r="C4938" t="str">
            <v>OUTSIDE SERVICES PURCHASED-OTH</v>
          </cell>
        </row>
        <row r="4939">
          <cell r="A4939">
            <v>9080702</v>
          </cell>
          <cell r="B4939">
            <v>342634</v>
          </cell>
          <cell r="C4939" t="str">
            <v>OUTSIDE SERVICES PURCHASED-OTH</v>
          </cell>
        </row>
        <row r="4940">
          <cell r="A4940">
            <v>9080705</v>
          </cell>
          <cell r="B4940">
            <v>342634</v>
          </cell>
          <cell r="C4940" t="str">
            <v>OUTSIDE SERVICES PURCHASED-OTH</v>
          </cell>
        </row>
        <row r="4941">
          <cell r="A4941">
            <v>9080707</v>
          </cell>
          <cell r="B4941">
            <v>342634</v>
          </cell>
          <cell r="C4941" t="str">
            <v>OUTSIDE SERVICES PURCHASED-OTH</v>
          </cell>
        </row>
        <row r="4942">
          <cell r="A4942">
            <v>9080710</v>
          </cell>
          <cell r="B4942">
            <v>342634</v>
          </cell>
          <cell r="C4942" t="str">
            <v>OUTSIDE SERVICES PURCHASED-OTH</v>
          </cell>
        </row>
        <row r="4943">
          <cell r="A4943">
            <v>9080999</v>
          </cell>
          <cell r="B4943">
            <v>342634</v>
          </cell>
          <cell r="C4943" t="str">
            <v>OUTSIDE SERVICES PURCHASED-OTH</v>
          </cell>
        </row>
        <row r="4944">
          <cell r="A4944">
            <v>9090999</v>
          </cell>
          <cell r="B4944">
            <v>342634</v>
          </cell>
          <cell r="C4944" t="str">
            <v>OUTSIDE SERVICES PURCHASED-OTH</v>
          </cell>
        </row>
        <row r="4945">
          <cell r="A4945">
            <v>9100999</v>
          </cell>
          <cell r="B4945">
            <v>342634</v>
          </cell>
          <cell r="C4945" t="str">
            <v>OUTSIDE SERVICES PURCHASED-OTH</v>
          </cell>
        </row>
        <row r="4946">
          <cell r="A4946">
            <v>9110700</v>
          </cell>
          <cell r="B4946">
            <v>342634</v>
          </cell>
          <cell r="C4946" t="str">
            <v>OUTSIDE SERVICES PURCHASED-OTH</v>
          </cell>
        </row>
        <row r="4947">
          <cell r="A4947">
            <v>9110702</v>
          </cell>
          <cell r="B4947">
            <v>342634</v>
          </cell>
          <cell r="C4947" t="str">
            <v>OUTSIDE SERVICES PURCHASED-OTH</v>
          </cell>
        </row>
        <row r="4948">
          <cell r="A4948">
            <v>9110705</v>
          </cell>
          <cell r="B4948">
            <v>342634</v>
          </cell>
          <cell r="C4948" t="str">
            <v>OUTSIDE SERVICES PURCHASED-OTH</v>
          </cell>
        </row>
        <row r="4949">
          <cell r="A4949">
            <v>9110707</v>
          </cell>
          <cell r="B4949">
            <v>342634</v>
          </cell>
          <cell r="C4949" t="str">
            <v>OUTSIDE SERVICES PURCHASED-OTH</v>
          </cell>
        </row>
        <row r="4950">
          <cell r="A4950">
            <v>9110999</v>
          </cell>
          <cell r="B4950">
            <v>342634</v>
          </cell>
          <cell r="C4950" t="str">
            <v>OUTSIDE SERVICES PURCHASED-OTH</v>
          </cell>
        </row>
        <row r="4951">
          <cell r="A4951">
            <v>9680700</v>
          </cell>
          <cell r="B4951">
            <v>342634</v>
          </cell>
          <cell r="C4951" t="str">
            <v>OUTSIDE SERVICES PURCHASED-OTH</v>
          </cell>
        </row>
        <row r="4952">
          <cell r="A4952">
            <v>9680701</v>
          </cell>
          <cell r="B4952">
            <v>342634</v>
          </cell>
          <cell r="C4952" t="str">
            <v>OUTSIDE SERVICES PURCHASED-OTH</v>
          </cell>
        </row>
        <row r="4953">
          <cell r="A4953">
            <v>9680702</v>
          </cell>
          <cell r="B4953">
            <v>342634</v>
          </cell>
          <cell r="C4953" t="str">
            <v>OUTSIDE SERVICES PURCHASED-OTH</v>
          </cell>
        </row>
        <row r="4954">
          <cell r="A4954">
            <v>9680705</v>
          </cell>
          <cell r="B4954">
            <v>342634</v>
          </cell>
          <cell r="C4954" t="str">
            <v>OUTSIDE SERVICES PURCHASED-OTH</v>
          </cell>
        </row>
        <row r="4955">
          <cell r="A4955">
            <v>9680707</v>
          </cell>
          <cell r="B4955">
            <v>342634</v>
          </cell>
          <cell r="C4955" t="str">
            <v>OUTSIDE SERVICES PURCHASED-OTH</v>
          </cell>
        </row>
        <row r="4956">
          <cell r="A4956">
            <v>9680710</v>
          </cell>
          <cell r="B4956">
            <v>342634</v>
          </cell>
          <cell r="C4956" t="str">
            <v>OUTSIDE SERVICES PURCHASED-OTH</v>
          </cell>
        </row>
        <row r="4957">
          <cell r="A4957">
            <v>9680712</v>
          </cell>
          <cell r="B4957">
            <v>342634</v>
          </cell>
          <cell r="C4957" t="str">
            <v>OUTSIDE SERVICES PURCHASED-OTH</v>
          </cell>
        </row>
        <row r="4958">
          <cell r="A4958">
            <v>9680714</v>
          </cell>
          <cell r="B4958">
            <v>342634</v>
          </cell>
          <cell r="C4958" t="str">
            <v>OUTSIDE SERVICES PURCHASED-OTH</v>
          </cell>
        </row>
        <row r="4959">
          <cell r="A4959">
            <v>9680734</v>
          </cell>
          <cell r="B4959">
            <v>342634</v>
          </cell>
          <cell r="C4959" t="str">
            <v>OUTSIDE SERVICES PURCHASED-OTH</v>
          </cell>
        </row>
        <row r="4960">
          <cell r="A4960">
            <v>9680748</v>
          </cell>
          <cell r="B4960">
            <v>342634</v>
          </cell>
          <cell r="C4960" t="str">
            <v>OUTSIDE SERVICES PURCHASED-OTH</v>
          </cell>
        </row>
        <row r="4961">
          <cell r="A4961">
            <v>9680749</v>
          </cell>
          <cell r="B4961">
            <v>342634</v>
          </cell>
          <cell r="C4961" t="str">
            <v>OUTSIDE SERVICES PURCHASED-OTH</v>
          </cell>
        </row>
        <row r="4962">
          <cell r="A4962">
            <v>9680894</v>
          </cell>
          <cell r="B4962">
            <v>342634</v>
          </cell>
          <cell r="C4962" t="str">
            <v>OUTSIDE SERVICES PURCHASED-OTH</v>
          </cell>
        </row>
        <row r="4963">
          <cell r="A4963">
            <v>9680999</v>
          </cell>
          <cell r="B4963">
            <v>342634</v>
          </cell>
          <cell r="C4963" t="str">
            <v>OUTSIDE SERVICES PURCHASED-OTH</v>
          </cell>
        </row>
        <row r="4964">
          <cell r="A4964">
            <v>9681700</v>
          </cell>
          <cell r="B4964">
            <v>342634</v>
          </cell>
          <cell r="C4964" t="str">
            <v>OUTSIDE SERVICES PURCHASED-OTH</v>
          </cell>
        </row>
        <row r="4965">
          <cell r="A4965">
            <v>9681701</v>
          </cell>
          <cell r="B4965">
            <v>342634</v>
          </cell>
          <cell r="C4965" t="str">
            <v>OUTSIDE SERVICES PURCHASED-OTH</v>
          </cell>
        </row>
        <row r="4966">
          <cell r="A4966">
            <v>9681702</v>
          </cell>
          <cell r="B4966">
            <v>342634</v>
          </cell>
          <cell r="C4966" t="str">
            <v>OUTSIDE SERVICES PURCHASED-OTH</v>
          </cell>
        </row>
        <row r="4967">
          <cell r="A4967">
            <v>9681705</v>
          </cell>
          <cell r="B4967">
            <v>342634</v>
          </cell>
          <cell r="C4967" t="str">
            <v>OUTSIDE SERVICES PURCHASED-OTH</v>
          </cell>
        </row>
        <row r="4968">
          <cell r="A4968">
            <v>9681706</v>
          </cell>
          <cell r="B4968">
            <v>342634</v>
          </cell>
          <cell r="C4968" t="str">
            <v>OUTSIDE SERVICES PURCHASED-OTH</v>
          </cell>
        </row>
        <row r="4969">
          <cell r="A4969">
            <v>9681707</v>
          </cell>
          <cell r="B4969">
            <v>342634</v>
          </cell>
          <cell r="C4969" t="str">
            <v>OUTSIDE SERVICES PURCHASED-OTH</v>
          </cell>
        </row>
        <row r="4970">
          <cell r="A4970">
            <v>9681710</v>
          </cell>
          <cell r="B4970">
            <v>342634</v>
          </cell>
          <cell r="C4970" t="str">
            <v>OUTSIDE SERVICES PURCHASED-OTH</v>
          </cell>
        </row>
        <row r="4971">
          <cell r="A4971">
            <v>9681712</v>
          </cell>
          <cell r="B4971">
            <v>342634</v>
          </cell>
          <cell r="C4971" t="str">
            <v>OUTSIDE SERVICES PURCHASED-OTH</v>
          </cell>
        </row>
        <row r="4972">
          <cell r="A4972">
            <v>9681714</v>
          </cell>
          <cell r="B4972">
            <v>342634</v>
          </cell>
          <cell r="C4972" t="str">
            <v>OUTSIDE SERVICES PURCHASED-OTH</v>
          </cell>
        </row>
        <row r="4973">
          <cell r="A4973">
            <v>9681727</v>
          </cell>
          <cell r="B4973">
            <v>342634</v>
          </cell>
          <cell r="C4973" t="str">
            <v>OUTSIDE SERVICES PURCHASED-OTH</v>
          </cell>
        </row>
        <row r="4974">
          <cell r="A4974">
            <v>9681734</v>
          </cell>
          <cell r="B4974">
            <v>342634</v>
          </cell>
          <cell r="C4974" t="str">
            <v>OUTSIDE SERVICES PURCHASED-OTH</v>
          </cell>
        </row>
        <row r="4975">
          <cell r="A4975">
            <v>9681748</v>
          </cell>
          <cell r="B4975">
            <v>342634</v>
          </cell>
          <cell r="C4975" t="str">
            <v>OUTSIDE SERVICES PURCHASED-OTH</v>
          </cell>
        </row>
        <row r="4976">
          <cell r="A4976">
            <v>9681749</v>
          </cell>
          <cell r="B4976">
            <v>342634</v>
          </cell>
          <cell r="C4976" t="str">
            <v>OUTSIDE SERVICES PURCHASED-OTH</v>
          </cell>
        </row>
        <row r="4977">
          <cell r="A4977">
            <v>9681894</v>
          </cell>
          <cell r="B4977">
            <v>342634</v>
          </cell>
          <cell r="C4977" t="str">
            <v>OUTSIDE SERVICES PURCHASED-OTH</v>
          </cell>
        </row>
        <row r="4978">
          <cell r="A4978">
            <v>9681999</v>
          </cell>
          <cell r="B4978">
            <v>342634</v>
          </cell>
          <cell r="C4978" t="str">
            <v>OUTSIDE SERVICES PURCHASED-OTH</v>
          </cell>
        </row>
        <row r="4979">
          <cell r="A4979">
            <v>9682715</v>
          </cell>
          <cell r="B4979">
            <v>342634</v>
          </cell>
          <cell r="C4979" t="str">
            <v>OUTSIDE SERVICES PURCHASED-OTH</v>
          </cell>
        </row>
        <row r="4980">
          <cell r="A4980">
            <v>9682722</v>
          </cell>
          <cell r="B4980">
            <v>342634</v>
          </cell>
          <cell r="C4980" t="str">
            <v>OUTSIDE SERVICES PURCHASED-OTH</v>
          </cell>
        </row>
        <row r="4981">
          <cell r="A4981">
            <v>9682999</v>
          </cell>
          <cell r="B4981">
            <v>342634</v>
          </cell>
          <cell r="C4981" t="str">
            <v>OUTSIDE SERVICES PURCHASED-OTH</v>
          </cell>
        </row>
        <row r="4982">
          <cell r="A4982">
            <v>9683999</v>
          </cell>
          <cell r="B4982">
            <v>342634</v>
          </cell>
          <cell r="C4982" t="str">
            <v>OUTSIDE SERVICES PURCHASED-OTH</v>
          </cell>
        </row>
        <row r="4983">
          <cell r="A4983">
            <v>9684999</v>
          </cell>
          <cell r="B4983">
            <v>342634</v>
          </cell>
          <cell r="C4983" t="str">
            <v>OUTSIDE SERVICES PURCHASED-OTH</v>
          </cell>
        </row>
        <row r="4984">
          <cell r="A4984">
            <v>9689692</v>
          </cell>
          <cell r="B4984">
            <v>342634</v>
          </cell>
          <cell r="C4984" t="str">
            <v>OUTSIDE SERVICES PURCHASED-OTH</v>
          </cell>
        </row>
        <row r="4985">
          <cell r="A4985">
            <v>9689747</v>
          </cell>
          <cell r="B4985">
            <v>342634</v>
          </cell>
          <cell r="C4985" t="str">
            <v>OUTSIDE SERVICES PURCHASED-OTH</v>
          </cell>
        </row>
        <row r="4986">
          <cell r="A4986">
            <v>9689883</v>
          </cell>
          <cell r="B4986">
            <v>342634</v>
          </cell>
          <cell r="C4986" t="str">
            <v>OUTSIDE SERVICES PURCHASED-OTH</v>
          </cell>
        </row>
        <row r="4987">
          <cell r="A4987">
            <v>9689890</v>
          </cell>
          <cell r="B4987">
            <v>342634</v>
          </cell>
          <cell r="C4987" t="str">
            <v>OUTSIDE SERVICES PURCHASED-OTH</v>
          </cell>
        </row>
        <row r="4988">
          <cell r="A4988">
            <v>9689904</v>
          </cell>
          <cell r="B4988">
            <v>342634</v>
          </cell>
          <cell r="C4988" t="str">
            <v>OUTSIDE SERVICES PURCHASED-OTH</v>
          </cell>
        </row>
        <row r="4989">
          <cell r="A4989">
            <v>9689906</v>
          </cell>
          <cell r="B4989">
            <v>342634</v>
          </cell>
          <cell r="C4989" t="str">
            <v>OUTSIDE SERVICES PURCHASED-OTH</v>
          </cell>
        </row>
        <row r="4990">
          <cell r="A4990">
            <v>9689925</v>
          </cell>
          <cell r="B4990">
            <v>342634</v>
          </cell>
          <cell r="C4990" t="str">
            <v>OUTSIDE SERVICES PURCHASED-OTH</v>
          </cell>
        </row>
        <row r="4991">
          <cell r="A4991">
            <v>9689990</v>
          </cell>
          <cell r="B4991">
            <v>342634</v>
          </cell>
          <cell r="C4991" t="str">
            <v>OUTSIDE SERVICES PURCHASED-OTH</v>
          </cell>
        </row>
        <row r="4992">
          <cell r="A4992">
            <v>9689991</v>
          </cell>
          <cell r="B4992">
            <v>342634</v>
          </cell>
          <cell r="C4992" t="str">
            <v>OUTSIDE SERVICES PURCHASED-OTH</v>
          </cell>
        </row>
        <row r="4993">
          <cell r="A4993">
            <v>9689992</v>
          </cell>
          <cell r="B4993">
            <v>342634</v>
          </cell>
          <cell r="C4993" t="str">
            <v>OUTSIDE SERVICES PURCHASED-OTH</v>
          </cell>
        </row>
        <row r="4994">
          <cell r="A4994">
            <v>9689993</v>
          </cell>
          <cell r="B4994">
            <v>342634</v>
          </cell>
          <cell r="C4994" t="str">
            <v>OUTSIDE SERVICES PURCHASED-OTH</v>
          </cell>
        </row>
        <row r="4995">
          <cell r="A4995">
            <v>9689994</v>
          </cell>
          <cell r="B4995">
            <v>342634</v>
          </cell>
          <cell r="C4995" t="str">
            <v>OUTSIDE SERVICES PURCHASED-OTH</v>
          </cell>
        </row>
        <row r="4996">
          <cell r="A4996">
            <v>9720703</v>
          </cell>
          <cell r="B4996">
            <v>342634</v>
          </cell>
          <cell r="C4996" t="str">
            <v>OUTSIDE SERVICES PURCHASED-OTH</v>
          </cell>
        </row>
        <row r="4997">
          <cell r="A4997">
            <v>9722709</v>
          </cell>
          <cell r="B4997">
            <v>342634</v>
          </cell>
          <cell r="C4997" t="str">
            <v>OUTSIDE SERVICES PURCHASED-OTH</v>
          </cell>
        </row>
        <row r="4998">
          <cell r="A4998">
            <v>9722713</v>
          </cell>
          <cell r="B4998">
            <v>342634</v>
          </cell>
          <cell r="C4998" t="str">
            <v>OUTSIDE SERVICES PURCHASED-OTH</v>
          </cell>
        </row>
        <row r="4999">
          <cell r="A4999">
            <v>9724718</v>
          </cell>
          <cell r="B4999">
            <v>342634</v>
          </cell>
          <cell r="C4999" t="str">
            <v>OUTSIDE SERVICES PURCHASED-OTH</v>
          </cell>
        </row>
        <row r="5000">
          <cell r="A5000">
            <v>9724721</v>
          </cell>
          <cell r="B5000">
            <v>342634</v>
          </cell>
          <cell r="C5000" t="str">
            <v>OUTSIDE SERVICES PURCHASED-OTH</v>
          </cell>
        </row>
        <row r="5001">
          <cell r="A5001">
            <v>9724724</v>
          </cell>
          <cell r="B5001">
            <v>342634</v>
          </cell>
          <cell r="C5001" t="str">
            <v>OUTSIDE SERVICES PURCHASED-OTH</v>
          </cell>
        </row>
        <row r="5002">
          <cell r="A5002">
            <v>9724726</v>
          </cell>
          <cell r="B5002">
            <v>342634</v>
          </cell>
          <cell r="C5002" t="str">
            <v>OUTSIDE SERVICES PURCHASED-OTH</v>
          </cell>
        </row>
        <row r="5003">
          <cell r="A5003">
            <v>9725703</v>
          </cell>
          <cell r="B5003">
            <v>342634</v>
          </cell>
          <cell r="C5003" t="str">
            <v>OUTSIDE SERVICES PURCHASED-OTH</v>
          </cell>
        </row>
        <row r="5004">
          <cell r="A5004">
            <v>9725704</v>
          </cell>
          <cell r="B5004">
            <v>342634</v>
          </cell>
          <cell r="C5004" t="str">
            <v>OUTSIDE SERVICES PURCHASED-OTH</v>
          </cell>
        </row>
        <row r="5005">
          <cell r="A5005">
            <v>9725711</v>
          </cell>
          <cell r="B5005">
            <v>342634</v>
          </cell>
          <cell r="C5005" t="str">
            <v>OUTSIDE SERVICES PURCHASED-OTH</v>
          </cell>
        </row>
        <row r="5006">
          <cell r="A5006">
            <v>9725717</v>
          </cell>
          <cell r="B5006">
            <v>342634</v>
          </cell>
          <cell r="C5006" t="str">
            <v>OUTSIDE SERVICES PURCHASED-OTH</v>
          </cell>
        </row>
        <row r="5007">
          <cell r="A5007">
            <v>9725725</v>
          </cell>
          <cell r="B5007">
            <v>342634</v>
          </cell>
          <cell r="C5007" t="str">
            <v>OUTSIDE SERVICES PURCHASED-OTH</v>
          </cell>
        </row>
        <row r="5008">
          <cell r="A5008">
            <v>9967681</v>
          </cell>
          <cell r="B5008">
            <v>342634</v>
          </cell>
          <cell r="C5008" t="str">
            <v>OUTSIDE SERVICES PURCHASED-OTH</v>
          </cell>
        </row>
        <row r="5009">
          <cell r="A5009">
            <v>9968681</v>
          </cell>
          <cell r="B5009">
            <v>342634</v>
          </cell>
          <cell r="C5009" t="str">
            <v>OUTSIDE SERVICES PURCHASED-OTH</v>
          </cell>
        </row>
        <row r="5010">
          <cell r="A5010">
            <v>9969681</v>
          </cell>
          <cell r="B5010">
            <v>342634</v>
          </cell>
          <cell r="C5010" t="str">
            <v>OUTSIDE SERVICES PURCHASED-OTH</v>
          </cell>
        </row>
        <row r="5011">
          <cell r="A5011">
            <v>9969901</v>
          </cell>
          <cell r="B5011">
            <v>342634</v>
          </cell>
          <cell r="C5011" t="str">
            <v>OUTSIDE SERVICES PURCHASED-OTH</v>
          </cell>
        </row>
        <row r="5012">
          <cell r="A5012" t="str">
            <v>ZONE-0105-POST</v>
          </cell>
          <cell r="B5012">
            <v>342634</v>
          </cell>
          <cell r="C5012" t="str">
            <v>OUTSIDE SERVICES PURCHASED-OTH</v>
          </cell>
        </row>
        <row r="5013">
          <cell r="A5013" t="str">
            <v>ZONE-0112-POST</v>
          </cell>
          <cell r="B5013">
            <v>342634</v>
          </cell>
          <cell r="C5013" t="str">
            <v>OUTSIDE SERVICES PURCHASED-OTH</v>
          </cell>
        </row>
        <row r="5014">
          <cell r="A5014">
            <v>8001054179</v>
          </cell>
          <cell r="B5014">
            <v>342637</v>
          </cell>
          <cell r="C5014" t="str">
            <v>OUTSIDE HIRING SERVICE</v>
          </cell>
        </row>
        <row r="5015">
          <cell r="A5015">
            <v>8001059542</v>
          </cell>
          <cell r="B5015">
            <v>342637</v>
          </cell>
          <cell r="C5015" t="str">
            <v>OUTSIDE HIRING SERVICE</v>
          </cell>
        </row>
        <row r="5016">
          <cell r="A5016">
            <v>8010512510</v>
          </cell>
          <cell r="B5016">
            <v>342637</v>
          </cell>
          <cell r="C5016" t="str">
            <v>OUTSIDE HIRING SERVICE</v>
          </cell>
        </row>
        <row r="5017">
          <cell r="A5017">
            <v>9080700</v>
          </cell>
          <cell r="B5017">
            <v>342637</v>
          </cell>
          <cell r="C5017" t="str">
            <v>OUTSIDE HIRING SERVICE</v>
          </cell>
        </row>
        <row r="5018">
          <cell r="A5018">
            <v>9080701</v>
          </cell>
          <cell r="B5018">
            <v>342637</v>
          </cell>
          <cell r="C5018" t="str">
            <v>OUTSIDE HIRING SERVICE</v>
          </cell>
        </row>
        <row r="5019">
          <cell r="A5019">
            <v>9080702</v>
          </cell>
          <cell r="B5019">
            <v>342637</v>
          </cell>
          <cell r="C5019" t="str">
            <v>OUTSIDE HIRING SERVICE</v>
          </cell>
        </row>
        <row r="5020">
          <cell r="A5020">
            <v>9080705</v>
          </cell>
          <cell r="B5020">
            <v>342637</v>
          </cell>
          <cell r="C5020" t="str">
            <v>OUTSIDE HIRING SERVICE</v>
          </cell>
        </row>
        <row r="5021">
          <cell r="A5021">
            <v>9080707</v>
          </cell>
          <cell r="B5021">
            <v>342637</v>
          </cell>
          <cell r="C5021" t="str">
            <v>OUTSIDE HIRING SERVICE</v>
          </cell>
        </row>
        <row r="5022">
          <cell r="A5022">
            <v>9080710</v>
          </cell>
          <cell r="B5022">
            <v>342637</v>
          </cell>
          <cell r="C5022" t="str">
            <v>OUTSIDE HIRING SERVICE</v>
          </cell>
        </row>
        <row r="5023">
          <cell r="A5023">
            <v>9080999</v>
          </cell>
          <cell r="B5023">
            <v>342637</v>
          </cell>
          <cell r="C5023" t="str">
            <v>OUTSIDE HIRING SERVICE</v>
          </cell>
        </row>
        <row r="5024">
          <cell r="A5024">
            <v>9090999</v>
          </cell>
          <cell r="B5024">
            <v>342637</v>
          </cell>
          <cell r="C5024" t="str">
            <v>OUTSIDE HIRING SERVICE</v>
          </cell>
        </row>
        <row r="5025">
          <cell r="A5025">
            <v>9100999</v>
          </cell>
          <cell r="B5025">
            <v>342637</v>
          </cell>
          <cell r="C5025" t="str">
            <v>OUTSIDE HIRING SERVICE</v>
          </cell>
        </row>
        <row r="5026">
          <cell r="A5026">
            <v>9110700</v>
          </cell>
          <cell r="B5026">
            <v>342637</v>
          </cell>
          <cell r="C5026" t="str">
            <v>OUTSIDE HIRING SERVICE</v>
          </cell>
        </row>
        <row r="5027">
          <cell r="A5027">
            <v>9110702</v>
          </cell>
          <cell r="B5027">
            <v>342637</v>
          </cell>
          <cell r="C5027" t="str">
            <v>OUTSIDE HIRING SERVICE</v>
          </cell>
        </row>
        <row r="5028">
          <cell r="A5028">
            <v>9110705</v>
          </cell>
          <cell r="B5028">
            <v>342637</v>
          </cell>
          <cell r="C5028" t="str">
            <v>OUTSIDE HIRING SERVICE</v>
          </cell>
        </row>
        <row r="5029">
          <cell r="A5029">
            <v>9110707</v>
          </cell>
          <cell r="B5029">
            <v>342637</v>
          </cell>
          <cell r="C5029" t="str">
            <v>OUTSIDE HIRING SERVICE</v>
          </cell>
        </row>
        <row r="5030">
          <cell r="A5030">
            <v>9110999</v>
          </cell>
          <cell r="B5030">
            <v>342637</v>
          </cell>
          <cell r="C5030" t="str">
            <v>OUTSIDE HIRING SERVICE</v>
          </cell>
        </row>
        <row r="5031">
          <cell r="A5031">
            <v>9680700</v>
          </cell>
          <cell r="B5031">
            <v>342637</v>
          </cell>
          <cell r="C5031" t="str">
            <v>OUTSIDE HIRING SERVICE</v>
          </cell>
        </row>
        <row r="5032">
          <cell r="A5032">
            <v>9680701</v>
          </cell>
          <cell r="B5032">
            <v>342637</v>
          </cell>
          <cell r="C5032" t="str">
            <v>OUTSIDE HIRING SERVICE</v>
          </cell>
        </row>
        <row r="5033">
          <cell r="A5033">
            <v>9680702</v>
          </cell>
          <cell r="B5033">
            <v>342637</v>
          </cell>
          <cell r="C5033" t="str">
            <v>OUTSIDE HIRING SERVICE</v>
          </cell>
        </row>
        <row r="5034">
          <cell r="A5034">
            <v>9680705</v>
          </cell>
          <cell r="B5034">
            <v>342637</v>
          </cell>
          <cell r="C5034" t="str">
            <v>OUTSIDE HIRING SERVICE</v>
          </cell>
        </row>
        <row r="5035">
          <cell r="A5035">
            <v>9680707</v>
          </cell>
          <cell r="B5035">
            <v>342637</v>
          </cell>
          <cell r="C5035" t="str">
            <v>OUTSIDE HIRING SERVICE</v>
          </cell>
        </row>
        <row r="5036">
          <cell r="A5036">
            <v>9680710</v>
          </cell>
          <cell r="B5036">
            <v>342637</v>
          </cell>
          <cell r="C5036" t="str">
            <v>OUTSIDE HIRING SERVICE</v>
          </cell>
        </row>
        <row r="5037">
          <cell r="A5037">
            <v>9680712</v>
          </cell>
          <cell r="B5037">
            <v>342637</v>
          </cell>
          <cell r="C5037" t="str">
            <v>OUTSIDE HIRING SERVICE</v>
          </cell>
        </row>
        <row r="5038">
          <cell r="A5038">
            <v>9680714</v>
          </cell>
          <cell r="B5038">
            <v>342637</v>
          </cell>
          <cell r="C5038" t="str">
            <v>OUTSIDE HIRING SERVICE</v>
          </cell>
        </row>
        <row r="5039">
          <cell r="A5039">
            <v>9680734</v>
          </cell>
          <cell r="B5039">
            <v>342637</v>
          </cell>
          <cell r="C5039" t="str">
            <v>OUTSIDE HIRING SERVICE</v>
          </cell>
        </row>
        <row r="5040">
          <cell r="A5040">
            <v>9680748</v>
          </cell>
          <cell r="B5040">
            <v>342637</v>
          </cell>
          <cell r="C5040" t="str">
            <v>OUTSIDE HIRING SERVICE</v>
          </cell>
        </row>
        <row r="5041">
          <cell r="A5041">
            <v>9680749</v>
          </cell>
          <cell r="B5041">
            <v>342637</v>
          </cell>
          <cell r="C5041" t="str">
            <v>OUTSIDE HIRING SERVICE</v>
          </cell>
        </row>
        <row r="5042">
          <cell r="A5042">
            <v>9680894</v>
          </cell>
          <cell r="B5042">
            <v>342637</v>
          </cell>
          <cell r="C5042" t="str">
            <v>OUTSIDE HIRING SERVICE</v>
          </cell>
        </row>
        <row r="5043">
          <cell r="A5043">
            <v>9680999</v>
          </cell>
          <cell r="B5043">
            <v>342637</v>
          </cell>
          <cell r="C5043" t="str">
            <v>OUTSIDE HIRING SERVICE</v>
          </cell>
        </row>
        <row r="5044">
          <cell r="A5044">
            <v>9681700</v>
          </cell>
          <cell r="B5044">
            <v>342637</v>
          </cell>
          <cell r="C5044" t="str">
            <v>OUTSIDE HIRING SERVICE</v>
          </cell>
        </row>
        <row r="5045">
          <cell r="A5045">
            <v>9681701</v>
          </cell>
          <cell r="B5045">
            <v>342637</v>
          </cell>
          <cell r="C5045" t="str">
            <v>OUTSIDE HIRING SERVICE</v>
          </cell>
        </row>
        <row r="5046">
          <cell r="A5046">
            <v>9681702</v>
          </cell>
          <cell r="B5046">
            <v>342637</v>
          </cell>
          <cell r="C5046" t="str">
            <v>OUTSIDE HIRING SERVICE</v>
          </cell>
        </row>
        <row r="5047">
          <cell r="A5047">
            <v>9681705</v>
          </cell>
          <cell r="B5047">
            <v>342637</v>
          </cell>
          <cell r="C5047" t="str">
            <v>OUTSIDE HIRING SERVICE</v>
          </cell>
        </row>
        <row r="5048">
          <cell r="A5048">
            <v>9681706</v>
          </cell>
          <cell r="B5048">
            <v>342637</v>
          </cell>
          <cell r="C5048" t="str">
            <v>OUTSIDE HIRING SERVICE</v>
          </cell>
        </row>
        <row r="5049">
          <cell r="A5049">
            <v>9681707</v>
          </cell>
          <cell r="B5049">
            <v>342637</v>
          </cell>
          <cell r="C5049" t="str">
            <v>OUTSIDE HIRING SERVICE</v>
          </cell>
        </row>
        <row r="5050">
          <cell r="A5050">
            <v>9681710</v>
          </cell>
          <cell r="B5050">
            <v>342637</v>
          </cell>
          <cell r="C5050" t="str">
            <v>OUTSIDE HIRING SERVICE</v>
          </cell>
        </row>
        <row r="5051">
          <cell r="A5051">
            <v>9681712</v>
          </cell>
          <cell r="B5051">
            <v>342637</v>
          </cell>
          <cell r="C5051" t="str">
            <v>OUTSIDE HIRING SERVICE</v>
          </cell>
        </row>
        <row r="5052">
          <cell r="A5052">
            <v>9681727</v>
          </cell>
          <cell r="B5052">
            <v>342637</v>
          </cell>
          <cell r="C5052" t="str">
            <v>OUTSIDE HIRING SERVICE</v>
          </cell>
        </row>
        <row r="5053">
          <cell r="A5053">
            <v>9681734</v>
          </cell>
          <cell r="B5053">
            <v>342637</v>
          </cell>
          <cell r="C5053" t="str">
            <v>OUTSIDE HIRING SERVICE</v>
          </cell>
        </row>
        <row r="5054">
          <cell r="A5054">
            <v>9681748</v>
          </cell>
          <cell r="B5054">
            <v>342637</v>
          </cell>
          <cell r="C5054" t="str">
            <v>OUTSIDE HIRING SERVICE</v>
          </cell>
        </row>
        <row r="5055">
          <cell r="A5055">
            <v>9681749</v>
          </cell>
          <cell r="B5055">
            <v>342637</v>
          </cell>
          <cell r="C5055" t="str">
            <v>OUTSIDE HIRING SERVICE</v>
          </cell>
        </row>
        <row r="5056">
          <cell r="A5056">
            <v>9681894</v>
          </cell>
          <cell r="B5056">
            <v>342637</v>
          </cell>
          <cell r="C5056" t="str">
            <v>OUTSIDE HIRING SERVICE</v>
          </cell>
        </row>
        <row r="5057">
          <cell r="A5057">
            <v>9681999</v>
          </cell>
          <cell r="B5057">
            <v>342637</v>
          </cell>
          <cell r="C5057" t="str">
            <v>OUTSIDE HIRING SERVICE</v>
          </cell>
        </row>
        <row r="5058">
          <cell r="A5058">
            <v>9682715</v>
          </cell>
          <cell r="B5058">
            <v>342637</v>
          </cell>
          <cell r="C5058" t="str">
            <v>OUTSIDE HIRING SERVICE</v>
          </cell>
        </row>
        <row r="5059">
          <cell r="A5059">
            <v>9682722</v>
          </cell>
          <cell r="B5059">
            <v>342637</v>
          </cell>
          <cell r="C5059" t="str">
            <v>OUTSIDE HIRING SERVICE</v>
          </cell>
        </row>
        <row r="5060">
          <cell r="A5060">
            <v>9682999</v>
          </cell>
          <cell r="B5060">
            <v>342637</v>
          </cell>
          <cell r="C5060" t="str">
            <v>OUTSIDE HIRING SERVICE</v>
          </cell>
        </row>
        <row r="5061">
          <cell r="A5061">
            <v>9683999</v>
          </cell>
          <cell r="B5061">
            <v>342637</v>
          </cell>
          <cell r="C5061" t="str">
            <v>OUTSIDE HIRING SERVICE</v>
          </cell>
        </row>
        <row r="5062">
          <cell r="A5062">
            <v>9684999</v>
          </cell>
          <cell r="B5062">
            <v>342637</v>
          </cell>
          <cell r="C5062" t="str">
            <v>OUTSIDE HIRING SERVICE</v>
          </cell>
        </row>
        <row r="5063">
          <cell r="A5063">
            <v>9689692</v>
          </cell>
          <cell r="B5063">
            <v>342637</v>
          </cell>
          <cell r="C5063" t="str">
            <v>OUTSIDE HIRING SERVICE</v>
          </cell>
        </row>
        <row r="5064">
          <cell r="A5064">
            <v>9689747</v>
          </cell>
          <cell r="B5064">
            <v>342637</v>
          </cell>
          <cell r="C5064" t="str">
            <v>OUTSIDE HIRING SERVICE</v>
          </cell>
        </row>
        <row r="5065">
          <cell r="A5065">
            <v>9689883</v>
          </cell>
          <cell r="B5065">
            <v>342637</v>
          </cell>
          <cell r="C5065" t="str">
            <v>OUTSIDE HIRING SERVICE</v>
          </cell>
        </row>
        <row r="5066">
          <cell r="A5066">
            <v>9689890</v>
          </cell>
          <cell r="B5066">
            <v>342637</v>
          </cell>
          <cell r="C5066" t="str">
            <v>OUTSIDE HIRING SERVICE</v>
          </cell>
        </row>
        <row r="5067">
          <cell r="A5067">
            <v>9689906</v>
          </cell>
          <cell r="B5067">
            <v>342637</v>
          </cell>
          <cell r="C5067" t="str">
            <v>OUTSIDE HIRING SERVICE</v>
          </cell>
        </row>
        <row r="5068">
          <cell r="A5068">
            <v>9689925</v>
          </cell>
          <cell r="B5068">
            <v>342637</v>
          </cell>
          <cell r="C5068" t="str">
            <v>OUTSIDE HIRING SERVICE</v>
          </cell>
        </row>
        <row r="5069">
          <cell r="A5069">
            <v>9689990</v>
          </cell>
          <cell r="B5069">
            <v>342637</v>
          </cell>
          <cell r="C5069" t="str">
            <v>OUTSIDE HIRING SERVICE</v>
          </cell>
        </row>
        <row r="5070">
          <cell r="A5070">
            <v>9689991</v>
          </cell>
          <cell r="B5070">
            <v>342637</v>
          </cell>
          <cell r="C5070" t="str">
            <v>OUTSIDE HIRING SERVICE</v>
          </cell>
        </row>
        <row r="5071">
          <cell r="A5071">
            <v>9689992</v>
          </cell>
          <cell r="B5071">
            <v>342637</v>
          </cell>
          <cell r="C5071" t="str">
            <v>OUTSIDE HIRING SERVICE</v>
          </cell>
        </row>
        <row r="5072">
          <cell r="A5072">
            <v>9689993</v>
          </cell>
          <cell r="B5072">
            <v>342637</v>
          </cell>
          <cell r="C5072" t="str">
            <v>OUTSIDE HIRING SERVICE</v>
          </cell>
        </row>
        <row r="5073">
          <cell r="A5073">
            <v>9689994</v>
          </cell>
          <cell r="B5073">
            <v>342637</v>
          </cell>
          <cell r="C5073" t="str">
            <v>OUTSIDE HIRING SERVICE</v>
          </cell>
        </row>
        <row r="5074">
          <cell r="A5074">
            <v>9969681</v>
          </cell>
          <cell r="B5074">
            <v>342637</v>
          </cell>
          <cell r="C5074" t="str">
            <v>OUTSIDE HIRING SERVICE</v>
          </cell>
        </row>
        <row r="5075">
          <cell r="A5075">
            <v>9969901</v>
          </cell>
          <cell r="B5075">
            <v>342637</v>
          </cell>
          <cell r="C5075" t="str">
            <v>OUTSIDE HIRING SERVICE</v>
          </cell>
        </row>
        <row r="5076">
          <cell r="A5076" t="str">
            <v>ZONE-0105-POST</v>
          </cell>
          <cell r="B5076">
            <v>342637</v>
          </cell>
          <cell r="C5076" t="str">
            <v>OUTSIDE HIRING SERVICE</v>
          </cell>
        </row>
        <row r="5077">
          <cell r="A5077" t="str">
            <v>ZONE-0112-POST</v>
          </cell>
          <cell r="B5077">
            <v>342637</v>
          </cell>
          <cell r="C5077" t="str">
            <v>OUTSIDE HIRING SERVICE</v>
          </cell>
        </row>
        <row r="5078">
          <cell r="A5078">
            <v>9090999</v>
          </cell>
          <cell r="B5078">
            <v>342638</v>
          </cell>
          <cell r="C5078" t="str">
            <v>TRAINING EXPENSES</v>
          </cell>
        </row>
        <row r="5079">
          <cell r="A5079">
            <v>9100999</v>
          </cell>
          <cell r="B5079">
            <v>342638</v>
          </cell>
          <cell r="C5079" t="str">
            <v>TRAINING EXPENSES</v>
          </cell>
        </row>
        <row r="5080">
          <cell r="A5080">
            <v>9720703</v>
          </cell>
          <cell r="B5080">
            <v>342638</v>
          </cell>
          <cell r="C5080" t="str">
            <v>TRAINING EXPENSES</v>
          </cell>
        </row>
        <row r="5081">
          <cell r="A5081">
            <v>9724718</v>
          </cell>
          <cell r="B5081">
            <v>342638</v>
          </cell>
          <cell r="C5081" t="str">
            <v>TRAINING EXPENSES</v>
          </cell>
        </row>
        <row r="5082">
          <cell r="A5082">
            <v>9724721</v>
          </cell>
          <cell r="B5082">
            <v>342638</v>
          </cell>
          <cell r="C5082" t="str">
            <v>TRAINING EXPENSES</v>
          </cell>
        </row>
        <row r="5083">
          <cell r="A5083">
            <v>9724724</v>
          </cell>
          <cell r="B5083">
            <v>342638</v>
          </cell>
          <cell r="C5083" t="str">
            <v>TRAINING EXPENSES</v>
          </cell>
        </row>
        <row r="5084">
          <cell r="A5084">
            <v>9725703</v>
          </cell>
          <cell r="B5084">
            <v>342638</v>
          </cell>
          <cell r="C5084" t="str">
            <v>TRAINING EXPENSES</v>
          </cell>
        </row>
        <row r="5085">
          <cell r="A5085">
            <v>9725704</v>
          </cell>
          <cell r="B5085">
            <v>342638</v>
          </cell>
          <cell r="C5085" t="str">
            <v>TRAINING EXPENSES</v>
          </cell>
        </row>
        <row r="5086">
          <cell r="A5086">
            <v>9725711</v>
          </cell>
          <cell r="B5086">
            <v>342638</v>
          </cell>
          <cell r="C5086" t="str">
            <v>TRAINING EXPENSES</v>
          </cell>
        </row>
        <row r="5087">
          <cell r="A5087">
            <v>9725717</v>
          </cell>
          <cell r="B5087">
            <v>342638</v>
          </cell>
          <cell r="C5087" t="str">
            <v>TRAINING EXPENSES</v>
          </cell>
        </row>
        <row r="5088">
          <cell r="A5088">
            <v>9725725</v>
          </cell>
          <cell r="B5088">
            <v>342638</v>
          </cell>
          <cell r="C5088" t="str">
            <v>TRAINING EXPENSES</v>
          </cell>
        </row>
        <row r="5089">
          <cell r="A5089">
            <v>9080999</v>
          </cell>
          <cell r="B5089">
            <v>342640</v>
          </cell>
          <cell r="C5089" t="str">
            <v>TAX CONSULTATION EXPENSE</v>
          </cell>
        </row>
        <row r="5090">
          <cell r="A5090">
            <v>9090999</v>
          </cell>
          <cell r="B5090">
            <v>342640</v>
          </cell>
          <cell r="C5090" t="str">
            <v>TAX CONSULTATION EXPENSE</v>
          </cell>
        </row>
        <row r="5091">
          <cell r="A5091">
            <v>9100999</v>
          </cell>
          <cell r="B5091">
            <v>342640</v>
          </cell>
          <cell r="C5091" t="str">
            <v>TAX CONSULTATION EXPENSE</v>
          </cell>
        </row>
        <row r="5092">
          <cell r="A5092">
            <v>9110999</v>
          </cell>
          <cell r="B5092">
            <v>342640</v>
          </cell>
          <cell r="C5092" t="str">
            <v>TAX CONSULTATION EXPENSE</v>
          </cell>
        </row>
        <row r="5093">
          <cell r="A5093">
            <v>9090999</v>
          </cell>
          <cell r="B5093">
            <v>342642</v>
          </cell>
          <cell r="C5093" t="str">
            <v>AUDITORS FEES AND SERVICE</v>
          </cell>
        </row>
        <row r="5094">
          <cell r="A5094">
            <v>9100999</v>
          </cell>
          <cell r="B5094">
            <v>342642</v>
          </cell>
          <cell r="C5094" t="str">
            <v>AUDITORS FEES AND SERVICE</v>
          </cell>
        </row>
        <row r="5095">
          <cell r="A5095">
            <v>9080700</v>
          </cell>
          <cell r="B5095">
            <v>342646</v>
          </cell>
          <cell r="C5095" t="str">
            <v>DESIGN SERVICES</v>
          </cell>
        </row>
        <row r="5096">
          <cell r="A5096">
            <v>9080701</v>
          </cell>
          <cell r="B5096">
            <v>342646</v>
          </cell>
          <cell r="C5096" t="str">
            <v>DESIGN SERVICES</v>
          </cell>
        </row>
        <row r="5097">
          <cell r="A5097">
            <v>9080702</v>
          </cell>
          <cell r="B5097">
            <v>342646</v>
          </cell>
          <cell r="C5097" t="str">
            <v>DESIGN SERVICES</v>
          </cell>
        </row>
        <row r="5098">
          <cell r="A5098">
            <v>9080705</v>
          </cell>
          <cell r="B5098">
            <v>342646</v>
          </cell>
          <cell r="C5098" t="str">
            <v>DESIGN SERVICES</v>
          </cell>
        </row>
        <row r="5099">
          <cell r="A5099">
            <v>9080707</v>
          </cell>
          <cell r="B5099">
            <v>342646</v>
          </cell>
          <cell r="C5099" t="str">
            <v>DESIGN SERVICES</v>
          </cell>
        </row>
        <row r="5100">
          <cell r="A5100">
            <v>9080710</v>
          </cell>
          <cell r="B5100">
            <v>342646</v>
          </cell>
          <cell r="C5100" t="str">
            <v>DESIGN SERVICES</v>
          </cell>
        </row>
        <row r="5101">
          <cell r="A5101">
            <v>9080999</v>
          </cell>
          <cell r="B5101">
            <v>342646</v>
          </cell>
          <cell r="C5101" t="str">
            <v>DESIGN SERVICES</v>
          </cell>
        </row>
        <row r="5102">
          <cell r="A5102">
            <v>9090999</v>
          </cell>
          <cell r="B5102">
            <v>342646</v>
          </cell>
          <cell r="C5102" t="str">
            <v>DESIGN SERVICES</v>
          </cell>
        </row>
        <row r="5103">
          <cell r="A5103">
            <v>9100999</v>
          </cell>
          <cell r="B5103">
            <v>342646</v>
          </cell>
          <cell r="C5103" t="str">
            <v>DESIGN SERVICES</v>
          </cell>
        </row>
        <row r="5104">
          <cell r="A5104">
            <v>9110700</v>
          </cell>
          <cell r="B5104">
            <v>342646</v>
          </cell>
          <cell r="C5104" t="str">
            <v>DESIGN SERVICES</v>
          </cell>
        </row>
        <row r="5105">
          <cell r="A5105">
            <v>9110702</v>
          </cell>
          <cell r="B5105">
            <v>342646</v>
          </cell>
          <cell r="C5105" t="str">
            <v>DESIGN SERVICES</v>
          </cell>
        </row>
        <row r="5106">
          <cell r="A5106">
            <v>9110705</v>
          </cell>
          <cell r="B5106">
            <v>342646</v>
          </cell>
          <cell r="C5106" t="str">
            <v>DESIGN SERVICES</v>
          </cell>
        </row>
        <row r="5107">
          <cell r="A5107">
            <v>9110707</v>
          </cell>
          <cell r="B5107">
            <v>342646</v>
          </cell>
          <cell r="C5107" t="str">
            <v>DESIGN SERVICES</v>
          </cell>
        </row>
        <row r="5108">
          <cell r="A5108">
            <v>9110999</v>
          </cell>
          <cell r="B5108">
            <v>342646</v>
          </cell>
          <cell r="C5108" t="str">
            <v>DESIGN SERVICES</v>
          </cell>
        </row>
        <row r="5109">
          <cell r="A5109">
            <v>9680700</v>
          </cell>
          <cell r="B5109">
            <v>342646</v>
          </cell>
          <cell r="C5109" t="str">
            <v>DESIGN SERVICES</v>
          </cell>
        </row>
        <row r="5110">
          <cell r="A5110">
            <v>9680701</v>
          </cell>
          <cell r="B5110">
            <v>342646</v>
          </cell>
          <cell r="C5110" t="str">
            <v>DESIGN SERVICES</v>
          </cell>
        </row>
        <row r="5111">
          <cell r="A5111">
            <v>9680702</v>
          </cell>
          <cell r="B5111">
            <v>342646</v>
          </cell>
          <cell r="C5111" t="str">
            <v>DESIGN SERVICES</v>
          </cell>
        </row>
        <row r="5112">
          <cell r="A5112">
            <v>9680705</v>
          </cell>
          <cell r="B5112">
            <v>342646</v>
          </cell>
          <cell r="C5112" t="str">
            <v>DESIGN SERVICES</v>
          </cell>
        </row>
        <row r="5113">
          <cell r="A5113">
            <v>9680707</v>
          </cell>
          <cell r="B5113">
            <v>342646</v>
          </cell>
          <cell r="C5113" t="str">
            <v>DESIGN SERVICES</v>
          </cell>
        </row>
        <row r="5114">
          <cell r="A5114">
            <v>9680710</v>
          </cell>
          <cell r="B5114">
            <v>342646</v>
          </cell>
          <cell r="C5114" t="str">
            <v>DESIGN SERVICES</v>
          </cell>
        </row>
        <row r="5115">
          <cell r="A5115">
            <v>9680712</v>
          </cell>
          <cell r="B5115">
            <v>342646</v>
          </cell>
          <cell r="C5115" t="str">
            <v>DESIGN SERVICES</v>
          </cell>
        </row>
        <row r="5116">
          <cell r="A5116">
            <v>9680714</v>
          </cell>
          <cell r="B5116">
            <v>342646</v>
          </cell>
          <cell r="C5116" t="str">
            <v>DESIGN SERVICES</v>
          </cell>
        </row>
        <row r="5117">
          <cell r="A5117">
            <v>9680734</v>
          </cell>
          <cell r="B5117">
            <v>342646</v>
          </cell>
          <cell r="C5117" t="str">
            <v>DESIGN SERVICES</v>
          </cell>
        </row>
        <row r="5118">
          <cell r="A5118">
            <v>9680748</v>
          </cell>
          <cell r="B5118">
            <v>342646</v>
          </cell>
          <cell r="C5118" t="str">
            <v>DESIGN SERVICES</v>
          </cell>
        </row>
        <row r="5119">
          <cell r="A5119">
            <v>9680749</v>
          </cell>
          <cell r="B5119">
            <v>342646</v>
          </cell>
          <cell r="C5119" t="str">
            <v>DESIGN SERVICES</v>
          </cell>
        </row>
        <row r="5120">
          <cell r="A5120">
            <v>9680894</v>
          </cell>
          <cell r="B5120">
            <v>342646</v>
          </cell>
          <cell r="C5120" t="str">
            <v>DESIGN SERVICES</v>
          </cell>
        </row>
        <row r="5121">
          <cell r="A5121">
            <v>9680999</v>
          </cell>
          <cell r="B5121">
            <v>342646</v>
          </cell>
          <cell r="C5121" t="str">
            <v>DESIGN SERVICES</v>
          </cell>
        </row>
        <row r="5122">
          <cell r="A5122">
            <v>9681700</v>
          </cell>
          <cell r="B5122">
            <v>342646</v>
          </cell>
          <cell r="C5122" t="str">
            <v>DESIGN SERVICES</v>
          </cell>
        </row>
        <row r="5123">
          <cell r="A5123">
            <v>9681701</v>
          </cell>
          <cell r="B5123">
            <v>342646</v>
          </cell>
          <cell r="C5123" t="str">
            <v>DESIGN SERVICES</v>
          </cell>
        </row>
        <row r="5124">
          <cell r="A5124">
            <v>9681702</v>
          </cell>
          <cell r="B5124">
            <v>342646</v>
          </cell>
          <cell r="C5124" t="str">
            <v>DESIGN SERVICES</v>
          </cell>
        </row>
        <row r="5125">
          <cell r="A5125">
            <v>9681705</v>
          </cell>
          <cell r="B5125">
            <v>342646</v>
          </cell>
          <cell r="C5125" t="str">
            <v>DESIGN SERVICES</v>
          </cell>
        </row>
        <row r="5126">
          <cell r="A5126">
            <v>9681706</v>
          </cell>
          <cell r="B5126">
            <v>342646</v>
          </cell>
          <cell r="C5126" t="str">
            <v>DESIGN SERVICES</v>
          </cell>
        </row>
        <row r="5127">
          <cell r="A5127">
            <v>9681707</v>
          </cell>
          <cell r="B5127">
            <v>342646</v>
          </cell>
          <cell r="C5127" t="str">
            <v>DESIGN SERVICES</v>
          </cell>
        </row>
        <row r="5128">
          <cell r="A5128">
            <v>9681710</v>
          </cell>
          <cell r="B5128">
            <v>342646</v>
          </cell>
          <cell r="C5128" t="str">
            <v>DESIGN SERVICES</v>
          </cell>
        </row>
        <row r="5129">
          <cell r="A5129">
            <v>9681712</v>
          </cell>
          <cell r="B5129">
            <v>342646</v>
          </cell>
          <cell r="C5129" t="str">
            <v>DESIGN SERVICES</v>
          </cell>
        </row>
        <row r="5130">
          <cell r="A5130">
            <v>9681727</v>
          </cell>
          <cell r="B5130">
            <v>342646</v>
          </cell>
          <cell r="C5130" t="str">
            <v>DESIGN SERVICES</v>
          </cell>
        </row>
        <row r="5131">
          <cell r="A5131">
            <v>9681734</v>
          </cell>
          <cell r="B5131">
            <v>342646</v>
          </cell>
          <cell r="C5131" t="str">
            <v>DESIGN SERVICES</v>
          </cell>
        </row>
        <row r="5132">
          <cell r="A5132">
            <v>9681748</v>
          </cell>
          <cell r="B5132">
            <v>342646</v>
          </cell>
          <cell r="C5132" t="str">
            <v>DESIGN SERVICES</v>
          </cell>
        </row>
        <row r="5133">
          <cell r="A5133">
            <v>9681749</v>
          </cell>
          <cell r="B5133">
            <v>342646</v>
          </cell>
          <cell r="C5133" t="str">
            <v>DESIGN SERVICES</v>
          </cell>
        </row>
        <row r="5134">
          <cell r="A5134">
            <v>9681894</v>
          </cell>
          <cell r="B5134">
            <v>342646</v>
          </cell>
          <cell r="C5134" t="str">
            <v>DESIGN SERVICES</v>
          </cell>
        </row>
        <row r="5135">
          <cell r="A5135">
            <v>9681999</v>
          </cell>
          <cell r="B5135">
            <v>342646</v>
          </cell>
          <cell r="C5135" t="str">
            <v>DESIGN SERVICES</v>
          </cell>
        </row>
        <row r="5136">
          <cell r="A5136">
            <v>9682715</v>
          </cell>
          <cell r="B5136">
            <v>342646</v>
          </cell>
          <cell r="C5136" t="str">
            <v>DESIGN SERVICES</v>
          </cell>
        </row>
        <row r="5137">
          <cell r="A5137">
            <v>9682722</v>
          </cell>
          <cell r="B5137">
            <v>342646</v>
          </cell>
          <cell r="C5137" t="str">
            <v>DESIGN SERVICES</v>
          </cell>
        </row>
        <row r="5138">
          <cell r="A5138">
            <v>9682999</v>
          </cell>
          <cell r="B5138">
            <v>342646</v>
          </cell>
          <cell r="C5138" t="str">
            <v>DESIGN SERVICES</v>
          </cell>
        </row>
        <row r="5139">
          <cell r="A5139">
            <v>9683999</v>
          </cell>
          <cell r="B5139">
            <v>342646</v>
          </cell>
          <cell r="C5139" t="str">
            <v>DESIGN SERVICES</v>
          </cell>
        </row>
        <row r="5140">
          <cell r="A5140">
            <v>9689692</v>
          </cell>
          <cell r="B5140">
            <v>342646</v>
          </cell>
          <cell r="C5140" t="str">
            <v>DESIGN SERVICES</v>
          </cell>
        </row>
        <row r="5141">
          <cell r="A5141">
            <v>9689747</v>
          </cell>
          <cell r="B5141">
            <v>342646</v>
          </cell>
          <cell r="C5141" t="str">
            <v>DESIGN SERVICES</v>
          </cell>
        </row>
        <row r="5142">
          <cell r="A5142">
            <v>9689890</v>
          </cell>
          <cell r="B5142">
            <v>342646</v>
          </cell>
          <cell r="C5142" t="str">
            <v>DESIGN SERVICES</v>
          </cell>
        </row>
        <row r="5143">
          <cell r="A5143">
            <v>9689925</v>
          </cell>
          <cell r="B5143">
            <v>342646</v>
          </cell>
          <cell r="C5143" t="str">
            <v>DESIGN SERVICES</v>
          </cell>
        </row>
        <row r="5144">
          <cell r="A5144">
            <v>9689990</v>
          </cell>
          <cell r="B5144">
            <v>342646</v>
          </cell>
          <cell r="C5144" t="str">
            <v>DESIGN SERVICES</v>
          </cell>
        </row>
        <row r="5145">
          <cell r="A5145">
            <v>9689993</v>
          </cell>
          <cell r="B5145">
            <v>342646</v>
          </cell>
          <cell r="C5145" t="str">
            <v>DESIGN SERVICES</v>
          </cell>
        </row>
        <row r="5146">
          <cell r="A5146">
            <v>9720703</v>
          </cell>
          <cell r="B5146">
            <v>342646</v>
          </cell>
          <cell r="C5146" t="str">
            <v>DESIGN SERVICES</v>
          </cell>
        </row>
        <row r="5147">
          <cell r="A5147">
            <v>9722709</v>
          </cell>
          <cell r="B5147">
            <v>342646</v>
          </cell>
          <cell r="C5147" t="str">
            <v>DESIGN SERVICES</v>
          </cell>
        </row>
        <row r="5148">
          <cell r="A5148">
            <v>9722713</v>
          </cell>
          <cell r="B5148">
            <v>342646</v>
          </cell>
          <cell r="C5148" t="str">
            <v>DESIGN SERVICES</v>
          </cell>
        </row>
        <row r="5149">
          <cell r="A5149">
            <v>9723723</v>
          </cell>
          <cell r="B5149">
            <v>342646</v>
          </cell>
          <cell r="C5149" t="str">
            <v>DESIGN SERVICES</v>
          </cell>
        </row>
        <row r="5150">
          <cell r="A5150">
            <v>9723729</v>
          </cell>
          <cell r="B5150">
            <v>342646</v>
          </cell>
          <cell r="C5150" t="str">
            <v>DESIGN SERVICES</v>
          </cell>
        </row>
        <row r="5151">
          <cell r="A5151">
            <v>9724718</v>
          </cell>
          <cell r="B5151">
            <v>342646</v>
          </cell>
          <cell r="C5151" t="str">
            <v>DESIGN SERVICES</v>
          </cell>
        </row>
        <row r="5152">
          <cell r="A5152">
            <v>9724721</v>
          </cell>
          <cell r="B5152">
            <v>342646</v>
          </cell>
          <cell r="C5152" t="str">
            <v>DESIGN SERVICES</v>
          </cell>
        </row>
        <row r="5153">
          <cell r="A5153">
            <v>9724724</v>
          </cell>
          <cell r="B5153">
            <v>342646</v>
          </cell>
          <cell r="C5153" t="str">
            <v>DESIGN SERVICES</v>
          </cell>
        </row>
        <row r="5154">
          <cell r="A5154">
            <v>9725703</v>
          </cell>
          <cell r="B5154">
            <v>342646</v>
          </cell>
          <cell r="C5154" t="str">
            <v>DESIGN SERVICES</v>
          </cell>
        </row>
        <row r="5155">
          <cell r="A5155">
            <v>9725704</v>
          </cell>
          <cell r="B5155">
            <v>342646</v>
          </cell>
          <cell r="C5155" t="str">
            <v>DESIGN SERVICES</v>
          </cell>
        </row>
        <row r="5156">
          <cell r="A5156">
            <v>9725711</v>
          </cell>
          <cell r="B5156">
            <v>342646</v>
          </cell>
          <cell r="C5156" t="str">
            <v>DESIGN SERVICES</v>
          </cell>
        </row>
        <row r="5157">
          <cell r="A5157">
            <v>9725717</v>
          </cell>
          <cell r="B5157">
            <v>342646</v>
          </cell>
          <cell r="C5157" t="str">
            <v>DESIGN SERVICES</v>
          </cell>
        </row>
        <row r="5158">
          <cell r="A5158">
            <v>9725725</v>
          </cell>
          <cell r="B5158">
            <v>342646</v>
          </cell>
          <cell r="C5158" t="str">
            <v>DESIGN SERVICES</v>
          </cell>
        </row>
        <row r="5159">
          <cell r="A5159">
            <v>9080700</v>
          </cell>
          <cell r="B5159">
            <v>342647</v>
          </cell>
          <cell r="C5159" t="str">
            <v>MARKET RESEARCH INVESTIGATOR</v>
          </cell>
        </row>
        <row r="5160">
          <cell r="A5160">
            <v>9080701</v>
          </cell>
          <cell r="B5160">
            <v>342647</v>
          </cell>
          <cell r="C5160" t="str">
            <v>MARKET RESEARCH INVESTIGATOR</v>
          </cell>
        </row>
        <row r="5161">
          <cell r="A5161">
            <v>9080702</v>
          </cell>
          <cell r="B5161">
            <v>342647</v>
          </cell>
          <cell r="C5161" t="str">
            <v>MARKET RESEARCH INVESTIGATOR</v>
          </cell>
        </row>
        <row r="5162">
          <cell r="A5162">
            <v>9080705</v>
          </cell>
          <cell r="B5162">
            <v>342647</v>
          </cell>
          <cell r="C5162" t="str">
            <v>MARKET RESEARCH INVESTIGATOR</v>
          </cell>
        </row>
        <row r="5163">
          <cell r="A5163">
            <v>9080707</v>
          </cell>
          <cell r="B5163">
            <v>342647</v>
          </cell>
          <cell r="C5163" t="str">
            <v>MARKET RESEARCH INVESTIGATOR</v>
          </cell>
        </row>
        <row r="5164">
          <cell r="A5164">
            <v>9080710</v>
          </cell>
          <cell r="B5164">
            <v>342647</v>
          </cell>
          <cell r="C5164" t="str">
            <v>MARKET RESEARCH INVESTIGATOR</v>
          </cell>
        </row>
        <row r="5165">
          <cell r="A5165">
            <v>9080999</v>
          </cell>
          <cell r="B5165">
            <v>342647</v>
          </cell>
          <cell r="C5165" t="str">
            <v>MARKET RESEARCH INVESTIGATOR</v>
          </cell>
        </row>
        <row r="5166">
          <cell r="A5166">
            <v>9110700</v>
          </cell>
          <cell r="B5166">
            <v>342647</v>
          </cell>
          <cell r="C5166" t="str">
            <v>MARKET RESEARCH INVESTIGATOR</v>
          </cell>
        </row>
        <row r="5167">
          <cell r="A5167">
            <v>9110702</v>
          </cell>
          <cell r="B5167">
            <v>342647</v>
          </cell>
          <cell r="C5167" t="str">
            <v>MARKET RESEARCH INVESTIGATOR</v>
          </cell>
        </row>
        <row r="5168">
          <cell r="A5168">
            <v>9110705</v>
          </cell>
          <cell r="B5168">
            <v>342647</v>
          </cell>
          <cell r="C5168" t="str">
            <v>MARKET RESEARCH INVESTIGATOR</v>
          </cell>
        </row>
        <row r="5169">
          <cell r="A5169">
            <v>9110707</v>
          </cell>
          <cell r="B5169">
            <v>342647</v>
          </cell>
          <cell r="C5169" t="str">
            <v>MARKET RESEARCH INVESTIGATOR</v>
          </cell>
        </row>
        <row r="5170">
          <cell r="A5170">
            <v>9110999</v>
          </cell>
          <cell r="B5170">
            <v>342647</v>
          </cell>
          <cell r="C5170" t="str">
            <v>MARKET RESEARCH INVESTIGATOR</v>
          </cell>
        </row>
        <row r="5171">
          <cell r="A5171">
            <v>9681700</v>
          </cell>
          <cell r="B5171">
            <v>342647</v>
          </cell>
          <cell r="C5171" t="str">
            <v>MARKET RESEARCH INVESTIGATOR</v>
          </cell>
        </row>
        <row r="5172">
          <cell r="A5172">
            <v>9681701</v>
          </cell>
          <cell r="B5172">
            <v>342647</v>
          </cell>
          <cell r="C5172" t="str">
            <v>MARKET RESEARCH INVESTIGATOR</v>
          </cell>
        </row>
        <row r="5173">
          <cell r="A5173">
            <v>9681702</v>
          </cell>
          <cell r="B5173">
            <v>342647</v>
          </cell>
          <cell r="C5173" t="str">
            <v>MARKET RESEARCH INVESTIGATOR</v>
          </cell>
        </row>
        <row r="5174">
          <cell r="A5174">
            <v>9681705</v>
          </cell>
          <cell r="B5174">
            <v>342647</v>
          </cell>
          <cell r="C5174" t="str">
            <v>MARKET RESEARCH INVESTIGATOR</v>
          </cell>
        </row>
        <row r="5175">
          <cell r="A5175">
            <v>9681706</v>
          </cell>
          <cell r="B5175">
            <v>342647</v>
          </cell>
          <cell r="C5175" t="str">
            <v>MARKET RESEARCH INVESTIGATOR</v>
          </cell>
        </row>
        <row r="5176">
          <cell r="A5176">
            <v>9681707</v>
          </cell>
          <cell r="B5176">
            <v>342647</v>
          </cell>
          <cell r="C5176" t="str">
            <v>MARKET RESEARCH INVESTIGATOR</v>
          </cell>
        </row>
        <row r="5177">
          <cell r="A5177">
            <v>9681712</v>
          </cell>
          <cell r="B5177">
            <v>342647</v>
          </cell>
          <cell r="C5177" t="str">
            <v>MARKET RESEARCH INVESTIGATOR</v>
          </cell>
        </row>
        <row r="5178">
          <cell r="A5178">
            <v>9681727</v>
          </cell>
          <cell r="B5178">
            <v>342647</v>
          </cell>
          <cell r="C5178" t="str">
            <v>MARKET RESEARCH INVESTIGATOR</v>
          </cell>
        </row>
        <row r="5179">
          <cell r="A5179">
            <v>9681749</v>
          </cell>
          <cell r="B5179">
            <v>342647</v>
          </cell>
          <cell r="C5179" t="str">
            <v>MARKET RESEARCH INVESTIGATOR</v>
          </cell>
        </row>
        <row r="5180">
          <cell r="A5180">
            <v>9681999</v>
          </cell>
          <cell r="B5180">
            <v>342647</v>
          </cell>
          <cell r="C5180" t="str">
            <v>MARKET RESEARCH INVESTIGATOR</v>
          </cell>
        </row>
        <row r="5181">
          <cell r="A5181">
            <v>9682715</v>
          </cell>
          <cell r="B5181">
            <v>342647</v>
          </cell>
          <cell r="C5181" t="str">
            <v>MARKET RESEARCH INVESTIGATOR</v>
          </cell>
        </row>
        <row r="5182">
          <cell r="A5182">
            <v>9689994</v>
          </cell>
          <cell r="B5182">
            <v>342647</v>
          </cell>
          <cell r="C5182" t="str">
            <v>MARKET RESEARCH INVESTIGATOR</v>
          </cell>
        </row>
        <row r="5183">
          <cell r="A5183">
            <v>9090999</v>
          </cell>
          <cell r="B5183">
            <v>342649</v>
          </cell>
          <cell r="C5183" t="str">
            <v>FILING FEES -SEC &amp; OTHER AGENCIES</v>
          </cell>
        </row>
        <row r="5184">
          <cell r="A5184">
            <v>9100999</v>
          </cell>
          <cell r="B5184">
            <v>342649</v>
          </cell>
          <cell r="C5184" t="str">
            <v>FILING FEES -SEC &amp; OTHER AGENCIES</v>
          </cell>
        </row>
        <row r="5185">
          <cell r="A5185">
            <v>9689991</v>
          </cell>
          <cell r="B5185">
            <v>342649</v>
          </cell>
          <cell r="C5185" t="str">
            <v>FILING FEES -SEC &amp; OTHER AGENCIES</v>
          </cell>
        </row>
        <row r="5186">
          <cell r="A5186">
            <v>9681710</v>
          </cell>
          <cell r="B5186">
            <v>342657</v>
          </cell>
          <cell r="C5186" t="str">
            <v>PROGRAMMER/SOFTWARE SERVICES</v>
          </cell>
        </row>
        <row r="5187">
          <cell r="A5187">
            <v>9681999</v>
          </cell>
          <cell r="B5187">
            <v>342657</v>
          </cell>
          <cell r="C5187" t="str">
            <v>PROGRAMMER/SOFTWARE SERVICES</v>
          </cell>
        </row>
        <row r="5188">
          <cell r="A5188">
            <v>9689991</v>
          </cell>
          <cell r="B5188">
            <v>342657</v>
          </cell>
          <cell r="C5188" t="str">
            <v>PROGRAMMER/SOFTWARE SERVICES</v>
          </cell>
        </row>
        <row r="5189">
          <cell r="A5189">
            <v>9080700</v>
          </cell>
          <cell r="B5189">
            <v>342660</v>
          </cell>
          <cell r="C5189" t="str">
            <v>FACILITY MOVING EXPENSE</v>
          </cell>
        </row>
        <row r="5190">
          <cell r="A5190">
            <v>9080701</v>
          </cell>
          <cell r="B5190">
            <v>342660</v>
          </cell>
          <cell r="C5190" t="str">
            <v>FACILITY MOVING EXPENSE</v>
          </cell>
        </row>
        <row r="5191">
          <cell r="A5191">
            <v>9080702</v>
          </cell>
          <cell r="B5191">
            <v>342660</v>
          </cell>
          <cell r="C5191" t="str">
            <v>FACILITY MOVING EXPENSE</v>
          </cell>
        </row>
        <row r="5192">
          <cell r="A5192">
            <v>9080705</v>
          </cell>
          <cell r="B5192">
            <v>342660</v>
          </cell>
          <cell r="C5192" t="str">
            <v>FACILITY MOVING EXPENSE</v>
          </cell>
        </row>
        <row r="5193">
          <cell r="A5193">
            <v>9080707</v>
          </cell>
          <cell r="B5193">
            <v>342660</v>
          </cell>
          <cell r="C5193" t="str">
            <v>FACILITY MOVING EXPENSE</v>
          </cell>
        </row>
        <row r="5194">
          <cell r="A5194">
            <v>9080710</v>
          </cell>
          <cell r="B5194">
            <v>342660</v>
          </cell>
          <cell r="C5194" t="str">
            <v>FACILITY MOVING EXPENSE</v>
          </cell>
        </row>
        <row r="5195">
          <cell r="A5195">
            <v>9090999</v>
          </cell>
          <cell r="B5195">
            <v>342660</v>
          </cell>
          <cell r="C5195" t="str">
            <v>FACILITY MOVING EXPENSE</v>
          </cell>
        </row>
        <row r="5196">
          <cell r="A5196">
            <v>9100999</v>
          </cell>
          <cell r="B5196">
            <v>342660</v>
          </cell>
          <cell r="C5196" t="str">
            <v>FACILITY MOVING EXPENSE</v>
          </cell>
        </row>
        <row r="5197">
          <cell r="A5197">
            <v>9110700</v>
          </cell>
          <cell r="B5197">
            <v>342660</v>
          </cell>
          <cell r="C5197" t="str">
            <v>FACILITY MOVING EXPENSE</v>
          </cell>
        </row>
        <row r="5198">
          <cell r="A5198">
            <v>9110702</v>
          </cell>
          <cell r="B5198">
            <v>342660</v>
          </cell>
          <cell r="C5198" t="str">
            <v>FACILITY MOVING EXPENSE</v>
          </cell>
        </row>
        <row r="5199">
          <cell r="A5199">
            <v>9110705</v>
          </cell>
          <cell r="B5199">
            <v>342660</v>
          </cell>
          <cell r="C5199" t="str">
            <v>FACILITY MOVING EXPENSE</v>
          </cell>
        </row>
        <row r="5200">
          <cell r="A5200">
            <v>9110707</v>
          </cell>
          <cell r="B5200">
            <v>342660</v>
          </cell>
          <cell r="C5200" t="str">
            <v>FACILITY MOVING EXPENSE</v>
          </cell>
        </row>
        <row r="5201">
          <cell r="A5201">
            <v>9680700</v>
          </cell>
          <cell r="B5201">
            <v>342660</v>
          </cell>
          <cell r="C5201" t="str">
            <v>FACILITY MOVING EXPENSE</v>
          </cell>
        </row>
        <row r="5202">
          <cell r="A5202">
            <v>9680701</v>
          </cell>
          <cell r="B5202">
            <v>342660</v>
          </cell>
          <cell r="C5202" t="str">
            <v>FACILITY MOVING EXPENSE</v>
          </cell>
        </row>
        <row r="5203">
          <cell r="A5203">
            <v>9680702</v>
          </cell>
          <cell r="B5203">
            <v>342660</v>
          </cell>
          <cell r="C5203" t="str">
            <v>FACILITY MOVING EXPENSE</v>
          </cell>
        </row>
        <row r="5204">
          <cell r="A5204">
            <v>9680705</v>
          </cell>
          <cell r="B5204">
            <v>342660</v>
          </cell>
          <cell r="C5204" t="str">
            <v>FACILITY MOVING EXPENSE</v>
          </cell>
        </row>
        <row r="5205">
          <cell r="A5205">
            <v>9680707</v>
          </cell>
          <cell r="B5205">
            <v>342660</v>
          </cell>
          <cell r="C5205" t="str">
            <v>FACILITY MOVING EXPENSE</v>
          </cell>
        </row>
        <row r="5206">
          <cell r="A5206">
            <v>9680710</v>
          </cell>
          <cell r="B5206">
            <v>342660</v>
          </cell>
          <cell r="C5206" t="str">
            <v>FACILITY MOVING EXPENSE</v>
          </cell>
        </row>
        <row r="5207">
          <cell r="A5207">
            <v>9680712</v>
          </cell>
          <cell r="B5207">
            <v>342660</v>
          </cell>
          <cell r="C5207" t="str">
            <v>FACILITY MOVING EXPENSE</v>
          </cell>
        </row>
        <row r="5208">
          <cell r="A5208">
            <v>9680714</v>
          </cell>
          <cell r="B5208">
            <v>342660</v>
          </cell>
          <cell r="C5208" t="str">
            <v>FACILITY MOVING EXPENSE</v>
          </cell>
        </row>
        <row r="5209">
          <cell r="A5209">
            <v>9680734</v>
          </cell>
          <cell r="B5209">
            <v>342660</v>
          </cell>
          <cell r="C5209" t="str">
            <v>FACILITY MOVING EXPENSE</v>
          </cell>
        </row>
        <row r="5210">
          <cell r="A5210">
            <v>9680748</v>
          </cell>
          <cell r="B5210">
            <v>342660</v>
          </cell>
          <cell r="C5210" t="str">
            <v>FACILITY MOVING EXPENSE</v>
          </cell>
        </row>
        <row r="5211">
          <cell r="A5211">
            <v>9680749</v>
          </cell>
          <cell r="B5211">
            <v>342660</v>
          </cell>
          <cell r="C5211" t="str">
            <v>FACILITY MOVING EXPENSE</v>
          </cell>
        </row>
        <row r="5212">
          <cell r="A5212">
            <v>9680894</v>
          </cell>
          <cell r="B5212">
            <v>342660</v>
          </cell>
          <cell r="C5212" t="str">
            <v>FACILITY MOVING EXPENSE</v>
          </cell>
        </row>
        <row r="5213">
          <cell r="A5213">
            <v>9680999</v>
          </cell>
          <cell r="B5213">
            <v>342660</v>
          </cell>
          <cell r="C5213" t="str">
            <v>FACILITY MOVING EXPENSE</v>
          </cell>
        </row>
        <row r="5214">
          <cell r="A5214">
            <v>9681700</v>
          </cell>
          <cell r="B5214">
            <v>342660</v>
          </cell>
          <cell r="C5214" t="str">
            <v>FACILITY MOVING EXPENSE</v>
          </cell>
        </row>
        <row r="5215">
          <cell r="A5215">
            <v>9681701</v>
          </cell>
          <cell r="B5215">
            <v>342660</v>
          </cell>
          <cell r="C5215" t="str">
            <v>FACILITY MOVING EXPENSE</v>
          </cell>
        </row>
        <row r="5216">
          <cell r="A5216">
            <v>9681702</v>
          </cell>
          <cell r="B5216">
            <v>342660</v>
          </cell>
          <cell r="C5216" t="str">
            <v>FACILITY MOVING EXPENSE</v>
          </cell>
        </row>
        <row r="5217">
          <cell r="A5217">
            <v>9681705</v>
          </cell>
          <cell r="B5217">
            <v>342660</v>
          </cell>
          <cell r="C5217" t="str">
            <v>FACILITY MOVING EXPENSE</v>
          </cell>
        </row>
        <row r="5218">
          <cell r="A5218">
            <v>9681706</v>
          </cell>
          <cell r="B5218">
            <v>342660</v>
          </cell>
          <cell r="C5218" t="str">
            <v>FACILITY MOVING EXPENSE</v>
          </cell>
        </row>
        <row r="5219">
          <cell r="A5219">
            <v>9681707</v>
          </cell>
          <cell r="B5219">
            <v>342660</v>
          </cell>
          <cell r="C5219" t="str">
            <v>FACILITY MOVING EXPENSE</v>
          </cell>
        </row>
        <row r="5220">
          <cell r="A5220">
            <v>9681710</v>
          </cell>
          <cell r="B5220">
            <v>342660</v>
          </cell>
          <cell r="C5220" t="str">
            <v>FACILITY MOVING EXPENSE</v>
          </cell>
        </row>
        <row r="5221">
          <cell r="A5221">
            <v>9681712</v>
          </cell>
          <cell r="B5221">
            <v>342660</v>
          </cell>
          <cell r="C5221" t="str">
            <v>FACILITY MOVING EXPENSE</v>
          </cell>
        </row>
        <row r="5222">
          <cell r="A5222">
            <v>9681727</v>
          </cell>
          <cell r="B5222">
            <v>342660</v>
          </cell>
          <cell r="C5222" t="str">
            <v>FACILITY MOVING EXPENSE</v>
          </cell>
        </row>
        <row r="5223">
          <cell r="A5223">
            <v>9681734</v>
          </cell>
          <cell r="B5223">
            <v>342660</v>
          </cell>
          <cell r="C5223" t="str">
            <v>FACILITY MOVING EXPENSE</v>
          </cell>
        </row>
        <row r="5224">
          <cell r="A5224">
            <v>9681748</v>
          </cell>
          <cell r="B5224">
            <v>342660</v>
          </cell>
          <cell r="C5224" t="str">
            <v>FACILITY MOVING EXPENSE</v>
          </cell>
        </row>
        <row r="5225">
          <cell r="A5225">
            <v>9681749</v>
          </cell>
          <cell r="B5225">
            <v>342660</v>
          </cell>
          <cell r="C5225" t="str">
            <v>FACILITY MOVING EXPENSE</v>
          </cell>
        </row>
        <row r="5226">
          <cell r="A5226">
            <v>9681894</v>
          </cell>
          <cell r="B5226">
            <v>342660</v>
          </cell>
          <cell r="C5226" t="str">
            <v>FACILITY MOVING EXPENSE</v>
          </cell>
        </row>
        <row r="5227">
          <cell r="A5227">
            <v>9681999</v>
          </cell>
          <cell r="B5227">
            <v>342660</v>
          </cell>
          <cell r="C5227" t="str">
            <v>FACILITY MOVING EXPENSE</v>
          </cell>
        </row>
        <row r="5228">
          <cell r="A5228">
            <v>9682715</v>
          </cell>
          <cell r="B5228">
            <v>342660</v>
          </cell>
          <cell r="C5228" t="str">
            <v>FACILITY MOVING EXPENSE</v>
          </cell>
        </row>
        <row r="5229">
          <cell r="A5229">
            <v>9682722</v>
          </cell>
          <cell r="B5229">
            <v>342660</v>
          </cell>
          <cell r="C5229" t="str">
            <v>FACILITY MOVING EXPENSE</v>
          </cell>
        </row>
        <row r="5230">
          <cell r="A5230">
            <v>9682999</v>
          </cell>
          <cell r="B5230">
            <v>342660</v>
          </cell>
          <cell r="C5230" t="str">
            <v>FACILITY MOVING EXPENSE</v>
          </cell>
        </row>
        <row r="5231">
          <cell r="A5231">
            <v>9683999</v>
          </cell>
          <cell r="B5231">
            <v>342660</v>
          </cell>
          <cell r="C5231" t="str">
            <v>FACILITY MOVING EXPENSE</v>
          </cell>
        </row>
        <row r="5232">
          <cell r="A5232">
            <v>9684999</v>
          </cell>
          <cell r="B5232">
            <v>342660</v>
          </cell>
          <cell r="C5232" t="str">
            <v>FACILITY MOVING EXPENSE</v>
          </cell>
        </row>
        <row r="5233">
          <cell r="A5233">
            <v>9685999</v>
          </cell>
          <cell r="B5233">
            <v>342660</v>
          </cell>
          <cell r="C5233" t="str">
            <v>FACILITY MOVING EXPENSE</v>
          </cell>
        </row>
        <row r="5234">
          <cell r="A5234">
            <v>9689692</v>
          </cell>
          <cell r="B5234">
            <v>342660</v>
          </cell>
          <cell r="C5234" t="str">
            <v>FACILITY MOVING EXPENSE</v>
          </cell>
        </row>
        <row r="5235">
          <cell r="A5235">
            <v>9689747</v>
          </cell>
          <cell r="B5235">
            <v>342660</v>
          </cell>
          <cell r="C5235" t="str">
            <v>FACILITY MOVING EXPENSE</v>
          </cell>
        </row>
        <row r="5236">
          <cell r="A5236">
            <v>9689883</v>
          </cell>
          <cell r="B5236">
            <v>342660</v>
          </cell>
          <cell r="C5236" t="str">
            <v>FACILITY MOVING EXPENSE</v>
          </cell>
        </row>
        <row r="5237">
          <cell r="A5237">
            <v>9689890</v>
          </cell>
          <cell r="B5237">
            <v>342660</v>
          </cell>
          <cell r="C5237" t="str">
            <v>FACILITY MOVING EXPENSE</v>
          </cell>
        </row>
        <row r="5238">
          <cell r="A5238">
            <v>9689906</v>
          </cell>
          <cell r="B5238">
            <v>342660</v>
          </cell>
          <cell r="C5238" t="str">
            <v>FACILITY MOVING EXPENSE</v>
          </cell>
        </row>
        <row r="5239">
          <cell r="A5239">
            <v>9689925</v>
          </cell>
          <cell r="B5239">
            <v>342660</v>
          </cell>
          <cell r="C5239" t="str">
            <v>FACILITY MOVING EXPENSE</v>
          </cell>
        </row>
        <row r="5240">
          <cell r="A5240">
            <v>9689990</v>
          </cell>
          <cell r="B5240">
            <v>342660</v>
          </cell>
          <cell r="C5240" t="str">
            <v>FACILITY MOVING EXPENSE</v>
          </cell>
        </row>
        <row r="5241">
          <cell r="A5241">
            <v>9689991</v>
          </cell>
          <cell r="B5241">
            <v>342660</v>
          </cell>
          <cell r="C5241" t="str">
            <v>FACILITY MOVING EXPENSE</v>
          </cell>
        </row>
        <row r="5242">
          <cell r="A5242">
            <v>9689992</v>
          </cell>
          <cell r="B5242">
            <v>342660</v>
          </cell>
          <cell r="C5242" t="str">
            <v>FACILITY MOVING EXPENSE</v>
          </cell>
        </row>
        <row r="5243">
          <cell r="A5243">
            <v>9689883</v>
          </cell>
          <cell r="B5243">
            <v>342661</v>
          </cell>
          <cell r="C5243" t="str">
            <v>FINES AND PENALTIES-GOV'T AGEN</v>
          </cell>
        </row>
        <row r="5244">
          <cell r="A5244">
            <v>9689992</v>
          </cell>
          <cell r="B5244">
            <v>342661</v>
          </cell>
          <cell r="C5244" t="str">
            <v>FINES AND PENALTIES-GOV'T AGEN</v>
          </cell>
        </row>
        <row r="5245">
          <cell r="A5245">
            <v>9080999</v>
          </cell>
          <cell r="B5245">
            <v>342674</v>
          </cell>
          <cell r="C5245" t="str">
            <v>MANAGEMENT SERVICE -CORPORATE</v>
          </cell>
        </row>
        <row r="5246">
          <cell r="A5246">
            <v>9110999</v>
          </cell>
          <cell r="B5246">
            <v>342674</v>
          </cell>
          <cell r="C5246" t="str">
            <v>MANAGEMENT SERVICE -CORPORATE</v>
          </cell>
        </row>
        <row r="5247">
          <cell r="A5247">
            <v>9689994</v>
          </cell>
          <cell r="B5247">
            <v>342674</v>
          </cell>
          <cell r="C5247" t="str">
            <v>MANAGEMENT SERVICE -CORPORATE</v>
          </cell>
        </row>
        <row r="5248">
          <cell r="A5248">
            <v>9722709</v>
          </cell>
          <cell r="B5248">
            <v>342674</v>
          </cell>
          <cell r="C5248" t="str">
            <v>MANAGEMENT SERVICE -CORPORATE</v>
          </cell>
        </row>
        <row r="5249">
          <cell r="A5249">
            <v>9722713</v>
          </cell>
          <cell r="B5249">
            <v>342674</v>
          </cell>
          <cell r="C5249" t="str">
            <v>MANAGEMENT SERVICE -CORPORATE</v>
          </cell>
        </row>
        <row r="5250">
          <cell r="A5250">
            <v>9723723</v>
          </cell>
          <cell r="B5250">
            <v>342674</v>
          </cell>
          <cell r="C5250" t="str">
            <v>MANAGEMENT SERVICE -CORPORATE</v>
          </cell>
        </row>
        <row r="5251">
          <cell r="A5251">
            <v>9723729</v>
          </cell>
          <cell r="B5251">
            <v>342674</v>
          </cell>
          <cell r="C5251" t="str">
            <v>MANAGEMENT SERVICE -CORPORATE</v>
          </cell>
        </row>
        <row r="5252">
          <cell r="A5252">
            <v>9966681</v>
          </cell>
          <cell r="B5252">
            <v>342674</v>
          </cell>
          <cell r="C5252" t="str">
            <v>MANAGEMENT SERVICE -CORPORATE</v>
          </cell>
        </row>
        <row r="5253">
          <cell r="A5253">
            <v>9967681</v>
          </cell>
          <cell r="B5253">
            <v>342674</v>
          </cell>
          <cell r="C5253" t="str">
            <v>MANAGEMENT SERVICE -CORPORATE</v>
          </cell>
        </row>
        <row r="5254">
          <cell r="A5254">
            <v>9968681</v>
          </cell>
          <cell r="B5254">
            <v>342674</v>
          </cell>
          <cell r="C5254" t="str">
            <v>MANAGEMENT SERVICE -CORPORATE</v>
          </cell>
        </row>
        <row r="5255">
          <cell r="A5255">
            <v>9720703</v>
          </cell>
          <cell r="B5255">
            <v>342689</v>
          </cell>
          <cell r="C5255" t="str">
            <v>STORE ATM ADMINISTRATION</v>
          </cell>
        </row>
        <row r="5256">
          <cell r="A5256">
            <v>9722709</v>
          </cell>
          <cell r="B5256">
            <v>342689</v>
          </cell>
          <cell r="C5256" t="str">
            <v>STORE ATM ADMINISTRATION</v>
          </cell>
        </row>
        <row r="5257">
          <cell r="A5257">
            <v>9722713</v>
          </cell>
          <cell r="B5257">
            <v>342689</v>
          </cell>
          <cell r="C5257" t="str">
            <v>STORE ATM ADMINISTRATION</v>
          </cell>
        </row>
        <row r="5258">
          <cell r="A5258">
            <v>9724718</v>
          </cell>
          <cell r="B5258">
            <v>342689</v>
          </cell>
          <cell r="C5258" t="str">
            <v>STORE ATM ADMINISTRATION</v>
          </cell>
        </row>
        <row r="5259">
          <cell r="A5259">
            <v>9724721</v>
          </cell>
          <cell r="B5259">
            <v>342689</v>
          </cell>
          <cell r="C5259" t="str">
            <v>STORE ATM ADMINISTRATION</v>
          </cell>
        </row>
        <row r="5260">
          <cell r="A5260">
            <v>9724724</v>
          </cell>
          <cell r="B5260">
            <v>342689</v>
          </cell>
          <cell r="C5260" t="str">
            <v>STORE ATM ADMINISTRATION</v>
          </cell>
        </row>
        <row r="5261">
          <cell r="A5261">
            <v>9725703</v>
          </cell>
          <cell r="B5261">
            <v>342689</v>
          </cell>
          <cell r="C5261" t="str">
            <v>STORE ATM ADMINISTRATION</v>
          </cell>
        </row>
        <row r="5262">
          <cell r="A5262">
            <v>9725704</v>
          </cell>
          <cell r="B5262">
            <v>342689</v>
          </cell>
          <cell r="C5262" t="str">
            <v>STORE ATM ADMINISTRATION</v>
          </cell>
        </row>
        <row r="5263">
          <cell r="A5263">
            <v>9725711</v>
          </cell>
          <cell r="B5263">
            <v>342689</v>
          </cell>
          <cell r="C5263" t="str">
            <v>STORE ATM ADMINISTRATION</v>
          </cell>
        </row>
        <row r="5264">
          <cell r="A5264">
            <v>9725717</v>
          </cell>
          <cell r="B5264">
            <v>342689</v>
          </cell>
          <cell r="C5264" t="str">
            <v>STORE ATM ADMINISTRATION</v>
          </cell>
        </row>
        <row r="5265">
          <cell r="A5265">
            <v>9725725</v>
          </cell>
          <cell r="B5265">
            <v>342689</v>
          </cell>
          <cell r="C5265" t="str">
            <v>STORE ATM ADMINISTRATION</v>
          </cell>
        </row>
        <row r="5266">
          <cell r="A5266">
            <v>9080999</v>
          </cell>
          <cell r="B5266">
            <v>342695</v>
          </cell>
          <cell r="C5266" t="str">
            <v>GARBAGE AND TRASH DISPOSAL</v>
          </cell>
        </row>
        <row r="5267">
          <cell r="A5267">
            <v>9110999</v>
          </cell>
          <cell r="B5267">
            <v>342695</v>
          </cell>
          <cell r="C5267" t="str">
            <v>GARBAGE AND TRASH DISPOSAL</v>
          </cell>
        </row>
        <row r="5268">
          <cell r="A5268">
            <v>9689994</v>
          </cell>
          <cell r="B5268">
            <v>342695</v>
          </cell>
          <cell r="C5268" t="str">
            <v>GARBAGE AND TRASH DISPOSAL</v>
          </cell>
        </row>
        <row r="5269">
          <cell r="A5269">
            <v>9080999</v>
          </cell>
          <cell r="B5269">
            <v>342699</v>
          </cell>
          <cell r="C5269" t="str">
            <v>JANITORIAL SERVICE</v>
          </cell>
        </row>
        <row r="5270">
          <cell r="A5270">
            <v>9100710</v>
          </cell>
          <cell r="B5270">
            <v>342699</v>
          </cell>
          <cell r="C5270" t="str">
            <v>JANITORIAL SERVICE</v>
          </cell>
        </row>
        <row r="5271">
          <cell r="A5271">
            <v>9100999</v>
          </cell>
          <cell r="B5271">
            <v>342699</v>
          </cell>
          <cell r="C5271" t="str">
            <v>JANITORIAL SERVICE</v>
          </cell>
        </row>
        <row r="5272">
          <cell r="A5272">
            <v>9110999</v>
          </cell>
          <cell r="B5272">
            <v>342699</v>
          </cell>
          <cell r="C5272" t="str">
            <v>JANITORIAL SERVICE</v>
          </cell>
        </row>
        <row r="5273">
          <cell r="A5273">
            <v>8001054179</v>
          </cell>
          <cell r="B5273">
            <v>342709</v>
          </cell>
          <cell r="C5273" t="str">
            <v>PRODUCT TESTING/RESEARCH EXP</v>
          </cell>
        </row>
        <row r="5274">
          <cell r="A5274">
            <v>8001059542</v>
          </cell>
          <cell r="B5274">
            <v>342709</v>
          </cell>
          <cell r="C5274" t="str">
            <v>PRODUCT TESTING/RESEARCH EXP</v>
          </cell>
        </row>
        <row r="5275">
          <cell r="A5275">
            <v>8010512510</v>
          </cell>
          <cell r="B5275">
            <v>342709</v>
          </cell>
          <cell r="C5275" t="str">
            <v>PRODUCT TESTING/RESEARCH EXP</v>
          </cell>
        </row>
        <row r="5276">
          <cell r="A5276">
            <v>9080700</v>
          </cell>
          <cell r="B5276">
            <v>342709</v>
          </cell>
          <cell r="C5276" t="str">
            <v>PRODUCT TESTING/RESEARCH EXP</v>
          </cell>
        </row>
        <row r="5277">
          <cell r="A5277">
            <v>9080701</v>
          </cell>
          <cell r="B5277">
            <v>342709</v>
          </cell>
          <cell r="C5277" t="str">
            <v>PRODUCT TESTING/RESEARCH EXP</v>
          </cell>
        </row>
        <row r="5278">
          <cell r="A5278">
            <v>9080702</v>
          </cell>
          <cell r="B5278">
            <v>342709</v>
          </cell>
          <cell r="C5278" t="str">
            <v>PRODUCT TESTING/RESEARCH EXP</v>
          </cell>
        </row>
        <row r="5279">
          <cell r="A5279">
            <v>9080705</v>
          </cell>
          <cell r="B5279">
            <v>342709</v>
          </cell>
          <cell r="C5279" t="str">
            <v>PRODUCT TESTING/RESEARCH EXP</v>
          </cell>
        </row>
        <row r="5280">
          <cell r="A5280">
            <v>9080707</v>
          </cell>
          <cell r="B5280">
            <v>342709</v>
          </cell>
          <cell r="C5280" t="str">
            <v>PRODUCT TESTING/RESEARCH EXP</v>
          </cell>
        </row>
        <row r="5281">
          <cell r="A5281">
            <v>9080710</v>
          </cell>
          <cell r="B5281">
            <v>342709</v>
          </cell>
          <cell r="C5281" t="str">
            <v>PRODUCT TESTING/RESEARCH EXP</v>
          </cell>
        </row>
        <row r="5282">
          <cell r="A5282">
            <v>9090999</v>
          </cell>
          <cell r="B5282">
            <v>342709</v>
          </cell>
          <cell r="C5282" t="str">
            <v>PRODUCT TESTING/RESEARCH EXP</v>
          </cell>
        </row>
        <row r="5283">
          <cell r="A5283">
            <v>9100999</v>
          </cell>
          <cell r="B5283">
            <v>342709</v>
          </cell>
          <cell r="C5283" t="str">
            <v>PRODUCT TESTING/RESEARCH EXP</v>
          </cell>
        </row>
        <row r="5284">
          <cell r="A5284">
            <v>9110700</v>
          </cell>
          <cell r="B5284">
            <v>342709</v>
          </cell>
          <cell r="C5284" t="str">
            <v>PRODUCT TESTING/RESEARCH EXP</v>
          </cell>
        </row>
        <row r="5285">
          <cell r="A5285">
            <v>9110702</v>
          </cell>
          <cell r="B5285">
            <v>342709</v>
          </cell>
          <cell r="C5285" t="str">
            <v>PRODUCT TESTING/RESEARCH EXP</v>
          </cell>
        </row>
        <row r="5286">
          <cell r="A5286">
            <v>9110705</v>
          </cell>
          <cell r="B5286">
            <v>342709</v>
          </cell>
          <cell r="C5286" t="str">
            <v>PRODUCT TESTING/RESEARCH EXP</v>
          </cell>
        </row>
        <row r="5287">
          <cell r="A5287">
            <v>9110707</v>
          </cell>
          <cell r="B5287">
            <v>342709</v>
          </cell>
          <cell r="C5287" t="str">
            <v>PRODUCT TESTING/RESEARCH EXP</v>
          </cell>
        </row>
        <row r="5288">
          <cell r="A5288">
            <v>9681700</v>
          </cell>
          <cell r="B5288">
            <v>342709</v>
          </cell>
          <cell r="C5288" t="str">
            <v>PRODUCT TESTING/RESEARCH EXP</v>
          </cell>
        </row>
        <row r="5289">
          <cell r="A5289">
            <v>9681701</v>
          </cell>
          <cell r="B5289">
            <v>342709</v>
          </cell>
          <cell r="C5289" t="str">
            <v>PRODUCT TESTING/RESEARCH EXP</v>
          </cell>
        </row>
        <row r="5290">
          <cell r="A5290">
            <v>9681702</v>
          </cell>
          <cell r="B5290">
            <v>342709</v>
          </cell>
          <cell r="C5290" t="str">
            <v>PRODUCT TESTING/RESEARCH EXP</v>
          </cell>
        </row>
        <row r="5291">
          <cell r="A5291">
            <v>9681705</v>
          </cell>
          <cell r="B5291">
            <v>342709</v>
          </cell>
          <cell r="C5291" t="str">
            <v>PRODUCT TESTING/RESEARCH EXP</v>
          </cell>
        </row>
        <row r="5292">
          <cell r="A5292">
            <v>9681706</v>
          </cell>
          <cell r="B5292">
            <v>342709</v>
          </cell>
          <cell r="C5292" t="str">
            <v>PRODUCT TESTING/RESEARCH EXP</v>
          </cell>
        </row>
        <row r="5293">
          <cell r="A5293">
            <v>9681707</v>
          </cell>
          <cell r="B5293">
            <v>342709</v>
          </cell>
          <cell r="C5293" t="str">
            <v>PRODUCT TESTING/RESEARCH EXP</v>
          </cell>
        </row>
        <row r="5294">
          <cell r="A5294">
            <v>9681712</v>
          </cell>
          <cell r="B5294">
            <v>342709</v>
          </cell>
          <cell r="C5294" t="str">
            <v>PRODUCT TESTING/RESEARCH EXP</v>
          </cell>
        </row>
        <row r="5295">
          <cell r="A5295">
            <v>9681727</v>
          </cell>
          <cell r="B5295">
            <v>342709</v>
          </cell>
          <cell r="C5295" t="str">
            <v>PRODUCT TESTING/RESEARCH EXP</v>
          </cell>
        </row>
        <row r="5296">
          <cell r="A5296">
            <v>9681749</v>
          </cell>
          <cell r="B5296">
            <v>342709</v>
          </cell>
          <cell r="C5296" t="str">
            <v>PRODUCT TESTING/RESEARCH EXP</v>
          </cell>
        </row>
        <row r="5297">
          <cell r="A5297">
            <v>9681999</v>
          </cell>
          <cell r="B5297">
            <v>342709</v>
          </cell>
          <cell r="C5297" t="str">
            <v>PRODUCT TESTING/RESEARCH EXP</v>
          </cell>
        </row>
        <row r="5298">
          <cell r="A5298">
            <v>9720703</v>
          </cell>
          <cell r="B5298">
            <v>342709</v>
          </cell>
          <cell r="C5298" t="str">
            <v>PRODUCT TESTING/RESEARCH EXP</v>
          </cell>
        </row>
        <row r="5299">
          <cell r="A5299">
            <v>9724718</v>
          </cell>
          <cell r="B5299">
            <v>342709</v>
          </cell>
          <cell r="C5299" t="str">
            <v>PRODUCT TESTING/RESEARCH EXP</v>
          </cell>
        </row>
        <row r="5300">
          <cell r="A5300">
            <v>9724721</v>
          </cell>
          <cell r="B5300">
            <v>342709</v>
          </cell>
          <cell r="C5300" t="str">
            <v>PRODUCT TESTING/RESEARCH EXP</v>
          </cell>
        </row>
        <row r="5301">
          <cell r="A5301">
            <v>9724724</v>
          </cell>
          <cell r="B5301">
            <v>342709</v>
          </cell>
          <cell r="C5301" t="str">
            <v>PRODUCT TESTING/RESEARCH EXP</v>
          </cell>
        </row>
        <row r="5302">
          <cell r="A5302">
            <v>9725703</v>
          </cell>
          <cell r="B5302">
            <v>342709</v>
          </cell>
          <cell r="C5302" t="str">
            <v>PRODUCT TESTING/RESEARCH EXP</v>
          </cell>
        </row>
        <row r="5303">
          <cell r="A5303">
            <v>9725704</v>
          </cell>
          <cell r="B5303">
            <v>342709</v>
          </cell>
          <cell r="C5303" t="str">
            <v>PRODUCT TESTING/RESEARCH EXP</v>
          </cell>
        </row>
        <row r="5304">
          <cell r="A5304">
            <v>9725711</v>
          </cell>
          <cell r="B5304">
            <v>342709</v>
          </cell>
          <cell r="C5304" t="str">
            <v>PRODUCT TESTING/RESEARCH EXP</v>
          </cell>
        </row>
        <row r="5305">
          <cell r="A5305">
            <v>9725717</v>
          </cell>
          <cell r="B5305">
            <v>342709</v>
          </cell>
          <cell r="C5305" t="str">
            <v>PRODUCT TESTING/RESEARCH EXP</v>
          </cell>
        </row>
        <row r="5306">
          <cell r="A5306">
            <v>9725725</v>
          </cell>
          <cell r="B5306">
            <v>342709</v>
          </cell>
          <cell r="C5306" t="str">
            <v>PRODUCT TESTING/RESEARCH EXP</v>
          </cell>
        </row>
        <row r="5307">
          <cell r="A5307">
            <v>9969681</v>
          </cell>
          <cell r="B5307">
            <v>342709</v>
          </cell>
          <cell r="C5307" t="str">
            <v>PRODUCT TESTING/RESEARCH EXP</v>
          </cell>
        </row>
        <row r="5308">
          <cell r="A5308">
            <v>9969901</v>
          </cell>
          <cell r="B5308">
            <v>342709</v>
          </cell>
          <cell r="C5308" t="str">
            <v>PRODUCT TESTING/RESEARCH EXP</v>
          </cell>
        </row>
        <row r="5309">
          <cell r="A5309" t="str">
            <v>ZONE-0105-POST</v>
          </cell>
          <cell r="B5309">
            <v>342709</v>
          </cell>
          <cell r="C5309" t="str">
            <v>PRODUCT TESTING/RESEARCH EXP</v>
          </cell>
        </row>
        <row r="5310">
          <cell r="A5310" t="str">
            <v>ZONE-0112-POST</v>
          </cell>
          <cell r="B5310">
            <v>342709</v>
          </cell>
          <cell r="C5310" t="str">
            <v>PRODUCT TESTING/RESEARCH EXP</v>
          </cell>
        </row>
        <row r="5311">
          <cell r="A5311">
            <v>9090710</v>
          </cell>
          <cell r="B5311">
            <v>342728</v>
          </cell>
          <cell r="C5311" t="str">
            <v>CREDIT CARD TRANSACTION FEES</v>
          </cell>
        </row>
        <row r="5312">
          <cell r="A5312">
            <v>9090999</v>
          </cell>
          <cell r="B5312">
            <v>342728</v>
          </cell>
          <cell r="C5312" t="str">
            <v>CREDIT CARD TRANSACTION FEES</v>
          </cell>
        </row>
        <row r="5313">
          <cell r="A5313">
            <v>9100710</v>
          </cell>
          <cell r="B5313">
            <v>342728</v>
          </cell>
          <cell r="C5313" t="str">
            <v>CREDIT CARD TRANSACTION FEES</v>
          </cell>
        </row>
        <row r="5314">
          <cell r="A5314">
            <v>9100999</v>
          </cell>
          <cell r="B5314">
            <v>342728</v>
          </cell>
          <cell r="C5314" t="str">
            <v>CREDIT CARD TRANSACTION FEES</v>
          </cell>
        </row>
        <row r="5315">
          <cell r="A5315">
            <v>9090710</v>
          </cell>
          <cell r="B5315">
            <v>342745</v>
          </cell>
          <cell r="C5315" t="str">
            <v>FEES AND COMMISSIONS</v>
          </cell>
        </row>
        <row r="5316">
          <cell r="A5316">
            <v>9100710</v>
          </cell>
          <cell r="B5316">
            <v>342745</v>
          </cell>
          <cell r="C5316" t="str">
            <v>FEES AND COMMISSIONS</v>
          </cell>
        </row>
        <row r="5317">
          <cell r="A5317">
            <v>9080999</v>
          </cell>
          <cell r="B5317">
            <v>342746</v>
          </cell>
          <cell r="C5317" t="str">
            <v>SIGNS</v>
          </cell>
        </row>
        <row r="5318">
          <cell r="A5318">
            <v>9110999</v>
          </cell>
          <cell r="B5318">
            <v>342746</v>
          </cell>
          <cell r="C5318" t="str">
            <v>SIGNS</v>
          </cell>
        </row>
        <row r="5319">
          <cell r="A5319">
            <v>9689994</v>
          </cell>
          <cell r="B5319">
            <v>342746</v>
          </cell>
          <cell r="C5319" t="str">
            <v>SIGNS</v>
          </cell>
        </row>
        <row r="5320">
          <cell r="A5320">
            <v>9080999</v>
          </cell>
          <cell r="B5320">
            <v>342856</v>
          </cell>
          <cell r="C5320" t="str">
            <v>RESTRICTED STOCK EXPENSE</v>
          </cell>
        </row>
        <row r="5321">
          <cell r="A5321">
            <v>9110999</v>
          </cell>
          <cell r="B5321">
            <v>342856</v>
          </cell>
          <cell r="C5321" t="str">
            <v>RESTRICTED STOCK EXPENSE</v>
          </cell>
        </row>
        <row r="5322">
          <cell r="A5322">
            <v>9689692</v>
          </cell>
          <cell r="B5322">
            <v>342856</v>
          </cell>
          <cell r="C5322" t="str">
            <v>RESTRICTED STOCK EXPENSE</v>
          </cell>
        </row>
        <row r="5323">
          <cell r="A5323">
            <v>9689747</v>
          </cell>
          <cell r="B5323">
            <v>342856</v>
          </cell>
          <cell r="C5323" t="str">
            <v>RESTRICTED STOCK EXPENSE</v>
          </cell>
        </row>
        <row r="5324">
          <cell r="A5324">
            <v>9689890</v>
          </cell>
          <cell r="B5324">
            <v>342856</v>
          </cell>
          <cell r="C5324" t="str">
            <v>RESTRICTED STOCK EXPENSE</v>
          </cell>
        </row>
        <row r="5325">
          <cell r="A5325">
            <v>9689925</v>
          </cell>
          <cell r="B5325">
            <v>342856</v>
          </cell>
          <cell r="C5325" t="str">
            <v>RESTRICTED STOCK EXPENSE</v>
          </cell>
        </row>
        <row r="5326">
          <cell r="A5326">
            <v>9689990</v>
          </cell>
          <cell r="B5326">
            <v>342856</v>
          </cell>
          <cell r="C5326" t="str">
            <v>RESTRICTED STOCK EXPENSE</v>
          </cell>
        </row>
        <row r="5327">
          <cell r="A5327">
            <v>9689999</v>
          </cell>
          <cell r="B5327">
            <v>342856</v>
          </cell>
          <cell r="C5327" t="str">
            <v>RESTRICTED STOCK EXPENSE</v>
          </cell>
        </row>
        <row r="5328">
          <cell r="A5328">
            <v>9080700</v>
          </cell>
          <cell r="B5328">
            <v>342887</v>
          </cell>
          <cell r="C5328" t="str">
            <v>POSTAGE</v>
          </cell>
        </row>
        <row r="5329">
          <cell r="A5329">
            <v>9080701</v>
          </cell>
          <cell r="B5329">
            <v>342887</v>
          </cell>
          <cell r="C5329" t="str">
            <v>POSTAGE</v>
          </cell>
        </row>
        <row r="5330">
          <cell r="A5330">
            <v>9080702</v>
          </cell>
          <cell r="B5330">
            <v>342887</v>
          </cell>
          <cell r="C5330" t="str">
            <v>POSTAGE</v>
          </cell>
        </row>
        <row r="5331">
          <cell r="A5331">
            <v>9080705</v>
          </cell>
          <cell r="B5331">
            <v>342887</v>
          </cell>
          <cell r="C5331" t="str">
            <v>POSTAGE</v>
          </cell>
        </row>
        <row r="5332">
          <cell r="A5332">
            <v>9080707</v>
          </cell>
          <cell r="B5332">
            <v>342887</v>
          </cell>
          <cell r="C5332" t="str">
            <v>POSTAGE</v>
          </cell>
        </row>
        <row r="5333">
          <cell r="A5333">
            <v>9080710</v>
          </cell>
          <cell r="B5333">
            <v>342887</v>
          </cell>
          <cell r="C5333" t="str">
            <v>POSTAGE</v>
          </cell>
        </row>
        <row r="5334">
          <cell r="A5334">
            <v>9080999</v>
          </cell>
          <cell r="B5334">
            <v>342887</v>
          </cell>
          <cell r="C5334" t="str">
            <v>POSTAGE</v>
          </cell>
        </row>
        <row r="5335">
          <cell r="A5335">
            <v>9090710</v>
          </cell>
          <cell r="B5335">
            <v>342887</v>
          </cell>
          <cell r="C5335" t="str">
            <v>POSTAGE</v>
          </cell>
        </row>
        <row r="5336">
          <cell r="A5336">
            <v>9090999</v>
          </cell>
          <cell r="B5336">
            <v>342887</v>
          </cell>
          <cell r="C5336" t="str">
            <v>POSTAGE</v>
          </cell>
        </row>
        <row r="5337">
          <cell r="A5337">
            <v>9100710</v>
          </cell>
          <cell r="B5337">
            <v>342887</v>
          </cell>
          <cell r="C5337" t="str">
            <v>POSTAGE</v>
          </cell>
        </row>
        <row r="5338">
          <cell r="A5338">
            <v>9100999</v>
          </cell>
          <cell r="B5338">
            <v>342887</v>
          </cell>
          <cell r="C5338" t="str">
            <v>POSTAGE</v>
          </cell>
        </row>
        <row r="5339">
          <cell r="A5339">
            <v>9110700</v>
          </cell>
          <cell r="B5339">
            <v>342887</v>
          </cell>
          <cell r="C5339" t="str">
            <v>POSTAGE</v>
          </cell>
        </row>
        <row r="5340">
          <cell r="A5340">
            <v>9110702</v>
          </cell>
          <cell r="B5340">
            <v>342887</v>
          </cell>
          <cell r="C5340" t="str">
            <v>POSTAGE</v>
          </cell>
        </row>
        <row r="5341">
          <cell r="A5341">
            <v>9110705</v>
          </cell>
          <cell r="B5341">
            <v>342887</v>
          </cell>
          <cell r="C5341" t="str">
            <v>POSTAGE</v>
          </cell>
        </row>
        <row r="5342">
          <cell r="A5342">
            <v>9110707</v>
          </cell>
          <cell r="B5342">
            <v>342887</v>
          </cell>
          <cell r="C5342" t="str">
            <v>POSTAGE</v>
          </cell>
        </row>
        <row r="5343">
          <cell r="A5343">
            <v>9110999</v>
          </cell>
          <cell r="B5343">
            <v>342887</v>
          </cell>
          <cell r="C5343" t="str">
            <v>POSTAGE</v>
          </cell>
        </row>
        <row r="5344">
          <cell r="A5344">
            <v>9680700</v>
          </cell>
          <cell r="B5344">
            <v>342887</v>
          </cell>
          <cell r="C5344" t="str">
            <v>POSTAGE</v>
          </cell>
        </row>
        <row r="5345">
          <cell r="A5345">
            <v>9680701</v>
          </cell>
          <cell r="B5345">
            <v>342887</v>
          </cell>
          <cell r="C5345" t="str">
            <v>POSTAGE</v>
          </cell>
        </row>
        <row r="5346">
          <cell r="A5346">
            <v>9680702</v>
          </cell>
          <cell r="B5346">
            <v>342887</v>
          </cell>
          <cell r="C5346" t="str">
            <v>POSTAGE</v>
          </cell>
        </row>
        <row r="5347">
          <cell r="A5347">
            <v>9680705</v>
          </cell>
          <cell r="B5347">
            <v>342887</v>
          </cell>
          <cell r="C5347" t="str">
            <v>POSTAGE</v>
          </cell>
        </row>
        <row r="5348">
          <cell r="A5348">
            <v>9680707</v>
          </cell>
          <cell r="B5348">
            <v>342887</v>
          </cell>
          <cell r="C5348" t="str">
            <v>POSTAGE</v>
          </cell>
        </row>
        <row r="5349">
          <cell r="A5349">
            <v>9680710</v>
          </cell>
          <cell r="B5349">
            <v>342887</v>
          </cell>
          <cell r="C5349" t="str">
            <v>POSTAGE</v>
          </cell>
        </row>
        <row r="5350">
          <cell r="A5350">
            <v>9680712</v>
          </cell>
          <cell r="B5350">
            <v>342887</v>
          </cell>
          <cell r="C5350" t="str">
            <v>POSTAGE</v>
          </cell>
        </row>
        <row r="5351">
          <cell r="A5351">
            <v>9680714</v>
          </cell>
          <cell r="B5351">
            <v>342887</v>
          </cell>
          <cell r="C5351" t="str">
            <v>POSTAGE</v>
          </cell>
        </row>
        <row r="5352">
          <cell r="A5352">
            <v>9680734</v>
          </cell>
          <cell r="B5352">
            <v>342887</v>
          </cell>
          <cell r="C5352" t="str">
            <v>POSTAGE</v>
          </cell>
        </row>
        <row r="5353">
          <cell r="A5353">
            <v>9680748</v>
          </cell>
          <cell r="B5353">
            <v>342887</v>
          </cell>
          <cell r="C5353" t="str">
            <v>POSTAGE</v>
          </cell>
        </row>
        <row r="5354">
          <cell r="A5354">
            <v>9680749</v>
          </cell>
          <cell r="B5354">
            <v>342887</v>
          </cell>
          <cell r="C5354" t="str">
            <v>POSTAGE</v>
          </cell>
        </row>
        <row r="5355">
          <cell r="A5355">
            <v>9680894</v>
          </cell>
          <cell r="B5355">
            <v>342887</v>
          </cell>
          <cell r="C5355" t="str">
            <v>POSTAGE</v>
          </cell>
        </row>
        <row r="5356">
          <cell r="A5356">
            <v>9680999</v>
          </cell>
          <cell r="B5356">
            <v>342887</v>
          </cell>
          <cell r="C5356" t="str">
            <v>POSTAGE</v>
          </cell>
        </row>
        <row r="5357">
          <cell r="A5357">
            <v>9681700</v>
          </cell>
          <cell r="B5357">
            <v>342887</v>
          </cell>
          <cell r="C5357" t="str">
            <v>POSTAGE</v>
          </cell>
        </row>
        <row r="5358">
          <cell r="A5358">
            <v>9681701</v>
          </cell>
          <cell r="B5358">
            <v>342887</v>
          </cell>
          <cell r="C5358" t="str">
            <v>POSTAGE</v>
          </cell>
        </row>
        <row r="5359">
          <cell r="A5359">
            <v>9681702</v>
          </cell>
          <cell r="B5359">
            <v>342887</v>
          </cell>
          <cell r="C5359" t="str">
            <v>POSTAGE</v>
          </cell>
        </row>
        <row r="5360">
          <cell r="A5360">
            <v>9681705</v>
          </cell>
          <cell r="B5360">
            <v>342887</v>
          </cell>
          <cell r="C5360" t="str">
            <v>POSTAGE</v>
          </cell>
        </row>
        <row r="5361">
          <cell r="A5361">
            <v>9681706</v>
          </cell>
          <cell r="B5361">
            <v>342887</v>
          </cell>
          <cell r="C5361" t="str">
            <v>POSTAGE</v>
          </cell>
        </row>
        <row r="5362">
          <cell r="A5362">
            <v>9681707</v>
          </cell>
          <cell r="B5362">
            <v>342887</v>
          </cell>
          <cell r="C5362" t="str">
            <v>POSTAGE</v>
          </cell>
        </row>
        <row r="5363">
          <cell r="A5363">
            <v>9681710</v>
          </cell>
          <cell r="B5363">
            <v>342887</v>
          </cell>
          <cell r="C5363" t="str">
            <v>POSTAGE</v>
          </cell>
        </row>
        <row r="5364">
          <cell r="A5364">
            <v>9681712</v>
          </cell>
          <cell r="B5364">
            <v>342887</v>
          </cell>
          <cell r="C5364" t="str">
            <v>POSTAGE</v>
          </cell>
        </row>
        <row r="5365">
          <cell r="A5365">
            <v>9681727</v>
          </cell>
          <cell r="B5365">
            <v>342887</v>
          </cell>
          <cell r="C5365" t="str">
            <v>POSTAGE</v>
          </cell>
        </row>
        <row r="5366">
          <cell r="A5366">
            <v>9681734</v>
          </cell>
          <cell r="B5366">
            <v>342887</v>
          </cell>
          <cell r="C5366" t="str">
            <v>POSTAGE</v>
          </cell>
        </row>
        <row r="5367">
          <cell r="A5367">
            <v>9681748</v>
          </cell>
          <cell r="B5367">
            <v>342887</v>
          </cell>
          <cell r="C5367" t="str">
            <v>POSTAGE</v>
          </cell>
        </row>
        <row r="5368">
          <cell r="A5368">
            <v>9681749</v>
          </cell>
          <cell r="B5368">
            <v>342887</v>
          </cell>
          <cell r="C5368" t="str">
            <v>POSTAGE</v>
          </cell>
        </row>
        <row r="5369">
          <cell r="A5369">
            <v>9681894</v>
          </cell>
          <cell r="B5369">
            <v>342887</v>
          </cell>
          <cell r="C5369" t="str">
            <v>POSTAGE</v>
          </cell>
        </row>
        <row r="5370">
          <cell r="A5370">
            <v>9681999</v>
          </cell>
          <cell r="B5370">
            <v>342887</v>
          </cell>
          <cell r="C5370" t="str">
            <v>POSTAGE</v>
          </cell>
        </row>
        <row r="5371">
          <cell r="A5371">
            <v>9682715</v>
          </cell>
          <cell r="B5371">
            <v>342887</v>
          </cell>
          <cell r="C5371" t="str">
            <v>POSTAGE</v>
          </cell>
        </row>
        <row r="5372">
          <cell r="A5372">
            <v>9682999</v>
          </cell>
          <cell r="B5372">
            <v>342887</v>
          </cell>
          <cell r="C5372" t="str">
            <v>POSTAGE</v>
          </cell>
        </row>
        <row r="5373">
          <cell r="A5373">
            <v>9683999</v>
          </cell>
          <cell r="B5373">
            <v>342887</v>
          </cell>
          <cell r="C5373" t="str">
            <v>POSTAGE</v>
          </cell>
        </row>
        <row r="5374">
          <cell r="A5374">
            <v>9684999</v>
          </cell>
          <cell r="B5374">
            <v>342887</v>
          </cell>
          <cell r="C5374" t="str">
            <v>POSTAGE</v>
          </cell>
        </row>
        <row r="5375">
          <cell r="A5375">
            <v>9689883</v>
          </cell>
          <cell r="B5375">
            <v>342887</v>
          </cell>
          <cell r="C5375" t="str">
            <v>POSTAGE</v>
          </cell>
        </row>
        <row r="5376">
          <cell r="A5376">
            <v>9689992</v>
          </cell>
          <cell r="B5376">
            <v>342887</v>
          </cell>
          <cell r="C5376" t="str">
            <v>POSTAGE</v>
          </cell>
        </row>
        <row r="5377">
          <cell r="A5377">
            <v>9689994</v>
          </cell>
          <cell r="B5377">
            <v>342887</v>
          </cell>
          <cell r="C5377" t="str">
            <v>POSTAGE</v>
          </cell>
        </row>
        <row r="5378">
          <cell r="A5378">
            <v>9080700</v>
          </cell>
          <cell r="B5378">
            <v>342890</v>
          </cell>
          <cell r="C5378" t="str">
            <v>COURIER EXPRESS CHARGES/CREDIT</v>
          </cell>
        </row>
        <row r="5379">
          <cell r="A5379">
            <v>9080701</v>
          </cell>
          <cell r="B5379">
            <v>342890</v>
          </cell>
          <cell r="C5379" t="str">
            <v>COURIER EXPRESS CHARGES/CREDIT</v>
          </cell>
        </row>
        <row r="5380">
          <cell r="A5380">
            <v>9080702</v>
          </cell>
          <cell r="B5380">
            <v>342890</v>
          </cell>
          <cell r="C5380" t="str">
            <v>COURIER EXPRESS CHARGES/CREDIT</v>
          </cell>
        </row>
        <row r="5381">
          <cell r="A5381">
            <v>9080705</v>
          </cell>
          <cell r="B5381">
            <v>342890</v>
          </cell>
          <cell r="C5381" t="str">
            <v>COURIER EXPRESS CHARGES/CREDIT</v>
          </cell>
        </row>
        <row r="5382">
          <cell r="A5382">
            <v>9080707</v>
          </cell>
          <cell r="B5382">
            <v>342890</v>
          </cell>
          <cell r="C5382" t="str">
            <v>COURIER EXPRESS CHARGES/CREDIT</v>
          </cell>
        </row>
        <row r="5383">
          <cell r="A5383">
            <v>9080710</v>
          </cell>
          <cell r="B5383">
            <v>342890</v>
          </cell>
          <cell r="C5383" t="str">
            <v>COURIER EXPRESS CHARGES/CREDIT</v>
          </cell>
        </row>
        <row r="5384">
          <cell r="A5384">
            <v>9080999</v>
          </cell>
          <cell r="B5384">
            <v>342890</v>
          </cell>
          <cell r="C5384" t="str">
            <v>COURIER EXPRESS CHARGES/CREDIT</v>
          </cell>
        </row>
        <row r="5385">
          <cell r="A5385">
            <v>9090999</v>
          </cell>
          <cell r="B5385">
            <v>342890</v>
          </cell>
          <cell r="C5385" t="str">
            <v>COURIER EXPRESS CHARGES/CREDIT</v>
          </cell>
        </row>
        <row r="5386">
          <cell r="A5386">
            <v>9100999</v>
          </cell>
          <cell r="B5386">
            <v>342890</v>
          </cell>
          <cell r="C5386" t="str">
            <v>COURIER EXPRESS CHARGES/CREDIT</v>
          </cell>
        </row>
        <row r="5387">
          <cell r="A5387">
            <v>9110700</v>
          </cell>
          <cell r="B5387">
            <v>342890</v>
          </cell>
          <cell r="C5387" t="str">
            <v>COURIER EXPRESS CHARGES/CREDIT</v>
          </cell>
        </row>
        <row r="5388">
          <cell r="A5388">
            <v>9110702</v>
          </cell>
          <cell r="B5388">
            <v>342890</v>
          </cell>
          <cell r="C5388" t="str">
            <v>COURIER EXPRESS CHARGES/CREDIT</v>
          </cell>
        </row>
        <row r="5389">
          <cell r="A5389">
            <v>9110705</v>
          </cell>
          <cell r="B5389">
            <v>342890</v>
          </cell>
          <cell r="C5389" t="str">
            <v>COURIER EXPRESS CHARGES/CREDIT</v>
          </cell>
        </row>
        <row r="5390">
          <cell r="A5390">
            <v>9110707</v>
          </cell>
          <cell r="B5390">
            <v>342890</v>
          </cell>
          <cell r="C5390" t="str">
            <v>COURIER EXPRESS CHARGES/CREDIT</v>
          </cell>
        </row>
        <row r="5391">
          <cell r="A5391">
            <v>9110999</v>
          </cell>
          <cell r="B5391">
            <v>342890</v>
          </cell>
          <cell r="C5391" t="str">
            <v>COURIER EXPRESS CHARGES/CREDIT</v>
          </cell>
        </row>
        <row r="5392">
          <cell r="A5392">
            <v>9680700</v>
          </cell>
          <cell r="B5392">
            <v>342890</v>
          </cell>
          <cell r="C5392" t="str">
            <v>COURIER EXPRESS CHARGES/CREDIT</v>
          </cell>
        </row>
        <row r="5393">
          <cell r="A5393">
            <v>9680701</v>
          </cell>
          <cell r="B5393">
            <v>342890</v>
          </cell>
          <cell r="C5393" t="str">
            <v>COURIER EXPRESS CHARGES/CREDIT</v>
          </cell>
        </row>
        <row r="5394">
          <cell r="A5394">
            <v>9680702</v>
          </cell>
          <cell r="B5394">
            <v>342890</v>
          </cell>
          <cell r="C5394" t="str">
            <v>COURIER EXPRESS CHARGES/CREDIT</v>
          </cell>
        </row>
        <row r="5395">
          <cell r="A5395">
            <v>9680705</v>
          </cell>
          <cell r="B5395">
            <v>342890</v>
          </cell>
          <cell r="C5395" t="str">
            <v>COURIER EXPRESS CHARGES/CREDIT</v>
          </cell>
        </row>
        <row r="5396">
          <cell r="A5396">
            <v>9680707</v>
          </cell>
          <cell r="B5396">
            <v>342890</v>
          </cell>
          <cell r="C5396" t="str">
            <v>COURIER EXPRESS CHARGES/CREDIT</v>
          </cell>
        </row>
        <row r="5397">
          <cell r="A5397">
            <v>9680710</v>
          </cell>
          <cell r="B5397">
            <v>342890</v>
          </cell>
          <cell r="C5397" t="str">
            <v>COURIER EXPRESS CHARGES/CREDIT</v>
          </cell>
        </row>
        <row r="5398">
          <cell r="A5398">
            <v>9680712</v>
          </cell>
          <cell r="B5398">
            <v>342890</v>
          </cell>
          <cell r="C5398" t="str">
            <v>COURIER EXPRESS CHARGES/CREDIT</v>
          </cell>
        </row>
        <row r="5399">
          <cell r="A5399">
            <v>9680714</v>
          </cell>
          <cell r="B5399">
            <v>342890</v>
          </cell>
          <cell r="C5399" t="str">
            <v>COURIER EXPRESS CHARGES/CREDIT</v>
          </cell>
        </row>
        <row r="5400">
          <cell r="A5400">
            <v>9680734</v>
          </cell>
          <cell r="B5400">
            <v>342890</v>
          </cell>
          <cell r="C5400" t="str">
            <v>COURIER EXPRESS CHARGES/CREDIT</v>
          </cell>
        </row>
        <row r="5401">
          <cell r="A5401">
            <v>9680748</v>
          </cell>
          <cell r="B5401">
            <v>342890</v>
          </cell>
          <cell r="C5401" t="str">
            <v>COURIER EXPRESS CHARGES/CREDIT</v>
          </cell>
        </row>
        <row r="5402">
          <cell r="A5402">
            <v>9680749</v>
          </cell>
          <cell r="B5402">
            <v>342890</v>
          </cell>
          <cell r="C5402" t="str">
            <v>COURIER EXPRESS CHARGES/CREDIT</v>
          </cell>
        </row>
        <row r="5403">
          <cell r="A5403">
            <v>9680894</v>
          </cell>
          <cell r="B5403">
            <v>342890</v>
          </cell>
          <cell r="C5403" t="str">
            <v>COURIER EXPRESS CHARGES/CREDIT</v>
          </cell>
        </row>
        <row r="5404">
          <cell r="A5404">
            <v>9680999</v>
          </cell>
          <cell r="B5404">
            <v>342890</v>
          </cell>
          <cell r="C5404" t="str">
            <v>COURIER EXPRESS CHARGES/CREDIT</v>
          </cell>
        </row>
        <row r="5405">
          <cell r="A5405">
            <v>9681700</v>
          </cell>
          <cell r="B5405">
            <v>342890</v>
          </cell>
          <cell r="C5405" t="str">
            <v>COURIER EXPRESS CHARGES/CREDIT</v>
          </cell>
        </row>
        <row r="5406">
          <cell r="A5406">
            <v>9681701</v>
          </cell>
          <cell r="B5406">
            <v>342890</v>
          </cell>
          <cell r="C5406" t="str">
            <v>COURIER EXPRESS CHARGES/CREDIT</v>
          </cell>
        </row>
        <row r="5407">
          <cell r="A5407">
            <v>9681702</v>
          </cell>
          <cell r="B5407">
            <v>342890</v>
          </cell>
          <cell r="C5407" t="str">
            <v>COURIER EXPRESS CHARGES/CREDIT</v>
          </cell>
        </row>
        <row r="5408">
          <cell r="A5408">
            <v>9681705</v>
          </cell>
          <cell r="B5408">
            <v>342890</v>
          </cell>
          <cell r="C5408" t="str">
            <v>COURIER EXPRESS CHARGES/CREDIT</v>
          </cell>
        </row>
        <row r="5409">
          <cell r="A5409">
            <v>9681706</v>
          </cell>
          <cell r="B5409">
            <v>342890</v>
          </cell>
          <cell r="C5409" t="str">
            <v>COURIER EXPRESS CHARGES/CREDIT</v>
          </cell>
        </row>
        <row r="5410">
          <cell r="A5410">
            <v>9681707</v>
          </cell>
          <cell r="B5410">
            <v>342890</v>
          </cell>
          <cell r="C5410" t="str">
            <v>COURIER EXPRESS CHARGES/CREDIT</v>
          </cell>
        </row>
        <row r="5411">
          <cell r="A5411">
            <v>9681710</v>
          </cell>
          <cell r="B5411">
            <v>342890</v>
          </cell>
          <cell r="C5411" t="str">
            <v>COURIER EXPRESS CHARGES/CREDIT</v>
          </cell>
        </row>
        <row r="5412">
          <cell r="A5412">
            <v>9681712</v>
          </cell>
          <cell r="B5412">
            <v>342890</v>
          </cell>
          <cell r="C5412" t="str">
            <v>COURIER EXPRESS CHARGES/CREDIT</v>
          </cell>
        </row>
        <row r="5413">
          <cell r="A5413">
            <v>9681714</v>
          </cell>
          <cell r="B5413">
            <v>342890</v>
          </cell>
          <cell r="C5413" t="str">
            <v>COURIER EXPRESS CHARGES/CREDIT</v>
          </cell>
        </row>
        <row r="5414">
          <cell r="A5414">
            <v>9681727</v>
          </cell>
          <cell r="B5414">
            <v>342890</v>
          </cell>
          <cell r="C5414" t="str">
            <v>COURIER EXPRESS CHARGES/CREDIT</v>
          </cell>
        </row>
        <row r="5415">
          <cell r="A5415">
            <v>9681734</v>
          </cell>
          <cell r="B5415">
            <v>342890</v>
          </cell>
          <cell r="C5415" t="str">
            <v>COURIER EXPRESS CHARGES/CREDIT</v>
          </cell>
        </row>
        <row r="5416">
          <cell r="A5416">
            <v>9681748</v>
          </cell>
          <cell r="B5416">
            <v>342890</v>
          </cell>
          <cell r="C5416" t="str">
            <v>COURIER EXPRESS CHARGES/CREDIT</v>
          </cell>
        </row>
        <row r="5417">
          <cell r="A5417">
            <v>9681749</v>
          </cell>
          <cell r="B5417">
            <v>342890</v>
          </cell>
          <cell r="C5417" t="str">
            <v>COURIER EXPRESS CHARGES/CREDIT</v>
          </cell>
        </row>
        <row r="5418">
          <cell r="A5418">
            <v>9681894</v>
          </cell>
          <cell r="B5418">
            <v>342890</v>
          </cell>
          <cell r="C5418" t="str">
            <v>COURIER EXPRESS CHARGES/CREDIT</v>
          </cell>
        </row>
        <row r="5419">
          <cell r="A5419">
            <v>9681999</v>
          </cell>
          <cell r="B5419">
            <v>342890</v>
          </cell>
          <cell r="C5419" t="str">
            <v>COURIER EXPRESS CHARGES/CREDIT</v>
          </cell>
        </row>
        <row r="5420">
          <cell r="A5420">
            <v>9682715</v>
          </cell>
          <cell r="B5420">
            <v>342890</v>
          </cell>
          <cell r="C5420" t="str">
            <v>COURIER EXPRESS CHARGES/CREDIT</v>
          </cell>
        </row>
        <row r="5421">
          <cell r="A5421">
            <v>9682722</v>
          </cell>
          <cell r="B5421">
            <v>342890</v>
          </cell>
          <cell r="C5421" t="str">
            <v>COURIER EXPRESS CHARGES/CREDIT</v>
          </cell>
        </row>
        <row r="5422">
          <cell r="A5422">
            <v>9682999</v>
          </cell>
          <cell r="B5422">
            <v>342890</v>
          </cell>
          <cell r="C5422" t="str">
            <v>COURIER EXPRESS CHARGES/CREDIT</v>
          </cell>
        </row>
        <row r="5423">
          <cell r="A5423">
            <v>9683999</v>
          </cell>
          <cell r="B5423">
            <v>342890</v>
          </cell>
          <cell r="C5423" t="str">
            <v>COURIER EXPRESS CHARGES/CREDIT</v>
          </cell>
        </row>
        <row r="5424">
          <cell r="A5424">
            <v>9684999</v>
          </cell>
          <cell r="B5424">
            <v>342890</v>
          </cell>
          <cell r="C5424" t="str">
            <v>COURIER EXPRESS CHARGES/CREDIT</v>
          </cell>
        </row>
        <row r="5425">
          <cell r="A5425">
            <v>9685999</v>
          </cell>
          <cell r="B5425">
            <v>342890</v>
          </cell>
          <cell r="C5425" t="str">
            <v>COURIER EXPRESS CHARGES/CREDIT</v>
          </cell>
        </row>
        <row r="5426">
          <cell r="A5426">
            <v>9689692</v>
          </cell>
          <cell r="B5426">
            <v>342890</v>
          </cell>
          <cell r="C5426" t="str">
            <v>COURIER EXPRESS CHARGES/CREDIT</v>
          </cell>
        </row>
        <row r="5427">
          <cell r="A5427">
            <v>9689747</v>
          </cell>
          <cell r="B5427">
            <v>342890</v>
          </cell>
          <cell r="C5427" t="str">
            <v>COURIER EXPRESS CHARGES/CREDIT</v>
          </cell>
        </row>
        <row r="5428">
          <cell r="A5428">
            <v>9689883</v>
          </cell>
          <cell r="B5428">
            <v>342890</v>
          </cell>
          <cell r="C5428" t="str">
            <v>COURIER EXPRESS CHARGES/CREDIT</v>
          </cell>
        </row>
        <row r="5429">
          <cell r="A5429">
            <v>9689890</v>
          </cell>
          <cell r="B5429">
            <v>342890</v>
          </cell>
          <cell r="C5429" t="str">
            <v>COURIER EXPRESS CHARGES/CREDIT</v>
          </cell>
        </row>
        <row r="5430">
          <cell r="A5430">
            <v>9689906</v>
          </cell>
          <cell r="B5430">
            <v>342890</v>
          </cell>
          <cell r="C5430" t="str">
            <v>COURIER EXPRESS CHARGES/CREDIT</v>
          </cell>
        </row>
        <row r="5431">
          <cell r="A5431">
            <v>9689925</v>
          </cell>
          <cell r="B5431">
            <v>342890</v>
          </cell>
          <cell r="C5431" t="str">
            <v>COURIER EXPRESS CHARGES/CREDIT</v>
          </cell>
        </row>
        <row r="5432">
          <cell r="A5432">
            <v>9689990</v>
          </cell>
          <cell r="B5432">
            <v>342890</v>
          </cell>
          <cell r="C5432" t="str">
            <v>COURIER EXPRESS CHARGES/CREDIT</v>
          </cell>
        </row>
        <row r="5433">
          <cell r="A5433">
            <v>9689991</v>
          </cell>
          <cell r="B5433">
            <v>342890</v>
          </cell>
          <cell r="C5433" t="str">
            <v>COURIER EXPRESS CHARGES/CREDIT</v>
          </cell>
        </row>
        <row r="5434">
          <cell r="A5434">
            <v>9689992</v>
          </cell>
          <cell r="B5434">
            <v>342890</v>
          </cell>
          <cell r="C5434" t="str">
            <v>COURIER EXPRESS CHARGES/CREDIT</v>
          </cell>
        </row>
        <row r="5435">
          <cell r="A5435">
            <v>9689993</v>
          </cell>
          <cell r="B5435">
            <v>342890</v>
          </cell>
          <cell r="C5435" t="str">
            <v>COURIER EXPRESS CHARGES/CREDIT</v>
          </cell>
        </row>
        <row r="5436">
          <cell r="A5436">
            <v>9689994</v>
          </cell>
          <cell r="B5436">
            <v>342890</v>
          </cell>
          <cell r="C5436" t="str">
            <v>COURIER EXPRESS CHARGES/CREDIT</v>
          </cell>
        </row>
        <row r="5437">
          <cell r="A5437">
            <v>9722709</v>
          </cell>
          <cell r="B5437">
            <v>342890</v>
          </cell>
          <cell r="C5437" t="str">
            <v>COURIER EXPRESS CHARGES/CREDIT</v>
          </cell>
        </row>
        <row r="5438">
          <cell r="A5438">
            <v>9722713</v>
          </cell>
          <cell r="B5438">
            <v>342890</v>
          </cell>
          <cell r="C5438" t="str">
            <v>COURIER EXPRESS CHARGES/CREDIT</v>
          </cell>
        </row>
        <row r="5439">
          <cell r="A5439">
            <v>9723729</v>
          </cell>
          <cell r="B5439">
            <v>342890</v>
          </cell>
          <cell r="C5439" t="str">
            <v>COURIER EXPRESS CHARGES/CREDIT</v>
          </cell>
        </row>
        <row r="5440">
          <cell r="A5440">
            <v>9724718</v>
          </cell>
          <cell r="B5440">
            <v>342890</v>
          </cell>
          <cell r="C5440" t="str">
            <v>COURIER EXPRESS CHARGES/CREDIT</v>
          </cell>
        </row>
        <row r="5441">
          <cell r="A5441">
            <v>9967681</v>
          </cell>
          <cell r="B5441">
            <v>342890</v>
          </cell>
          <cell r="C5441" t="str">
            <v>COURIER EXPRESS CHARGES/CREDIT</v>
          </cell>
        </row>
        <row r="5442">
          <cell r="A5442">
            <v>9080700</v>
          </cell>
          <cell r="B5442">
            <v>342990</v>
          </cell>
          <cell r="C5442" t="str">
            <v>OTHER INDIRECT EXPENSE</v>
          </cell>
        </row>
        <row r="5443">
          <cell r="A5443">
            <v>9080701</v>
          </cell>
          <cell r="B5443">
            <v>342990</v>
          </cell>
          <cell r="C5443" t="str">
            <v>OTHER INDIRECT EXPENSE</v>
          </cell>
        </row>
        <row r="5444">
          <cell r="A5444">
            <v>9080702</v>
          </cell>
          <cell r="B5444">
            <v>342990</v>
          </cell>
          <cell r="C5444" t="str">
            <v>OTHER INDIRECT EXPENSE</v>
          </cell>
        </row>
        <row r="5445">
          <cell r="A5445">
            <v>9080705</v>
          </cell>
          <cell r="B5445">
            <v>342990</v>
          </cell>
          <cell r="C5445" t="str">
            <v>OTHER INDIRECT EXPENSE</v>
          </cell>
        </row>
        <row r="5446">
          <cell r="A5446">
            <v>9080707</v>
          </cell>
          <cell r="B5446">
            <v>342990</v>
          </cell>
          <cell r="C5446" t="str">
            <v>OTHER INDIRECT EXPENSE</v>
          </cell>
        </row>
        <row r="5447">
          <cell r="A5447">
            <v>9080710</v>
          </cell>
          <cell r="B5447">
            <v>342990</v>
          </cell>
          <cell r="C5447" t="str">
            <v>OTHER INDIRECT EXPENSE</v>
          </cell>
        </row>
        <row r="5448">
          <cell r="A5448">
            <v>9090710</v>
          </cell>
          <cell r="B5448">
            <v>342990</v>
          </cell>
          <cell r="C5448" t="str">
            <v>OTHER INDIRECT EXPENSE</v>
          </cell>
        </row>
        <row r="5449">
          <cell r="A5449">
            <v>9090999</v>
          </cell>
          <cell r="B5449">
            <v>342990</v>
          </cell>
          <cell r="C5449" t="str">
            <v>OTHER INDIRECT EXPENSE</v>
          </cell>
        </row>
        <row r="5450">
          <cell r="A5450">
            <v>9100710</v>
          </cell>
          <cell r="B5450">
            <v>342990</v>
          </cell>
          <cell r="C5450" t="str">
            <v>OTHER INDIRECT EXPENSE</v>
          </cell>
        </row>
        <row r="5451">
          <cell r="A5451">
            <v>9100999</v>
          </cell>
          <cell r="B5451">
            <v>342990</v>
          </cell>
          <cell r="C5451" t="str">
            <v>OTHER INDIRECT EXPENSE</v>
          </cell>
        </row>
        <row r="5452">
          <cell r="A5452">
            <v>9110700</v>
          </cell>
          <cell r="B5452">
            <v>342990</v>
          </cell>
          <cell r="C5452" t="str">
            <v>OTHER INDIRECT EXPENSE</v>
          </cell>
        </row>
        <row r="5453">
          <cell r="A5453">
            <v>9110702</v>
          </cell>
          <cell r="B5453">
            <v>342990</v>
          </cell>
          <cell r="C5453" t="str">
            <v>OTHER INDIRECT EXPENSE</v>
          </cell>
        </row>
        <row r="5454">
          <cell r="A5454">
            <v>9110705</v>
          </cell>
          <cell r="B5454">
            <v>342990</v>
          </cell>
          <cell r="C5454" t="str">
            <v>OTHER INDIRECT EXPENSE</v>
          </cell>
        </row>
        <row r="5455">
          <cell r="A5455">
            <v>9110707</v>
          </cell>
          <cell r="B5455">
            <v>342990</v>
          </cell>
          <cell r="C5455" t="str">
            <v>OTHER INDIRECT EXPENSE</v>
          </cell>
        </row>
        <row r="5456">
          <cell r="A5456">
            <v>9680700</v>
          </cell>
          <cell r="B5456">
            <v>342990</v>
          </cell>
          <cell r="C5456" t="str">
            <v>OTHER INDIRECT EXPENSE</v>
          </cell>
        </row>
        <row r="5457">
          <cell r="A5457">
            <v>9680701</v>
          </cell>
          <cell r="B5457">
            <v>342990</v>
          </cell>
          <cell r="C5457" t="str">
            <v>OTHER INDIRECT EXPENSE</v>
          </cell>
        </row>
        <row r="5458">
          <cell r="A5458">
            <v>9680702</v>
          </cell>
          <cell r="B5458">
            <v>342990</v>
          </cell>
          <cell r="C5458" t="str">
            <v>OTHER INDIRECT EXPENSE</v>
          </cell>
        </row>
        <row r="5459">
          <cell r="A5459">
            <v>9680705</v>
          </cell>
          <cell r="B5459">
            <v>342990</v>
          </cell>
          <cell r="C5459" t="str">
            <v>OTHER INDIRECT EXPENSE</v>
          </cell>
        </row>
        <row r="5460">
          <cell r="A5460">
            <v>9680707</v>
          </cell>
          <cell r="B5460">
            <v>342990</v>
          </cell>
          <cell r="C5460" t="str">
            <v>OTHER INDIRECT EXPENSE</v>
          </cell>
        </row>
        <row r="5461">
          <cell r="A5461">
            <v>9680710</v>
          </cell>
          <cell r="B5461">
            <v>342990</v>
          </cell>
          <cell r="C5461" t="str">
            <v>OTHER INDIRECT EXPENSE</v>
          </cell>
        </row>
        <row r="5462">
          <cell r="A5462">
            <v>9680712</v>
          </cell>
          <cell r="B5462">
            <v>342990</v>
          </cell>
          <cell r="C5462" t="str">
            <v>OTHER INDIRECT EXPENSE</v>
          </cell>
        </row>
        <row r="5463">
          <cell r="A5463">
            <v>9680714</v>
          </cell>
          <cell r="B5463">
            <v>342990</v>
          </cell>
          <cell r="C5463" t="str">
            <v>OTHER INDIRECT EXPENSE</v>
          </cell>
        </row>
        <row r="5464">
          <cell r="A5464">
            <v>9680734</v>
          </cell>
          <cell r="B5464">
            <v>342990</v>
          </cell>
          <cell r="C5464" t="str">
            <v>OTHER INDIRECT EXPENSE</v>
          </cell>
        </row>
        <row r="5465">
          <cell r="A5465">
            <v>9680748</v>
          </cell>
          <cell r="B5465">
            <v>342990</v>
          </cell>
          <cell r="C5465" t="str">
            <v>OTHER INDIRECT EXPENSE</v>
          </cell>
        </row>
        <row r="5466">
          <cell r="A5466">
            <v>9680749</v>
          </cell>
          <cell r="B5466">
            <v>342990</v>
          </cell>
          <cell r="C5466" t="str">
            <v>OTHER INDIRECT EXPENSE</v>
          </cell>
        </row>
        <row r="5467">
          <cell r="A5467">
            <v>9680894</v>
          </cell>
          <cell r="B5467">
            <v>342990</v>
          </cell>
          <cell r="C5467" t="str">
            <v>OTHER INDIRECT EXPENSE</v>
          </cell>
        </row>
        <row r="5468">
          <cell r="A5468">
            <v>9680999</v>
          </cell>
          <cell r="B5468">
            <v>342990</v>
          </cell>
          <cell r="C5468" t="str">
            <v>OTHER INDIRECT EXPENSE</v>
          </cell>
        </row>
        <row r="5469">
          <cell r="A5469">
            <v>9681700</v>
          </cell>
          <cell r="B5469">
            <v>342990</v>
          </cell>
          <cell r="C5469" t="str">
            <v>OTHER INDIRECT EXPENSE</v>
          </cell>
        </row>
        <row r="5470">
          <cell r="A5470">
            <v>9681701</v>
          </cell>
          <cell r="B5470">
            <v>342990</v>
          </cell>
          <cell r="C5470" t="str">
            <v>OTHER INDIRECT EXPENSE</v>
          </cell>
        </row>
        <row r="5471">
          <cell r="A5471">
            <v>9681702</v>
          </cell>
          <cell r="B5471">
            <v>342990</v>
          </cell>
          <cell r="C5471" t="str">
            <v>OTHER INDIRECT EXPENSE</v>
          </cell>
        </row>
        <row r="5472">
          <cell r="A5472">
            <v>9681705</v>
          </cell>
          <cell r="B5472">
            <v>342990</v>
          </cell>
          <cell r="C5472" t="str">
            <v>OTHER INDIRECT EXPENSE</v>
          </cell>
        </row>
        <row r="5473">
          <cell r="A5473">
            <v>9681706</v>
          </cell>
          <cell r="B5473">
            <v>342990</v>
          </cell>
          <cell r="C5473" t="str">
            <v>OTHER INDIRECT EXPENSE</v>
          </cell>
        </row>
        <row r="5474">
          <cell r="A5474">
            <v>9681707</v>
          </cell>
          <cell r="B5474">
            <v>342990</v>
          </cell>
          <cell r="C5474" t="str">
            <v>OTHER INDIRECT EXPENSE</v>
          </cell>
        </row>
        <row r="5475">
          <cell r="A5475">
            <v>9681710</v>
          </cell>
          <cell r="B5475">
            <v>342990</v>
          </cell>
          <cell r="C5475" t="str">
            <v>OTHER INDIRECT EXPENSE</v>
          </cell>
        </row>
        <row r="5476">
          <cell r="A5476">
            <v>9681712</v>
          </cell>
          <cell r="B5476">
            <v>342990</v>
          </cell>
          <cell r="C5476" t="str">
            <v>OTHER INDIRECT EXPENSE</v>
          </cell>
        </row>
        <row r="5477">
          <cell r="A5477">
            <v>9681727</v>
          </cell>
          <cell r="B5477">
            <v>342990</v>
          </cell>
          <cell r="C5477" t="str">
            <v>OTHER INDIRECT EXPENSE</v>
          </cell>
        </row>
        <row r="5478">
          <cell r="A5478">
            <v>9681734</v>
          </cell>
          <cell r="B5478">
            <v>342990</v>
          </cell>
          <cell r="C5478" t="str">
            <v>OTHER INDIRECT EXPENSE</v>
          </cell>
        </row>
        <row r="5479">
          <cell r="A5479">
            <v>9681748</v>
          </cell>
          <cell r="B5479">
            <v>342990</v>
          </cell>
          <cell r="C5479" t="str">
            <v>OTHER INDIRECT EXPENSE</v>
          </cell>
        </row>
        <row r="5480">
          <cell r="A5480">
            <v>9681749</v>
          </cell>
          <cell r="B5480">
            <v>342990</v>
          </cell>
          <cell r="C5480" t="str">
            <v>OTHER INDIRECT EXPENSE</v>
          </cell>
        </row>
        <row r="5481">
          <cell r="A5481">
            <v>9681894</v>
          </cell>
          <cell r="B5481">
            <v>342990</v>
          </cell>
          <cell r="C5481" t="str">
            <v>OTHER INDIRECT EXPENSE</v>
          </cell>
        </row>
        <row r="5482">
          <cell r="A5482">
            <v>9681999</v>
          </cell>
          <cell r="B5482">
            <v>342990</v>
          </cell>
          <cell r="C5482" t="str">
            <v>OTHER INDIRECT EXPENSE</v>
          </cell>
        </row>
        <row r="5483">
          <cell r="A5483">
            <v>9682715</v>
          </cell>
          <cell r="B5483">
            <v>342990</v>
          </cell>
          <cell r="C5483" t="str">
            <v>OTHER INDIRECT EXPENSE</v>
          </cell>
        </row>
        <row r="5484">
          <cell r="A5484">
            <v>9682722</v>
          </cell>
          <cell r="B5484">
            <v>342990</v>
          </cell>
          <cell r="C5484" t="str">
            <v>OTHER INDIRECT EXPENSE</v>
          </cell>
        </row>
        <row r="5485">
          <cell r="A5485">
            <v>9682999</v>
          </cell>
          <cell r="B5485">
            <v>342990</v>
          </cell>
          <cell r="C5485" t="str">
            <v>OTHER INDIRECT EXPENSE</v>
          </cell>
        </row>
        <row r="5486">
          <cell r="A5486">
            <v>9683999</v>
          </cell>
          <cell r="B5486">
            <v>342990</v>
          </cell>
          <cell r="C5486" t="str">
            <v>OTHER INDIRECT EXPENSE</v>
          </cell>
        </row>
        <row r="5487">
          <cell r="A5487">
            <v>9684999</v>
          </cell>
          <cell r="B5487">
            <v>342990</v>
          </cell>
          <cell r="C5487" t="str">
            <v>OTHER INDIRECT EXPENSE</v>
          </cell>
        </row>
        <row r="5488">
          <cell r="A5488">
            <v>9689692</v>
          </cell>
          <cell r="B5488">
            <v>342990</v>
          </cell>
          <cell r="C5488" t="str">
            <v>OTHER INDIRECT EXPENSE</v>
          </cell>
        </row>
        <row r="5489">
          <cell r="A5489">
            <v>9689747</v>
          </cell>
          <cell r="B5489">
            <v>342990</v>
          </cell>
          <cell r="C5489" t="str">
            <v>OTHER INDIRECT EXPENSE</v>
          </cell>
        </row>
        <row r="5490">
          <cell r="A5490">
            <v>9689883</v>
          </cell>
          <cell r="B5490">
            <v>342990</v>
          </cell>
          <cell r="C5490" t="str">
            <v>OTHER INDIRECT EXPENSE</v>
          </cell>
        </row>
        <row r="5491">
          <cell r="A5491">
            <v>9689890</v>
          </cell>
          <cell r="B5491">
            <v>342990</v>
          </cell>
          <cell r="C5491" t="str">
            <v>OTHER INDIRECT EXPENSE</v>
          </cell>
        </row>
        <row r="5492">
          <cell r="A5492">
            <v>9689906</v>
          </cell>
          <cell r="B5492">
            <v>342990</v>
          </cell>
          <cell r="C5492" t="str">
            <v>OTHER INDIRECT EXPENSE</v>
          </cell>
        </row>
        <row r="5493">
          <cell r="A5493">
            <v>9689925</v>
          </cell>
          <cell r="B5493">
            <v>342990</v>
          </cell>
          <cell r="C5493" t="str">
            <v>OTHER INDIRECT EXPENSE</v>
          </cell>
        </row>
        <row r="5494">
          <cell r="A5494">
            <v>9689990</v>
          </cell>
          <cell r="B5494">
            <v>342990</v>
          </cell>
          <cell r="C5494" t="str">
            <v>OTHER INDIRECT EXPENSE</v>
          </cell>
        </row>
        <row r="5495">
          <cell r="A5495">
            <v>9689992</v>
          </cell>
          <cell r="B5495">
            <v>342990</v>
          </cell>
          <cell r="C5495" t="str">
            <v>OTHER INDIRECT EXPENSE</v>
          </cell>
        </row>
        <row r="5496">
          <cell r="A5496">
            <v>9720703</v>
          </cell>
          <cell r="B5496">
            <v>342990</v>
          </cell>
          <cell r="C5496" t="str">
            <v>OTHER INDIRECT EXPENSE</v>
          </cell>
        </row>
        <row r="5497">
          <cell r="A5497">
            <v>9722709</v>
          </cell>
          <cell r="B5497">
            <v>342990</v>
          </cell>
          <cell r="C5497" t="str">
            <v>OTHER INDIRECT EXPENSE</v>
          </cell>
        </row>
        <row r="5498">
          <cell r="A5498">
            <v>9722713</v>
          </cell>
          <cell r="B5498">
            <v>342990</v>
          </cell>
          <cell r="C5498" t="str">
            <v>OTHER INDIRECT EXPENSE</v>
          </cell>
        </row>
        <row r="5499">
          <cell r="A5499">
            <v>9723723</v>
          </cell>
          <cell r="B5499">
            <v>342990</v>
          </cell>
          <cell r="C5499" t="str">
            <v>OTHER INDIRECT EXPENSE</v>
          </cell>
        </row>
        <row r="5500">
          <cell r="A5500">
            <v>9723729</v>
          </cell>
          <cell r="B5500">
            <v>342990</v>
          </cell>
          <cell r="C5500" t="str">
            <v>OTHER INDIRECT EXPENSE</v>
          </cell>
        </row>
        <row r="5501">
          <cell r="A5501">
            <v>9724718</v>
          </cell>
          <cell r="B5501">
            <v>342990</v>
          </cell>
          <cell r="C5501" t="str">
            <v>OTHER INDIRECT EXPENSE</v>
          </cell>
        </row>
        <row r="5502">
          <cell r="A5502">
            <v>9724721</v>
          </cell>
          <cell r="B5502">
            <v>342990</v>
          </cell>
          <cell r="C5502" t="str">
            <v>OTHER INDIRECT EXPENSE</v>
          </cell>
        </row>
        <row r="5503">
          <cell r="A5503">
            <v>9724724</v>
          </cell>
          <cell r="B5503">
            <v>342990</v>
          </cell>
          <cell r="C5503" t="str">
            <v>OTHER INDIRECT EXPENSE</v>
          </cell>
        </row>
        <row r="5504">
          <cell r="A5504">
            <v>9725703</v>
          </cell>
          <cell r="B5504">
            <v>342990</v>
          </cell>
          <cell r="C5504" t="str">
            <v>OTHER INDIRECT EXPENSE</v>
          </cell>
        </row>
        <row r="5505">
          <cell r="A5505">
            <v>9725704</v>
          </cell>
          <cell r="B5505">
            <v>342990</v>
          </cell>
          <cell r="C5505" t="str">
            <v>OTHER INDIRECT EXPENSE</v>
          </cell>
        </row>
        <row r="5506">
          <cell r="A5506">
            <v>9725711</v>
          </cell>
          <cell r="B5506">
            <v>342990</v>
          </cell>
          <cell r="C5506" t="str">
            <v>OTHER INDIRECT EXPENSE</v>
          </cell>
        </row>
        <row r="5507">
          <cell r="A5507">
            <v>9725717</v>
          </cell>
          <cell r="B5507">
            <v>342990</v>
          </cell>
          <cell r="C5507" t="str">
            <v>OTHER INDIRECT EXPENSE</v>
          </cell>
        </row>
        <row r="5508">
          <cell r="A5508">
            <v>9725725</v>
          </cell>
          <cell r="B5508">
            <v>342990</v>
          </cell>
          <cell r="C5508" t="str">
            <v>OTHER INDIRECT EXPENSE</v>
          </cell>
        </row>
        <row r="5509">
          <cell r="A5509">
            <v>9680999</v>
          </cell>
          <cell r="B5509">
            <v>351203</v>
          </cell>
          <cell r="C5509" t="str">
            <v>REAL PROPERTY TAX</v>
          </cell>
        </row>
        <row r="5510">
          <cell r="A5510">
            <v>9681999</v>
          </cell>
          <cell r="B5510">
            <v>351204</v>
          </cell>
          <cell r="C5510" t="str">
            <v>PERSONAL PROPERTY TAX</v>
          </cell>
        </row>
        <row r="5511">
          <cell r="A5511">
            <v>9689883</v>
          </cell>
          <cell r="B5511">
            <v>351204</v>
          </cell>
          <cell r="C5511" t="str">
            <v>PERSONAL PROPERTY TAX</v>
          </cell>
        </row>
        <row r="5512">
          <cell r="A5512">
            <v>9689992</v>
          </cell>
          <cell r="B5512">
            <v>351204</v>
          </cell>
          <cell r="C5512" t="str">
            <v>PERSONAL PROPERTY TAX</v>
          </cell>
        </row>
        <row r="5513">
          <cell r="A5513">
            <v>9689993</v>
          </cell>
          <cell r="B5513">
            <v>351204</v>
          </cell>
          <cell r="C5513" t="str">
            <v>PERSONAL PROPERTY TAX</v>
          </cell>
        </row>
        <row r="5514">
          <cell r="A5514">
            <v>8001054179</v>
          </cell>
          <cell r="B5514">
            <v>351493</v>
          </cell>
          <cell r="C5514" t="str">
            <v>ONTARIO CAPITAL TAX EXPENSE</v>
          </cell>
        </row>
        <row r="5515">
          <cell r="A5515">
            <v>8001059542</v>
          </cell>
          <cell r="B5515">
            <v>351493</v>
          </cell>
          <cell r="C5515" t="str">
            <v>ONTARIO CAPITAL TAX EXPENSE</v>
          </cell>
        </row>
        <row r="5516">
          <cell r="A5516">
            <v>8010512510</v>
          </cell>
          <cell r="B5516">
            <v>351493</v>
          </cell>
          <cell r="C5516" t="str">
            <v>ONTARIO CAPITAL TAX EXPENSE</v>
          </cell>
        </row>
        <row r="5517">
          <cell r="A5517">
            <v>9969681</v>
          </cell>
          <cell r="B5517">
            <v>351493</v>
          </cell>
          <cell r="C5517" t="str">
            <v>ONTARIO CAPITAL TAX EXPENSE</v>
          </cell>
        </row>
        <row r="5518">
          <cell r="A5518">
            <v>9969901</v>
          </cell>
          <cell r="B5518">
            <v>351493</v>
          </cell>
          <cell r="C5518" t="str">
            <v>ONTARIO CAPITAL TAX EXPENSE</v>
          </cell>
        </row>
        <row r="5519">
          <cell r="A5519" t="str">
            <v>ZONE-0105-POST</v>
          </cell>
          <cell r="B5519">
            <v>351493</v>
          </cell>
          <cell r="C5519" t="str">
            <v>ONTARIO CAPITAL TAX EXPENSE</v>
          </cell>
        </row>
        <row r="5520">
          <cell r="A5520" t="str">
            <v>ZONE-0112-POST</v>
          </cell>
          <cell r="B5520">
            <v>351493</v>
          </cell>
          <cell r="C5520" t="str">
            <v>ONTARIO CAPITAL TAX EXPENSE</v>
          </cell>
        </row>
        <row r="5521">
          <cell r="A5521">
            <v>9689890</v>
          </cell>
          <cell r="B5521">
            <v>351900</v>
          </cell>
          <cell r="C5521" t="str">
            <v>LICENSES</v>
          </cell>
        </row>
        <row r="5522">
          <cell r="A5522">
            <v>8001054179</v>
          </cell>
          <cell r="B5522">
            <v>351990</v>
          </cell>
          <cell r="C5522" t="str">
            <v>OTHER TAXES AND LICENSES</v>
          </cell>
        </row>
        <row r="5523">
          <cell r="A5523">
            <v>8001059542</v>
          </cell>
          <cell r="B5523">
            <v>351990</v>
          </cell>
          <cell r="C5523" t="str">
            <v>OTHER TAXES AND LICENSES</v>
          </cell>
        </row>
        <row r="5524">
          <cell r="A5524">
            <v>8010512510</v>
          </cell>
          <cell r="B5524">
            <v>351990</v>
          </cell>
          <cell r="C5524" t="str">
            <v>OTHER TAXES AND LICENSES</v>
          </cell>
        </row>
        <row r="5525">
          <cell r="A5525">
            <v>9080999</v>
          </cell>
          <cell r="B5525">
            <v>351990</v>
          </cell>
          <cell r="C5525" t="str">
            <v>OTHER TAXES AND LICENSES</v>
          </cell>
        </row>
        <row r="5526">
          <cell r="A5526">
            <v>9110999</v>
          </cell>
          <cell r="B5526">
            <v>351990</v>
          </cell>
          <cell r="C5526" t="str">
            <v>OTHER TAXES AND LICENSES</v>
          </cell>
        </row>
        <row r="5527">
          <cell r="A5527">
            <v>9684999</v>
          </cell>
          <cell r="B5527">
            <v>351990</v>
          </cell>
          <cell r="C5527" t="str">
            <v>OTHER TAXES AND LICENSES</v>
          </cell>
        </row>
        <row r="5528">
          <cell r="A5528">
            <v>9689883</v>
          </cell>
          <cell r="B5528">
            <v>351990</v>
          </cell>
          <cell r="C5528" t="str">
            <v>OTHER TAXES AND LICENSES</v>
          </cell>
        </row>
        <row r="5529">
          <cell r="A5529">
            <v>9689904</v>
          </cell>
          <cell r="B5529">
            <v>351990</v>
          </cell>
          <cell r="C5529" t="str">
            <v>OTHER TAXES AND LICENSES</v>
          </cell>
        </row>
        <row r="5530">
          <cell r="A5530">
            <v>9689991</v>
          </cell>
          <cell r="B5530">
            <v>351990</v>
          </cell>
          <cell r="C5530" t="str">
            <v>OTHER TAXES AND LICENSES</v>
          </cell>
        </row>
        <row r="5531">
          <cell r="A5531">
            <v>9689992</v>
          </cell>
          <cell r="B5531">
            <v>351990</v>
          </cell>
          <cell r="C5531" t="str">
            <v>OTHER TAXES AND LICENSES</v>
          </cell>
        </row>
        <row r="5532">
          <cell r="A5532">
            <v>9689994</v>
          </cell>
          <cell r="B5532">
            <v>351990</v>
          </cell>
          <cell r="C5532" t="str">
            <v>OTHER TAXES AND LICENSES</v>
          </cell>
        </row>
        <row r="5533">
          <cell r="A5533">
            <v>9969681</v>
          </cell>
          <cell r="B5533">
            <v>351990</v>
          </cell>
          <cell r="C5533" t="str">
            <v>OTHER TAXES AND LICENSES</v>
          </cell>
        </row>
        <row r="5534">
          <cell r="A5534">
            <v>9969901</v>
          </cell>
          <cell r="B5534">
            <v>351990</v>
          </cell>
          <cell r="C5534" t="str">
            <v>OTHER TAXES AND LICENSES</v>
          </cell>
        </row>
        <row r="5535">
          <cell r="A5535" t="str">
            <v>ZONE-0105-POST</v>
          </cell>
          <cell r="B5535">
            <v>351990</v>
          </cell>
          <cell r="C5535" t="str">
            <v>OTHER TAXES AND LICENSES</v>
          </cell>
        </row>
        <row r="5536">
          <cell r="A5536" t="str">
            <v>ZONE-0112-POST</v>
          </cell>
          <cell r="B5536">
            <v>351990</v>
          </cell>
          <cell r="C5536" t="str">
            <v>OTHER TAXES AND LICENSES</v>
          </cell>
        </row>
        <row r="5537">
          <cell r="A5537">
            <v>9720703</v>
          </cell>
          <cell r="B5537">
            <v>352530</v>
          </cell>
          <cell r="C5537" t="str">
            <v>DONATION - CASH</v>
          </cell>
        </row>
        <row r="5538">
          <cell r="A5538">
            <v>9724718</v>
          </cell>
          <cell r="B5538">
            <v>352530</v>
          </cell>
          <cell r="C5538" t="str">
            <v>DONATION - CASH</v>
          </cell>
        </row>
        <row r="5539">
          <cell r="A5539">
            <v>9724721</v>
          </cell>
          <cell r="B5539">
            <v>352530</v>
          </cell>
          <cell r="C5539" t="str">
            <v>DONATION - CASH</v>
          </cell>
        </row>
        <row r="5540">
          <cell r="A5540">
            <v>9724724</v>
          </cell>
          <cell r="B5540">
            <v>352530</v>
          </cell>
          <cell r="C5540" t="str">
            <v>DONATION - CASH</v>
          </cell>
        </row>
        <row r="5541">
          <cell r="A5541">
            <v>9725703</v>
          </cell>
          <cell r="B5541">
            <v>352530</v>
          </cell>
          <cell r="C5541" t="str">
            <v>DONATION - CASH</v>
          </cell>
        </row>
        <row r="5542">
          <cell r="A5542">
            <v>9725704</v>
          </cell>
          <cell r="B5542">
            <v>352530</v>
          </cell>
          <cell r="C5542" t="str">
            <v>DONATION - CASH</v>
          </cell>
        </row>
        <row r="5543">
          <cell r="A5543">
            <v>9725711</v>
          </cell>
          <cell r="B5543">
            <v>352530</v>
          </cell>
          <cell r="C5543" t="str">
            <v>DONATION - CASH</v>
          </cell>
        </row>
        <row r="5544">
          <cell r="A5544">
            <v>9725717</v>
          </cell>
          <cell r="B5544">
            <v>352530</v>
          </cell>
          <cell r="C5544" t="str">
            <v>DONATION - CASH</v>
          </cell>
        </row>
        <row r="5545">
          <cell r="A5545">
            <v>9725725</v>
          </cell>
          <cell r="B5545">
            <v>352530</v>
          </cell>
          <cell r="C5545" t="str">
            <v>DONATION - CASH</v>
          </cell>
        </row>
        <row r="5546">
          <cell r="A5546">
            <v>9080700</v>
          </cell>
          <cell r="B5546">
            <v>352593</v>
          </cell>
          <cell r="C5546" t="str">
            <v>DONATIONS &amp; DUES</v>
          </cell>
        </row>
        <row r="5547">
          <cell r="A5547">
            <v>9080701</v>
          </cell>
          <cell r="B5547">
            <v>352593</v>
          </cell>
          <cell r="C5547" t="str">
            <v>DONATIONS &amp; DUES</v>
          </cell>
        </row>
        <row r="5548">
          <cell r="A5548">
            <v>9080702</v>
          </cell>
          <cell r="B5548">
            <v>352593</v>
          </cell>
          <cell r="C5548" t="str">
            <v>DONATIONS &amp; DUES</v>
          </cell>
        </row>
        <row r="5549">
          <cell r="A5549">
            <v>9080705</v>
          </cell>
          <cell r="B5549">
            <v>352593</v>
          </cell>
          <cell r="C5549" t="str">
            <v>DONATIONS &amp; DUES</v>
          </cell>
        </row>
        <row r="5550">
          <cell r="A5550">
            <v>9080707</v>
          </cell>
          <cell r="B5550">
            <v>352593</v>
          </cell>
          <cell r="C5550" t="str">
            <v>DONATIONS &amp; DUES</v>
          </cell>
        </row>
        <row r="5551">
          <cell r="A5551">
            <v>9080710</v>
          </cell>
          <cell r="B5551">
            <v>352593</v>
          </cell>
          <cell r="C5551" t="str">
            <v>DONATIONS &amp; DUES</v>
          </cell>
        </row>
        <row r="5552">
          <cell r="A5552">
            <v>9090710</v>
          </cell>
          <cell r="B5552">
            <v>352593</v>
          </cell>
          <cell r="C5552" t="str">
            <v>DONATIONS &amp; DUES</v>
          </cell>
        </row>
        <row r="5553">
          <cell r="A5553">
            <v>9090999</v>
          </cell>
          <cell r="B5553">
            <v>352593</v>
          </cell>
          <cell r="C5553" t="str">
            <v>DONATIONS &amp; DUES</v>
          </cell>
        </row>
        <row r="5554">
          <cell r="A5554">
            <v>9100710</v>
          </cell>
          <cell r="B5554">
            <v>352593</v>
          </cell>
          <cell r="C5554" t="str">
            <v>DONATIONS &amp; DUES</v>
          </cell>
        </row>
        <row r="5555">
          <cell r="A5555">
            <v>9100999</v>
          </cell>
          <cell r="B5555">
            <v>352593</v>
          </cell>
          <cell r="C5555" t="str">
            <v>DONATIONS &amp; DUES</v>
          </cell>
        </row>
        <row r="5556">
          <cell r="A5556">
            <v>9110700</v>
          </cell>
          <cell r="B5556">
            <v>352593</v>
          </cell>
          <cell r="C5556" t="str">
            <v>DONATIONS &amp; DUES</v>
          </cell>
        </row>
        <row r="5557">
          <cell r="A5557">
            <v>9110702</v>
          </cell>
          <cell r="B5557">
            <v>352593</v>
          </cell>
          <cell r="C5557" t="str">
            <v>DONATIONS &amp; DUES</v>
          </cell>
        </row>
        <row r="5558">
          <cell r="A5558">
            <v>9110705</v>
          </cell>
          <cell r="B5558">
            <v>352593</v>
          </cell>
          <cell r="C5558" t="str">
            <v>DONATIONS &amp; DUES</v>
          </cell>
        </row>
        <row r="5559">
          <cell r="A5559">
            <v>9110707</v>
          </cell>
          <cell r="B5559">
            <v>352593</v>
          </cell>
          <cell r="C5559" t="str">
            <v>DONATIONS &amp; DUES</v>
          </cell>
        </row>
        <row r="5560">
          <cell r="A5560">
            <v>9680700</v>
          </cell>
          <cell r="B5560">
            <v>352593</v>
          </cell>
          <cell r="C5560" t="str">
            <v>DONATIONS &amp; DUES</v>
          </cell>
        </row>
        <row r="5561">
          <cell r="A5561">
            <v>9680701</v>
          </cell>
          <cell r="B5561">
            <v>352593</v>
          </cell>
          <cell r="C5561" t="str">
            <v>DONATIONS &amp; DUES</v>
          </cell>
        </row>
        <row r="5562">
          <cell r="A5562">
            <v>9680702</v>
          </cell>
          <cell r="B5562">
            <v>352593</v>
          </cell>
          <cell r="C5562" t="str">
            <v>DONATIONS &amp; DUES</v>
          </cell>
        </row>
        <row r="5563">
          <cell r="A5563">
            <v>9680705</v>
          </cell>
          <cell r="B5563">
            <v>352593</v>
          </cell>
          <cell r="C5563" t="str">
            <v>DONATIONS &amp; DUES</v>
          </cell>
        </row>
        <row r="5564">
          <cell r="A5564">
            <v>9680707</v>
          </cell>
          <cell r="B5564">
            <v>352593</v>
          </cell>
          <cell r="C5564" t="str">
            <v>DONATIONS &amp; DUES</v>
          </cell>
        </row>
        <row r="5565">
          <cell r="A5565">
            <v>9680710</v>
          </cell>
          <cell r="B5565">
            <v>352593</v>
          </cell>
          <cell r="C5565" t="str">
            <v>DONATIONS &amp; DUES</v>
          </cell>
        </row>
        <row r="5566">
          <cell r="A5566">
            <v>9680712</v>
          </cell>
          <cell r="B5566">
            <v>352593</v>
          </cell>
          <cell r="C5566" t="str">
            <v>DONATIONS &amp; DUES</v>
          </cell>
        </row>
        <row r="5567">
          <cell r="A5567">
            <v>9680714</v>
          </cell>
          <cell r="B5567">
            <v>352593</v>
          </cell>
          <cell r="C5567" t="str">
            <v>DONATIONS &amp; DUES</v>
          </cell>
        </row>
        <row r="5568">
          <cell r="A5568">
            <v>9680734</v>
          </cell>
          <cell r="B5568">
            <v>352593</v>
          </cell>
          <cell r="C5568" t="str">
            <v>DONATIONS &amp; DUES</v>
          </cell>
        </row>
        <row r="5569">
          <cell r="A5569">
            <v>9680748</v>
          </cell>
          <cell r="B5569">
            <v>352593</v>
          </cell>
          <cell r="C5569" t="str">
            <v>DONATIONS &amp; DUES</v>
          </cell>
        </row>
        <row r="5570">
          <cell r="A5570">
            <v>9680749</v>
          </cell>
          <cell r="B5570">
            <v>352593</v>
          </cell>
          <cell r="C5570" t="str">
            <v>DONATIONS &amp; DUES</v>
          </cell>
        </row>
        <row r="5571">
          <cell r="A5571">
            <v>9680894</v>
          </cell>
          <cell r="B5571">
            <v>352593</v>
          </cell>
          <cell r="C5571" t="str">
            <v>DONATIONS &amp; DUES</v>
          </cell>
        </row>
        <row r="5572">
          <cell r="A5572">
            <v>9680999</v>
          </cell>
          <cell r="B5572">
            <v>352593</v>
          </cell>
          <cell r="C5572" t="str">
            <v>DONATIONS &amp; DUES</v>
          </cell>
        </row>
        <row r="5573">
          <cell r="A5573">
            <v>9681700</v>
          </cell>
          <cell r="B5573">
            <v>352593</v>
          </cell>
          <cell r="C5573" t="str">
            <v>DONATIONS &amp; DUES</v>
          </cell>
        </row>
        <row r="5574">
          <cell r="A5574">
            <v>9681701</v>
          </cell>
          <cell r="B5574">
            <v>352593</v>
          </cell>
          <cell r="C5574" t="str">
            <v>DONATIONS &amp; DUES</v>
          </cell>
        </row>
        <row r="5575">
          <cell r="A5575">
            <v>9681702</v>
          </cell>
          <cell r="B5575">
            <v>352593</v>
          </cell>
          <cell r="C5575" t="str">
            <v>DONATIONS &amp; DUES</v>
          </cell>
        </row>
        <row r="5576">
          <cell r="A5576">
            <v>9681705</v>
          </cell>
          <cell r="B5576">
            <v>352593</v>
          </cell>
          <cell r="C5576" t="str">
            <v>DONATIONS &amp; DUES</v>
          </cell>
        </row>
        <row r="5577">
          <cell r="A5577">
            <v>9681706</v>
          </cell>
          <cell r="B5577">
            <v>352593</v>
          </cell>
          <cell r="C5577" t="str">
            <v>DONATIONS &amp; DUES</v>
          </cell>
        </row>
        <row r="5578">
          <cell r="A5578">
            <v>9681707</v>
          </cell>
          <cell r="B5578">
            <v>352593</v>
          </cell>
          <cell r="C5578" t="str">
            <v>DONATIONS &amp; DUES</v>
          </cell>
        </row>
        <row r="5579">
          <cell r="A5579">
            <v>9681710</v>
          </cell>
          <cell r="B5579">
            <v>352593</v>
          </cell>
          <cell r="C5579" t="str">
            <v>DONATIONS &amp; DUES</v>
          </cell>
        </row>
        <row r="5580">
          <cell r="A5580">
            <v>9681712</v>
          </cell>
          <cell r="B5580">
            <v>352593</v>
          </cell>
          <cell r="C5580" t="str">
            <v>DONATIONS &amp; DUES</v>
          </cell>
        </row>
        <row r="5581">
          <cell r="A5581">
            <v>9681727</v>
          </cell>
          <cell r="B5581">
            <v>352593</v>
          </cell>
          <cell r="C5581" t="str">
            <v>DONATIONS &amp; DUES</v>
          </cell>
        </row>
        <row r="5582">
          <cell r="A5582">
            <v>9681734</v>
          </cell>
          <cell r="B5582">
            <v>352593</v>
          </cell>
          <cell r="C5582" t="str">
            <v>DONATIONS &amp; DUES</v>
          </cell>
        </row>
        <row r="5583">
          <cell r="A5583">
            <v>9681748</v>
          </cell>
          <cell r="B5583">
            <v>352593</v>
          </cell>
          <cell r="C5583" t="str">
            <v>DONATIONS &amp; DUES</v>
          </cell>
        </row>
        <row r="5584">
          <cell r="A5584">
            <v>9681749</v>
          </cell>
          <cell r="B5584">
            <v>352593</v>
          </cell>
          <cell r="C5584" t="str">
            <v>DONATIONS &amp; DUES</v>
          </cell>
        </row>
        <row r="5585">
          <cell r="A5585">
            <v>9681894</v>
          </cell>
          <cell r="B5585">
            <v>352593</v>
          </cell>
          <cell r="C5585" t="str">
            <v>DONATIONS &amp; DUES</v>
          </cell>
        </row>
        <row r="5586">
          <cell r="A5586">
            <v>9681999</v>
          </cell>
          <cell r="B5586">
            <v>352593</v>
          </cell>
          <cell r="C5586" t="str">
            <v>DONATIONS &amp; DUES</v>
          </cell>
        </row>
        <row r="5587">
          <cell r="A5587">
            <v>9689692</v>
          </cell>
          <cell r="B5587">
            <v>352593</v>
          </cell>
          <cell r="C5587" t="str">
            <v>DONATIONS &amp; DUES</v>
          </cell>
        </row>
        <row r="5588">
          <cell r="A5588">
            <v>9689747</v>
          </cell>
          <cell r="B5588">
            <v>352593</v>
          </cell>
          <cell r="C5588" t="str">
            <v>DONATIONS &amp; DUES</v>
          </cell>
        </row>
        <row r="5589">
          <cell r="A5589">
            <v>9689890</v>
          </cell>
          <cell r="B5589">
            <v>352593</v>
          </cell>
          <cell r="C5589" t="str">
            <v>DONATIONS &amp; DUES</v>
          </cell>
        </row>
        <row r="5590">
          <cell r="A5590">
            <v>9689925</v>
          </cell>
          <cell r="B5590">
            <v>352593</v>
          </cell>
          <cell r="C5590" t="str">
            <v>DONATIONS &amp; DUES</v>
          </cell>
        </row>
        <row r="5591">
          <cell r="A5591">
            <v>9689990</v>
          </cell>
          <cell r="B5591">
            <v>352593</v>
          </cell>
          <cell r="C5591" t="str">
            <v>DONATIONS &amp; DUES</v>
          </cell>
        </row>
        <row r="5592">
          <cell r="A5592">
            <v>9689993</v>
          </cell>
          <cell r="B5592">
            <v>352593</v>
          </cell>
          <cell r="C5592" t="str">
            <v>DONATIONS &amp; DUES</v>
          </cell>
        </row>
        <row r="5593">
          <cell r="A5593">
            <v>9080999</v>
          </cell>
          <cell r="B5593">
            <v>352603</v>
          </cell>
          <cell r="C5593" t="str">
            <v>DUES-RETAIL-PROFESSIONAL ASSOC</v>
          </cell>
        </row>
        <row r="5594">
          <cell r="A5594">
            <v>9110999</v>
          </cell>
          <cell r="B5594">
            <v>352603</v>
          </cell>
          <cell r="C5594" t="str">
            <v>DUES-RETAIL-PROFESSIONAL ASSOC</v>
          </cell>
        </row>
        <row r="5595">
          <cell r="A5595">
            <v>9681999</v>
          </cell>
          <cell r="B5595">
            <v>352603</v>
          </cell>
          <cell r="C5595" t="str">
            <v>DUES-RETAIL-PROFESSIONAL ASSOC</v>
          </cell>
        </row>
        <row r="5596">
          <cell r="A5596">
            <v>9682999</v>
          </cell>
          <cell r="B5596">
            <v>352603</v>
          </cell>
          <cell r="C5596" t="str">
            <v>DUES-RETAIL-PROFESSIONAL ASSOC</v>
          </cell>
        </row>
        <row r="5597">
          <cell r="A5597">
            <v>9689991</v>
          </cell>
          <cell r="B5597">
            <v>352603</v>
          </cell>
          <cell r="C5597" t="str">
            <v>DUES-RETAIL-PROFESSIONAL ASSOC</v>
          </cell>
        </row>
        <row r="5598">
          <cell r="A5598">
            <v>9689994</v>
          </cell>
          <cell r="B5598">
            <v>352603</v>
          </cell>
          <cell r="C5598" t="str">
            <v>DUES-RETAIL-PROFESSIONAL ASSOC</v>
          </cell>
        </row>
        <row r="5599">
          <cell r="A5599">
            <v>9080700</v>
          </cell>
          <cell r="B5599">
            <v>352694</v>
          </cell>
          <cell r="C5599" t="str">
            <v>DUES-EMPLOYEE</v>
          </cell>
        </row>
        <row r="5600">
          <cell r="A5600">
            <v>9080701</v>
          </cell>
          <cell r="B5600">
            <v>352694</v>
          </cell>
          <cell r="C5600" t="str">
            <v>DUES-EMPLOYEE</v>
          </cell>
        </row>
        <row r="5601">
          <cell r="A5601">
            <v>9080702</v>
          </cell>
          <cell r="B5601">
            <v>352694</v>
          </cell>
          <cell r="C5601" t="str">
            <v>DUES-EMPLOYEE</v>
          </cell>
        </row>
        <row r="5602">
          <cell r="A5602">
            <v>9080705</v>
          </cell>
          <cell r="B5602">
            <v>352694</v>
          </cell>
          <cell r="C5602" t="str">
            <v>DUES-EMPLOYEE</v>
          </cell>
        </row>
        <row r="5603">
          <cell r="A5603">
            <v>9080707</v>
          </cell>
          <cell r="B5603">
            <v>352694</v>
          </cell>
          <cell r="C5603" t="str">
            <v>DUES-EMPLOYEE</v>
          </cell>
        </row>
        <row r="5604">
          <cell r="A5604">
            <v>9080710</v>
          </cell>
          <cell r="B5604">
            <v>352694</v>
          </cell>
          <cell r="C5604" t="str">
            <v>DUES-EMPLOYEE</v>
          </cell>
        </row>
        <row r="5605">
          <cell r="A5605">
            <v>9110700</v>
          </cell>
          <cell r="B5605">
            <v>352694</v>
          </cell>
          <cell r="C5605" t="str">
            <v>DUES-EMPLOYEE</v>
          </cell>
        </row>
        <row r="5606">
          <cell r="A5606">
            <v>9110702</v>
          </cell>
          <cell r="B5606">
            <v>352694</v>
          </cell>
          <cell r="C5606" t="str">
            <v>DUES-EMPLOYEE</v>
          </cell>
        </row>
        <row r="5607">
          <cell r="A5607">
            <v>9110705</v>
          </cell>
          <cell r="B5607">
            <v>352694</v>
          </cell>
          <cell r="C5607" t="str">
            <v>DUES-EMPLOYEE</v>
          </cell>
        </row>
        <row r="5608">
          <cell r="A5608">
            <v>9110707</v>
          </cell>
          <cell r="B5608">
            <v>352694</v>
          </cell>
          <cell r="C5608" t="str">
            <v>DUES-EMPLOYEE</v>
          </cell>
        </row>
        <row r="5609">
          <cell r="A5609">
            <v>9681700</v>
          </cell>
          <cell r="B5609">
            <v>352694</v>
          </cell>
          <cell r="C5609" t="str">
            <v>DUES-EMPLOYEE</v>
          </cell>
        </row>
        <row r="5610">
          <cell r="A5610">
            <v>9681701</v>
          </cell>
          <cell r="B5610">
            <v>352694</v>
          </cell>
          <cell r="C5610" t="str">
            <v>DUES-EMPLOYEE</v>
          </cell>
        </row>
        <row r="5611">
          <cell r="A5611">
            <v>9681702</v>
          </cell>
          <cell r="B5611">
            <v>352694</v>
          </cell>
          <cell r="C5611" t="str">
            <v>DUES-EMPLOYEE</v>
          </cell>
        </row>
        <row r="5612">
          <cell r="A5612">
            <v>9681705</v>
          </cell>
          <cell r="B5612">
            <v>352694</v>
          </cell>
          <cell r="C5612" t="str">
            <v>DUES-EMPLOYEE</v>
          </cell>
        </row>
        <row r="5613">
          <cell r="A5613">
            <v>9681706</v>
          </cell>
          <cell r="B5613">
            <v>352694</v>
          </cell>
          <cell r="C5613" t="str">
            <v>DUES-EMPLOYEE</v>
          </cell>
        </row>
        <row r="5614">
          <cell r="A5614">
            <v>9681707</v>
          </cell>
          <cell r="B5614">
            <v>352694</v>
          </cell>
          <cell r="C5614" t="str">
            <v>DUES-EMPLOYEE</v>
          </cell>
        </row>
        <row r="5615">
          <cell r="A5615">
            <v>9681712</v>
          </cell>
          <cell r="B5615">
            <v>352694</v>
          </cell>
          <cell r="C5615" t="str">
            <v>DUES-EMPLOYEE</v>
          </cell>
        </row>
        <row r="5616">
          <cell r="A5616">
            <v>9681727</v>
          </cell>
          <cell r="B5616">
            <v>352694</v>
          </cell>
          <cell r="C5616" t="str">
            <v>DUES-EMPLOYEE</v>
          </cell>
        </row>
        <row r="5617">
          <cell r="A5617">
            <v>9681749</v>
          </cell>
          <cell r="B5617">
            <v>352694</v>
          </cell>
          <cell r="C5617" t="str">
            <v>DUES-EMPLOYEE</v>
          </cell>
        </row>
        <row r="5618">
          <cell r="A5618">
            <v>9681999</v>
          </cell>
          <cell r="B5618">
            <v>352694</v>
          </cell>
          <cell r="C5618" t="str">
            <v>DUES-EMPLOYEE</v>
          </cell>
        </row>
        <row r="5619">
          <cell r="A5619">
            <v>9682715</v>
          </cell>
          <cell r="B5619">
            <v>352694</v>
          </cell>
          <cell r="C5619" t="str">
            <v>DUES-EMPLOYEE</v>
          </cell>
        </row>
        <row r="5620">
          <cell r="A5620">
            <v>9682722</v>
          </cell>
          <cell r="B5620">
            <v>352694</v>
          </cell>
          <cell r="C5620" t="str">
            <v>DUES-EMPLOYEE</v>
          </cell>
        </row>
        <row r="5621">
          <cell r="A5621">
            <v>9682999</v>
          </cell>
          <cell r="B5621">
            <v>352694</v>
          </cell>
          <cell r="C5621" t="str">
            <v>DUES-EMPLOYEE</v>
          </cell>
        </row>
        <row r="5622">
          <cell r="A5622">
            <v>9689993</v>
          </cell>
          <cell r="B5622">
            <v>352694</v>
          </cell>
          <cell r="C5622" t="str">
            <v>DUES-EMPLOYEE</v>
          </cell>
        </row>
        <row r="5623">
          <cell r="A5623">
            <v>9090999</v>
          </cell>
          <cell r="B5623">
            <v>353300</v>
          </cell>
          <cell r="C5623" t="str">
            <v>INTERCOMPANY INTEREST EXPENSE</v>
          </cell>
        </row>
        <row r="5624">
          <cell r="A5624">
            <v>9100999</v>
          </cell>
          <cell r="B5624">
            <v>353300</v>
          </cell>
          <cell r="C5624" t="str">
            <v>INTERCOMPANY INTEREST EXPENSE</v>
          </cell>
        </row>
        <row r="5625">
          <cell r="A5625">
            <v>9681706</v>
          </cell>
          <cell r="B5625">
            <v>353300</v>
          </cell>
          <cell r="C5625" t="str">
            <v>INTERCOMPANY INTEREST EXPENSE</v>
          </cell>
        </row>
        <row r="5626">
          <cell r="A5626">
            <v>9080700</v>
          </cell>
          <cell r="B5626">
            <v>353322</v>
          </cell>
          <cell r="C5626" t="str">
            <v>INTRACOMPANY-NBV EQUIPT INTRST</v>
          </cell>
        </row>
        <row r="5627">
          <cell r="A5627">
            <v>9080701</v>
          </cell>
          <cell r="B5627">
            <v>353322</v>
          </cell>
          <cell r="C5627" t="str">
            <v>INTRACOMPANY-NBV EQUIPT INTRST</v>
          </cell>
        </row>
        <row r="5628">
          <cell r="A5628">
            <v>9080702</v>
          </cell>
          <cell r="B5628">
            <v>353322</v>
          </cell>
          <cell r="C5628" t="str">
            <v>INTRACOMPANY-NBV EQUIPT INTRST</v>
          </cell>
        </row>
        <row r="5629">
          <cell r="A5629">
            <v>9080705</v>
          </cell>
          <cell r="B5629">
            <v>353322</v>
          </cell>
          <cell r="C5629" t="str">
            <v>INTRACOMPANY-NBV EQUIPT INTRST</v>
          </cell>
        </row>
        <row r="5630">
          <cell r="A5630">
            <v>9080707</v>
          </cell>
          <cell r="B5630">
            <v>353322</v>
          </cell>
          <cell r="C5630" t="str">
            <v>INTRACOMPANY-NBV EQUIPT INTRST</v>
          </cell>
        </row>
        <row r="5631">
          <cell r="A5631">
            <v>9080710</v>
          </cell>
          <cell r="B5631">
            <v>353322</v>
          </cell>
          <cell r="C5631" t="str">
            <v>INTRACOMPANY-NBV EQUIPT INTRST</v>
          </cell>
        </row>
        <row r="5632">
          <cell r="A5632">
            <v>9110700</v>
          </cell>
          <cell r="B5632">
            <v>353322</v>
          </cell>
          <cell r="C5632" t="str">
            <v>INTRACOMPANY-NBV EQUIPT INTRST</v>
          </cell>
        </row>
        <row r="5633">
          <cell r="A5633">
            <v>9110702</v>
          </cell>
          <cell r="B5633">
            <v>353322</v>
          </cell>
          <cell r="C5633" t="str">
            <v>INTRACOMPANY-NBV EQUIPT INTRST</v>
          </cell>
        </row>
        <row r="5634">
          <cell r="A5634">
            <v>9110705</v>
          </cell>
          <cell r="B5634">
            <v>353322</v>
          </cell>
          <cell r="C5634" t="str">
            <v>INTRACOMPANY-NBV EQUIPT INTRST</v>
          </cell>
        </row>
        <row r="5635">
          <cell r="A5635">
            <v>9110707</v>
          </cell>
          <cell r="B5635">
            <v>353322</v>
          </cell>
          <cell r="C5635" t="str">
            <v>INTRACOMPANY-NBV EQUIPT INTRST</v>
          </cell>
        </row>
        <row r="5636">
          <cell r="A5636">
            <v>9681700</v>
          </cell>
          <cell r="B5636">
            <v>353322</v>
          </cell>
          <cell r="C5636" t="str">
            <v>INTRACOMPANY-NBV EQUIPT INTRST</v>
          </cell>
        </row>
        <row r="5637">
          <cell r="A5637">
            <v>9681701</v>
          </cell>
          <cell r="B5637">
            <v>353322</v>
          </cell>
          <cell r="C5637" t="str">
            <v>INTRACOMPANY-NBV EQUIPT INTRST</v>
          </cell>
        </row>
        <row r="5638">
          <cell r="A5638">
            <v>9681702</v>
          </cell>
          <cell r="B5638">
            <v>353322</v>
          </cell>
          <cell r="C5638" t="str">
            <v>INTRACOMPANY-NBV EQUIPT INTRST</v>
          </cell>
        </row>
        <row r="5639">
          <cell r="A5639">
            <v>9681705</v>
          </cell>
          <cell r="B5639">
            <v>353322</v>
          </cell>
          <cell r="C5639" t="str">
            <v>INTRACOMPANY-NBV EQUIPT INTRST</v>
          </cell>
        </row>
        <row r="5640">
          <cell r="A5640">
            <v>9681706</v>
          </cell>
          <cell r="B5640">
            <v>353322</v>
          </cell>
          <cell r="C5640" t="str">
            <v>INTRACOMPANY-NBV EQUIPT INTRST</v>
          </cell>
        </row>
        <row r="5641">
          <cell r="A5641">
            <v>9681707</v>
          </cell>
          <cell r="B5641">
            <v>353322</v>
          </cell>
          <cell r="C5641" t="str">
            <v>INTRACOMPANY-NBV EQUIPT INTRST</v>
          </cell>
        </row>
        <row r="5642">
          <cell r="A5642">
            <v>9681712</v>
          </cell>
          <cell r="B5642">
            <v>353322</v>
          </cell>
          <cell r="C5642" t="str">
            <v>INTRACOMPANY-NBV EQUIPT INTRST</v>
          </cell>
        </row>
        <row r="5643">
          <cell r="A5643">
            <v>9681727</v>
          </cell>
          <cell r="B5643">
            <v>353322</v>
          </cell>
          <cell r="C5643" t="str">
            <v>INTRACOMPANY-NBV EQUIPT INTRST</v>
          </cell>
        </row>
        <row r="5644">
          <cell r="A5644">
            <v>9681749</v>
          </cell>
          <cell r="B5644">
            <v>353322</v>
          </cell>
          <cell r="C5644" t="str">
            <v>INTRACOMPANY-NBV EQUIPT INTRST</v>
          </cell>
        </row>
        <row r="5645">
          <cell r="A5645">
            <v>9681999</v>
          </cell>
          <cell r="B5645">
            <v>353322</v>
          </cell>
          <cell r="C5645" t="str">
            <v>INTRACOMPANY-NBV EQUIPT INTRST</v>
          </cell>
        </row>
        <row r="5646">
          <cell r="A5646">
            <v>9682715</v>
          </cell>
          <cell r="B5646">
            <v>353322</v>
          </cell>
          <cell r="C5646" t="str">
            <v>INTRACOMPANY-NBV EQUIPT INTRST</v>
          </cell>
        </row>
        <row r="5647">
          <cell r="A5647">
            <v>9682722</v>
          </cell>
          <cell r="B5647">
            <v>353322</v>
          </cell>
          <cell r="C5647" t="str">
            <v>INTRACOMPANY-NBV EQUIPT INTRST</v>
          </cell>
        </row>
        <row r="5648">
          <cell r="A5648">
            <v>9682999</v>
          </cell>
          <cell r="B5648">
            <v>353322</v>
          </cell>
          <cell r="C5648" t="str">
            <v>INTRACOMPANY-NBV EQUIPT INTRST</v>
          </cell>
        </row>
        <row r="5649">
          <cell r="A5649">
            <v>9689883</v>
          </cell>
          <cell r="B5649">
            <v>353322</v>
          </cell>
          <cell r="C5649" t="str">
            <v>INTRACOMPANY-NBV EQUIPT INTRST</v>
          </cell>
        </row>
        <row r="5650">
          <cell r="A5650">
            <v>9689906</v>
          </cell>
          <cell r="B5650">
            <v>353322</v>
          </cell>
          <cell r="C5650" t="str">
            <v>INTRACOMPANY-NBV EQUIPT INTRST</v>
          </cell>
        </row>
        <row r="5651">
          <cell r="A5651">
            <v>9689992</v>
          </cell>
          <cell r="B5651">
            <v>353322</v>
          </cell>
          <cell r="C5651" t="str">
            <v>INTRACOMPANY-NBV EQUIPT INTRST</v>
          </cell>
        </row>
        <row r="5652">
          <cell r="A5652">
            <v>9090999</v>
          </cell>
          <cell r="B5652">
            <v>353331</v>
          </cell>
          <cell r="C5652" t="str">
            <v>INTEREST EXP-BID RETE BORROWNG</v>
          </cell>
        </row>
        <row r="5653">
          <cell r="A5653">
            <v>9100999</v>
          </cell>
          <cell r="B5653">
            <v>353331</v>
          </cell>
          <cell r="C5653" t="str">
            <v>INTEREST EXP-BID RETE BORROWNG</v>
          </cell>
        </row>
        <row r="5654">
          <cell r="A5654">
            <v>9090999</v>
          </cell>
          <cell r="B5654">
            <v>353332</v>
          </cell>
          <cell r="C5654" t="str">
            <v>INTEREST EXP. - MONEY MARKET</v>
          </cell>
        </row>
        <row r="5655">
          <cell r="A5655">
            <v>9100999</v>
          </cell>
          <cell r="B5655">
            <v>353332</v>
          </cell>
          <cell r="C5655" t="str">
            <v>INTEREST EXP. - MONEY MARKET</v>
          </cell>
        </row>
        <row r="5656">
          <cell r="A5656">
            <v>9090999</v>
          </cell>
          <cell r="B5656">
            <v>353711</v>
          </cell>
          <cell r="C5656" t="str">
            <v>CAP LEASE INTEREST EXP - EQUIP</v>
          </cell>
        </row>
        <row r="5657">
          <cell r="A5657">
            <v>9681706</v>
          </cell>
          <cell r="B5657">
            <v>353990</v>
          </cell>
          <cell r="C5657" t="str">
            <v>OUTSIDE-OTHER</v>
          </cell>
        </row>
        <row r="5658">
          <cell r="A5658">
            <v>9090999</v>
          </cell>
          <cell r="B5658">
            <v>354125</v>
          </cell>
          <cell r="C5658" t="str">
            <v>EXCESS LIABILITY-OUTSIDE</v>
          </cell>
        </row>
        <row r="5659">
          <cell r="A5659">
            <v>9100999</v>
          </cell>
          <cell r="B5659">
            <v>354125</v>
          </cell>
          <cell r="C5659" t="str">
            <v>EXCESS LIABILITY-OUTSIDE</v>
          </cell>
        </row>
        <row r="5660">
          <cell r="A5660">
            <v>9090999</v>
          </cell>
          <cell r="B5660">
            <v>354130</v>
          </cell>
          <cell r="C5660" t="str">
            <v>DIRECTOR/OFFICER LIABILITY</v>
          </cell>
        </row>
        <row r="5661">
          <cell r="A5661">
            <v>9100999</v>
          </cell>
          <cell r="B5661">
            <v>354130</v>
          </cell>
          <cell r="C5661" t="str">
            <v>DIRECTOR/OFFICER LIABILITY</v>
          </cell>
        </row>
        <row r="5662">
          <cell r="A5662">
            <v>9080999</v>
          </cell>
          <cell r="B5662">
            <v>354490</v>
          </cell>
          <cell r="C5662" t="str">
            <v>BUILDING, EQUIPMENT, INVENTORY</v>
          </cell>
        </row>
        <row r="5663">
          <cell r="A5663">
            <v>9110999</v>
          </cell>
          <cell r="B5663">
            <v>354490</v>
          </cell>
          <cell r="C5663" t="str">
            <v>BUILDING, EQUIPMENT, INVENTORY</v>
          </cell>
        </row>
        <row r="5664">
          <cell r="A5664">
            <v>9689994</v>
          </cell>
          <cell r="B5664">
            <v>354490</v>
          </cell>
          <cell r="C5664" t="str">
            <v>BUILDING, EQUIPMENT, INVENTORY</v>
          </cell>
        </row>
        <row r="5665">
          <cell r="A5665">
            <v>9682715</v>
          </cell>
          <cell r="B5665">
            <v>354600</v>
          </cell>
          <cell r="C5665" t="str">
            <v>PUBLIC LIABILITY-SELF INSURED</v>
          </cell>
        </row>
        <row r="5666">
          <cell r="A5666">
            <v>9682722</v>
          </cell>
          <cell r="B5666">
            <v>354600</v>
          </cell>
          <cell r="C5666" t="str">
            <v>PUBLIC LIABILITY-SELF INSURED</v>
          </cell>
        </row>
        <row r="5667">
          <cell r="A5667">
            <v>9682999</v>
          </cell>
          <cell r="B5667">
            <v>354600</v>
          </cell>
          <cell r="C5667" t="str">
            <v>PUBLIC LIABILITY-SELF INSURED</v>
          </cell>
        </row>
        <row r="5668">
          <cell r="A5668">
            <v>9689692</v>
          </cell>
          <cell r="B5668">
            <v>354600</v>
          </cell>
          <cell r="C5668" t="str">
            <v>PUBLIC LIABILITY-SELF INSURED</v>
          </cell>
        </row>
        <row r="5669">
          <cell r="A5669">
            <v>9689747</v>
          </cell>
          <cell r="B5669">
            <v>354600</v>
          </cell>
          <cell r="C5669" t="str">
            <v>PUBLIC LIABILITY-SELF INSURED</v>
          </cell>
        </row>
        <row r="5670">
          <cell r="A5670">
            <v>9689890</v>
          </cell>
          <cell r="B5670">
            <v>354600</v>
          </cell>
          <cell r="C5670" t="str">
            <v>PUBLIC LIABILITY-SELF INSURED</v>
          </cell>
        </row>
        <row r="5671">
          <cell r="A5671">
            <v>9689925</v>
          </cell>
          <cell r="B5671">
            <v>354600</v>
          </cell>
          <cell r="C5671" t="str">
            <v>PUBLIC LIABILITY-SELF INSURED</v>
          </cell>
        </row>
        <row r="5672">
          <cell r="A5672">
            <v>9689990</v>
          </cell>
          <cell r="B5672">
            <v>354600</v>
          </cell>
          <cell r="C5672" t="str">
            <v>PUBLIC LIABILITY-SELF INSURED</v>
          </cell>
        </row>
        <row r="5673">
          <cell r="A5673">
            <v>9723723</v>
          </cell>
          <cell r="B5673">
            <v>354600</v>
          </cell>
          <cell r="C5673" t="str">
            <v>PUBLIC LIABILITY-SELF INSURED</v>
          </cell>
        </row>
        <row r="5674">
          <cell r="A5674">
            <v>9090999</v>
          </cell>
          <cell r="B5674">
            <v>360511</v>
          </cell>
          <cell r="C5674" t="str">
            <v>DEPRECIATION-BUILDINGS</v>
          </cell>
        </row>
        <row r="5675">
          <cell r="A5675">
            <v>9100999</v>
          </cell>
          <cell r="B5675">
            <v>360511</v>
          </cell>
          <cell r="C5675" t="str">
            <v>DEPRECIATION-BUILDINGS</v>
          </cell>
        </row>
        <row r="5676">
          <cell r="A5676">
            <v>9680999</v>
          </cell>
          <cell r="B5676">
            <v>360511</v>
          </cell>
          <cell r="C5676" t="str">
            <v>DEPRECIATION-BUILDINGS</v>
          </cell>
        </row>
        <row r="5677">
          <cell r="A5677">
            <v>9090999</v>
          </cell>
          <cell r="B5677">
            <v>360529</v>
          </cell>
          <cell r="C5677" t="str">
            <v>AMORTIZATION-LEASEHOLD IMPROV</v>
          </cell>
        </row>
        <row r="5678">
          <cell r="A5678">
            <v>9100999</v>
          </cell>
          <cell r="B5678">
            <v>360529</v>
          </cell>
          <cell r="C5678" t="str">
            <v>AMORTIZATION-LEASEHOLD IMPROV</v>
          </cell>
        </row>
        <row r="5679">
          <cell r="A5679">
            <v>9689883</v>
          </cell>
          <cell r="B5679">
            <v>360529</v>
          </cell>
          <cell r="C5679" t="str">
            <v>AMORTIZATION-LEASEHOLD IMPROV</v>
          </cell>
        </row>
        <row r="5680">
          <cell r="A5680">
            <v>9689906</v>
          </cell>
          <cell r="B5680">
            <v>360529</v>
          </cell>
          <cell r="C5680" t="str">
            <v>AMORTIZATION-LEASEHOLD IMPROV</v>
          </cell>
        </row>
        <row r="5681">
          <cell r="A5681">
            <v>9689990</v>
          </cell>
          <cell r="B5681">
            <v>360529</v>
          </cell>
          <cell r="C5681" t="str">
            <v>AMORTIZATION-LEASEHOLD IMPROV</v>
          </cell>
        </row>
        <row r="5682">
          <cell r="A5682">
            <v>9689992</v>
          </cell>
          <cell r="B5682">
            <v>360529</v>
          </cell>
          <cell r="C5682" t="str">
            <v>AMORTIZATION-LEASEHOLD IMPROV</v>
          </cell>
        </row>
        <row r="5683">
          <cell r="A5683">
            <v>9682999</v>
          </cell>
          <cell r="B5683">
            <v>360726</v>
          </cell>
          <cell r="C5683" t="str">
            <v>EQUIP. &amp; INSTALLATION DEPRECIATION-STORE EQUIPMENT</v>
          </cell>
        </row>
        <row r="5684">
          <cell r="A5684">
            <v>9689883</v>
          </cell>
          <cell r="B5684">
            <v>360726</v>
          </cell>
          <cell r="C5684" t="str">
            <v>EQUIP. &amp; INSTALLATION DEPRECIATION-STORE EQUIPMENT</v>
          </cell>
        </row>
        <row r="5685">
          <cell r="A5685">
            <v>9689906</v>
          </cell>
          <cell r="B5685">
            <v>360726</v>
          </cell>
          <cell r="C5685" t="str">
            <v>EQUIP. &amp; INSTALLATION DEPRECIATION-STORE EQUIPMENT</v>
          </cell>
        </row>
        <row r="5686">
          <cell r="A5686">
            <v>9689992</v>
          </cell>
          <cell r="B5686">
            <v>360726</v>
          </cell>
          <cell r="C5686" t="str">
            <v>EQUIP. &amp; INSTALLATION DEPRECIATION-STORE EQUIPMENT</v>
          </cell>
        </row>
        <row r="5687">
          <cell r="A5687">
            <v>9720703</v>
          </cell>
          <cell r="B5687">
            <v>360726</v>
          </cell>
          <cell r="C5687" t="str">
            <v>EQUIP. &amp; INSTALLATION DEPRECIATION-STORE EQUIPMENT</v>
          </cell>
        </row>
        <row r="5688">
          <cell r="A5688">
            <v>9724718</v>
          </cell>
          <cell r="B5688">
            <v>360726</v>
          </cell>
          <cell r="C5688" t="str">
            <v>EQUIP. &amp; INSTALLATION DEPRECIATION-STORE EQUIPMENT</v>
          </cell>
        </row>
        <row r="5689">
          <cell r="A5689">
            <v>9724721</v>
          </cell>
          <cell r="B5689">
            <v>360726</v>
          </cell>
          <cell r="C5689" t="str">
            <v>EQUIP. &amp; INSTALLATION DEPRECIATION-STORE EQUIPMENT</v>
          </cell>
        </row>
        <row r="5690">
          <cell r="A5690">
            <v>9724724</v>
          </cell>
          <cell r="B5690">
            <v>360726</v>
          </cell>
          <cell r="C5690" t="str">
            <v>EQUIP. &amp; INSTALLATION DEPRECIATION-STORE EQUIPMENT</v>
          </cell>
        </row>
        <row r="5691">
          <cell r="A5691">
            <v>9725703</v>
          </cell>
          <cell r="B5691">
            <v>360726</v>
          </cell>
          <cell r="C5691" t="str">
            <v>EQUIP. &amp; INSTALLATION DEPRECIATION-STORE EQUIPMENT</v>
          </cell>
        </row>
        <row r="5692">
          <cell r="A5692">
            <v>9725704</v>
          </cell>
          <cell r="B5692">
            <v>360726</v>
          </cell>
          <cell r="C5692" t="str">
            <v>EQUIP. &amp; INSTALLATION DEPRECIATION-STORE EQUIPMENT</v>
          </cell>
        </row>
        <row r="5693">
          <cell r="A5693">
            <v>9725711</v>
          </cell>
          <cell r="B5693">
            <v>360726</v>
          </cell>
          <cell r="C5693" t="str">
            <v>EQUIP. &amp; INSTALLATION DEPRECIATION-STORE EQUIPMENT</v>
          </cell>
        </row>
        <row r="5694">
          <cell r="A5694">
            <v>9725717</v>
          </cell>
          <cell r="B5694">
            <v>360726</v>
          </cell>
          <cell r="C5694" t="str">
            <v>EQUIP. &amp; INSTALLATION DEPRECIATION-STORE EQUIPMENT</v>
          </cell>
        </row>
        <row r="5695">
          <cell r="A5695">
            <v>9725725</v>
          </cell>
          <cell r="B5695">
            <v>360726</v>
          </cell>
          <cell r="C5695" t="str">
            <v>EQUIP. &amp; INSTALLATION DEPRECIATION-STORE EQUIPMENT</v>
          </cell>
        </row>
        <row r="5696">
          <cell r="A5696">
            <v>9080700</v>
          </cell>
          <cell r="B5696">
            <v>360727</v>
          </cell>
          <cell r="C5696" t="str">
            <v>EQUIP. &amp; INSTALLATION DEPRECIATION-OFFICE EQUIPMENT</v>
          </cell>
        </row>
        <row r="5697">
          <cell r="A5697">
            <v>9080701</v>
          </cell>
          <cell r="B5697">
            <v>360727</v>
          </cell>
          <cell r="C5697" t="str">
            <v>EQUIP. &amp; INSTALLATION DEPRECIATION-OFFICE EQUIPMENT</v>
          </cell>
        </row>
        <row r="5698">
          <cell r="A5698">
            <v>9080702</v>
          </cell>
          <cell r="B5698">
            <v>360727</v>
          </cell>
          <cell r="C5698" t="str">
            <v>EQUIP. &amp; INSTALLATION DEPRECIATION-OFFICE EQUIPMENT</v>
          </cell>
        </row>
        <row r="5699">
          <cell r="A5699">
            <v>9080705</v>
          </cell>
          <cell r="B5699">
            <v>360727</v>
          </cell>
          <cell r="C5699" t="str">
            <v>EQUIP. &amp; INSTALLATION DEPRECIATION-OFFICE EQUIPMENT</v>
          </cell>
        </row>
        <row r="5700">
          <cell r="A5700">
            <v>9080707</v>
          </cell>
          <cell r="B5700">
            <v>360727</v>
          </cell>
          <cell r="C5700" t="str">
            <v>EQUIP. &amp; INSTALLATION DEPRECIATION-OFFICE EQUIPMENT</v>
          </cell>
        </row>
        <row r="5701">
          <cell r="A5701">
            <v>9080710</v>
          </cell>
          <cell r="B5701">
            <v>360727</v>
          </cell>
          <cell r="C5701" t="str">
            <v>EQUIP. &amp; INSTALLATION DEPRECIATION-OFFICE EQUIPMENT</v>
          </cell>
        </row>
        <row r="5702">
          <cell r="A5702">
            <v>9080999</v>
          </cell>
          <cell r="B5702">
            <v>360727</v>
          </cell>
          <cell r="C5702" t="str">
            <v>EQUIP. &amp; INSTALLATION DEPRECIATION-OFFICE EQUIPMENT</v>
          </cell>
        </row>
        <row r="5703">
          <cell r="A5703">
            <v>9090710</v>
          </cell>
          <cell r="B5703">
            <v>360727</v>
          </cell>
          <cell r="C5703" t="str">
            <v>EQUIP. &amp; INSTALLATION DEPRECIATION-OFFICE EQUIPMENT</v>
          </cell>
        </row>
        <row r="5704">
          <cell r="A5704">
            <v>9090999</v>
          </cell>
          <cell r="B5704">
            <v>360727</v>
          </cell>
          <cell r="C5704" t="str">
            <v>EQUIP. &amp; INSTALLATION DEPRECIATION-OFFICE EQUIPMENT</v>
          </cell>
        </row>
        <row r="5705">
          <cell r="A5705">
            <v>9100710</v>
          </cell>
          <cell r="B5705">
            <v>360727</v>
          </cell>
          <cell r="C5705" t="str">
            <v>EQUIP. &amp; INSTALLATION DEPRECIATION-OFFICE EQUIPMENT</v>
          </cell>
        </row>
        <row r="5706">
          <cell r="A5706">
            <v>9100999</v>
          </cell>
          <cell r="B5706">
            <v>360727</v>
          </cell>
          <cell r="C5706" t="str">
            <v>EQUIP. &amp; INSTALLATION DEPRECIATION-OFFICE EQUIPMENT</v>
          </cell>
        </row>
        <row r="5707">
          <cell r="A5707">
            <v>9110700</v>
          </cell>
          <cell r="B5707">
            <v>360727</v>
          </cell>
          <cell r="C5707" t="str">
            <v>EQUIP. &amp; INSTALLATION DEPRECIATION-OFFICE EQUIPMENT</v>
          </cell>
        </row>
        <row r="5708">
          <cell r="A5708">
            <v>9110702</v>
          </cell>
          <cell r="B5708">
            <v>360727</v>
          </cell>
          <cell r="C5708" t="str">
            <v>EQUIP. &amp; INSTALLATION DEPRECIATION-OFFICE EQUIPMENT</v>
          </cell>
        </row>
        <row r="5709">
          <cell r="A5709">
            <v>9110705</v>
          </cell>
          <cell r="B5709">
            <v>360727</v>
          </cell>
          <cell r="C5709" t="str">
            <v>EQUIP. &amp; INSTALLATION DEPRECIATION-OFFICE EQUIPMENT</v>
          </cell>
        </row>
        <row r="5710">
          <cell r="A5710">
            <v>9110707</v>
          </cell>
          <cell r="B5710">
            <v>360727</v>
          </cell>
          <cell r="C5710" t="str">
            <v>EQUIP. &amp; INSTALLATION DEPRECIATION-OFFICE EQUIPMENT</v>
          </cell>
        </row>
        <row r="5711">
          <cell r="A5711">
            <v>9110999</v>
          </cell>
          <cell r="B5711">
            <v>360727</v>
          </cell>
          <cell r="C5711" t="str">
            <v>EQUIP. &amp; INSTALLATION DEPRECIATION-OFFICE EQUIPMENT</v>
          </cell>
        </row>
        <row r="5712">
          <cell r="A5712">
            <v>9680999</v>
          </cell>
          <cell r="B5712">
            <v>360727</v>
          </cell>
          <cell r="C5712" t="str">
            <v>EQUIP. &amp; INSTALLATION DEPRECIATION-OFFICE EQUIPMENT</v>
          </cell>
        </row>
        <row r="5713">
          <cell r="A5713">
            <v>9681700</v>
          </cell>
          <cell r="B5713">
            <v>360727</v>
          </cell>
          <cell r="C5713" t="str">
            <v>EQUIP. &amp; INSTALLATION DEPRECIATION-OFFICE EQUIPMENT</v>
          </cell>
        </row>
        <row r="5714">
          <cell r="A5714">
            <v>9681701</v>
          </cell>
          <cell r="B5714">
            <v>360727</v>
          </cell>
          <cell r="C5714" t="str">
            <v>EQUIP. &amp; INSTALLATION DEPRECIATION-OFFICE EQUIPMENT</v>
          </cell>
        </row>
        <row r="5715">
          <cell r="A5715">
            <v>9681702</v>
          </cell>
          <cell r="B5715">
            <v>360727</v>
          </cell>
          <cell r="C5715" t="str">
            <v>EQUIP. &amp; INSTALLATION DEPRECIATION-OFFICE EQUIPMENT</v>
          </cell>
        </row>
        <row r="5716">
          <cell r="A5716">
            <v>9681705</v>
          </cell>
          <cell r="B5716">
            <v>360727</v>
          </cell>
          <cell r="C5716" t="str">
            <v>EQUIP. &amp; INSTALLATION DEPRECIATION-OFFICE EQUIPMENT</v>
          </cell>
        </row>
        <row r="5717">
          <cell r="A5717">
            <v>9681706</v>
          </cell>
          <cell r="B5717">
            <v>360727</v>
          </cell>
          <cell r="C5717" t="str">
            <v>EQUIP. &amp; INSTALLATION DEPRECIATION-OFFICE EQUIPMENT</v>
          </cell>
        </row>
        <row r="5718">
          <cell r="A5718">
            <v>9681707</v>
          </cell>
          <cell r="B5718">
            <v>360727</v>
          </cell>
          <cell r="C5718" t="str">
            <v>EQUIP. &amp; INSTALLATION DEPRECIATION-OFFICE EQUIPMENT</v>
          </cell>
        </row>
        <row r="5719">
          <cell r="A5719">
            <v>9681712</v>
          </cell>
          <cell r="B5719">
            <v>360727</v>
          </cell>
          <cell r="C5719" t="str">
            <v>EQUIP. &amp; INSTALLATION DEPRECIATION-OFFICE EQUIPMENT</v>
          </cell>
        </row>
        <row r="5720">
          <cell r="A5720">
            <v>9681714</v>
          </cell>
          <cell r="B5720">
            <v>360727</v>
          </cell>
          <cell r="C5720" t="str">
            <v>EQUIP. &amp; INSTALLATION DEPRECIATION-OFFICE EQUIPMENT</v>
          </cell>
        </row>
        <row r="5721">
          <cell r="A5721">
            <v>9681727</v>
          </cell>
          <cell r="B5721">
            <v>360727</v>
          </cell>
          <cell r="C5721" t="str">
            <v>EQUIP. &amp; INSTALLATION DEPRECIATION-OFFICE EQUIPMENT</v>
          </cell>
        </row>
        <row r="5722">
          <cell r="A5722">
            <v>9681749</v>
          </cell>
          <cell r="B5722">
            <v>360727</v>
          </cell>
          <cell r="C5722" t="str">
            <v>EQUIP. &amp; INSTALLATION DEPRECIATION-OFFICE EQUIPMENT</v>
          </cell>
        </row>
        <row r="5723">
          <cell r="A5723">
            <v>9681999</v>
          </cell>
          <cell r="B5723">
            <v>360727</v>
          </cell>
          <cell r="C5723" t="str">
            <v>EQUIP. &amp; INSTALLATION DEPRECIATION-OFFICE EQUIPMENT</v>
          </cell>
        </row>
        <row r="5724">
          <cell r="A5724">
            <v>9682715</v>
          </cell>
          <cell r="B5724">
            <v>360727</v>
          </cell>
          <cell r="C5724" t="str">
            <v>EQUIP. &amp; INSTALLATION DEPRECIATION-OFFICE EQUIPMENT</v>
          </cell>
        </row>
        <row r="5725">
          <cell r="A5725">
            <v>9682722</v>
          </cell>
          <cell r="B5725">
            <v>360727</v>
          </cell>
          <cell r="C5725" t="str">
            <v>EQUIP. &amp; INSTALLATION DEPRECIATION-OFFICE EQUIPMENT</v>
          </cell>
        </row>
        <row r="5726">
          <cell r="A5726">
            <v>9682999</v>
          </cell>
          <cell r="B5726">
            <v>360727</v>
          </cell>
          <cell r="C5726" t="str">
            <v>EQUIP. &amp; INSTALLATION DEPRECIATION-OFFICE EQUIPMENT</v>
          </cell>
        </row>
        <row r="5727">
          <cell r="A5727">
            <v>9689883</v>
          </cell>
          <cell r="B5727">
            <v>360727</v>
          </cell>
          <cell r="C5727" t="str">
            <v>EQUIP. &amp; INSTALLATION DEPRECIATION-OFFICE EQUIPMENT</v>
          </cell>
        </row>
        <row r="5728">
          <cell r="A5728">
            <v>9689906</v>
          </cell>
          <cell r="B5728">
            <v>360727</v>
          </cell>
          <cell r="C5728" t="str">
            <v>EQUIP. &amp; INSTALLATION DEPRECIATION-OFFICE EQUIPMENT</v>
          </cell>
        </row>
        <row r="5729">
          <cell r="A5729">
            <v>9689991</v>
          </cell>
          <cell r="B5729">
            <v>360727</v>
          </cell>
          <cell r="C5729" t="str">
            <v>EQUIP. &amp; INSTALLATION DEPRECIATION-OFFICE EQUIPMENT</v>
          </cell>
        </row>
        <row r="5730">
          <cell r="A5730">
            <v>9689992</v>
          </cell>
          <cell r="B5730">
            <v>360727</v>
          </cell>
          <cell r="C5730" t="str">
            <v>EQUIP. &amp; INSTALLATION DEPRECIATION-OFFICE EQUIPMENT</v>
          </cell>
        </row>
        <row r="5731">
          <cell r="A5731">
            <v>9689993</v>
          </cell>
          <cell r="B5731">
            <v>360727</v>
          </cell>
          <cell r="C5731" t="str">
            <v>EQUIP. &amp; INSTALLATION DEPRECIATION-OFFICE EQUIPMENT</v>
          </cell>
        </row>
        <row r="5732">
          <cell r="A5732">
            <v>9689994</v>
          </cell>
          <cell r="B5732">
            <v>360727</v>
          </cell>
          <cell r="C5732" t="str">
            <v>EQUIP. &amp; INSTALLATION DEPRECIATION-OFFICE EQUIPMENT</v>
          </cell>
        </row>
        <row r="5733">
          <cell r="A5733">
            <v>9689999</v>
          </cell>
          <cell r="B5733">
            <v>360727</v>
          </cell>
          <cell r="C5733" t="str">
            <v>EQUIP. &amp; INSTALLATION DEPRECIATION-OFFICE EQUIPMENT</v>
          </cell>
        </row>
        <row r="5734">
          <cell r="A5734">
            <v>9090999</v>
          </cell>
          <cell r="B5734">
            <v>360729</v>
          </cell>
          <cell r="C5734" t="str">
            <v>AMORT-LEASE IMPROVE-WRITE-UP</v>
          </cell>
        </row>
        <row r="5735">
          <cell r="A5735">
            <v>9100999</v>
          </cell>
          <cell r="B5735">
            <v>360729</v>
          </cell>
          <cell r="C5735" t="str">
            <v>AMORT-LEASE IMPROVE-WRITE-UP</v>
          </cell>
        </row>
        <row r="5736">
          <cell r="A5736">
            <v>9680700</v>
          </cell>
          <cell r="B5736">
            <v>360729</v>
          </cell>
          <cell r="C5736" t="str">
            <v>AMORT-LEASE IMPROVE-WRITE-UP</v>
          </cell>
        </row>
        <row r="5737">
          <cell r="A5737">
            <v>9680701</v>
          </cell>
          <cell r="B5737">
            <v>360729</v>
          </cell>
          <cell r="C5737" t="str">
            <v>AMORT-LEASE IMPROVE-WRITE-UP</v>
          </cell>
        </row>
        <row r="5738">
          <cell r="A5738">
            <v>9680702</v>
          </cell>
          <cell r="B5738">
            <v>360729</v>
          </cell>
          <cell r="C5738" t="str">
            <v>AMORT-LEASE IMPROVE-WRITE-UP</v>
          </cell>
        </row>
        <row r="5739">
          <cell r="A5739">
            <v>9680705</v>
          </cell>
          <cell r="B5739">
            <v>360729</v>
          </cell>
          <cell r="C5739" t="str">
            <v>AMORT-LEASE IMPROVE-WRITE-UP</v>
          </cell>
        </row>
        <row r="5740">
          <cell r="A5740">
            <v>9680707</v>
          </cell>
          <cell r="B5740">
            <v>360729</v>
          </cell>
          <cell r="C5740" t="str">
            <v>AMORT-LEASE IMPROVE-WRITE-UP</v>
          </cell>
        </row>
        <row r="5741">
          <cell r="A5741">
            <v>9680710</v>
          </cell>
          <cell r="B5741">
            <v>360729</v>
          </cell>
          <cell r="C5741" t="str">
            <v>AMORT-LEASE IMPROVE-WRITE-UP</v>
          </cell>
        </row>
        <row r="5742">
          <cell r="A5742">
            <v>9680712</v>
          </cell>
          <cell r="B5742">
            <v>360729</v>
          </cell>
          <cell r="C5742" t="str">
            <v>AMORT-LEASE IMPROVE-WRITE-UP</v>
          </cell>
        </row>
        <row r="5743">
          <cell r="A5743">
            <v>9680714</v>
          </cell>
          <cell r="B5743">
            <v>360729</v>
          </cell>
          <cell r="C5743" t="str">
            <v>AMORT-LEASE IMPROVE-WRITE-UP</v>
          </cell>
        </row>
        <row r="5744">
          <cell r="A5744">
            <v>9680734</v>
          </cell>
          <cell r="B5744">
            <v>360729</v>
          </cell>
          <cell r="C5744" t="str">
            <v>AMORT-LEASE IMPROVE-WRITE-UP</v>
          </cell>
        </row>
        <row r="5745">
          <cell r="A5745">
            <v>9680748</v>
          </cell>
          <cell r="B5745">
            <v>360729</v>
          </cell>
          <cell r="C5745" t="str">
            <v>AMORT-LEASE IMPROVE-WRITE-UP</v>
          </cell>
        </row>
        <row r="5746">
          <cell r="A5746">
            <v>9680749</v>
          </cell>
          <cell r="B5746">
            <v>360729</v>
          </cell>
          <cell r="C5746" t="str">
            <v>AMORT-LEASE IMPROVE-WRITE-UP</v>
          </cell>
        </row>
        <row r="5747">
          <cell r="A5747">
            <v>9680894</v>
          </cell>
          <cell r="B5747">
            <v>360729</v>
          </cell>
          <cell r="C5747" t="str">
            <v>AMORT-LEASE IMPROVE-WRITE-UP</v>
          </cell>
        </row>
        <row r="5748">
          <cell r="A5748">
            <v>9680999</v>
          </cell>
          <cell r="B5748">
            <v>360729</v>
          </cell>
          <cell r="C5748" t="str">
            <v>AMORT-LEASE IMPROVE-WRITE-UP</v>
          </cell>
        </row>
        <row r="5749">
          <cell r="A5749">
            <v>9681710</v>
          </cell>
          <cell r="B5749">
            <v>360729</v>
          </cell>
          <cell r="C5749" t="str">
            <v>AMORT-LEASE IMPROVE-WRITE-UP</v>
          </cell>
        </row>
        <row r="5750">
          <cell r="A5750">
            <v>9681734</v>
          </cell>
          <cell r="B5750">
            <v>360729</v>
          </cell>
          <cell r="C5750" t="str">
            <v>AMORT-LEASE IMPROVE-WRITE-UP</v>
          </cell>
        </row>
        <row r="5751">
          <cell r="A5751">
            <v>9681748</v>
          </cell>
          <cell r="B5751">
            <v>360729</v>
          </cell>
          <cell r="C5751" t="str">
            <v>AMORT-LEASE IMPROVE-WRITE-UP</v>
          </cell>
        </row>
        <row r="5752">
          <cell r="A5752">
            <v>9681894</v>
          </cell>
          <cell r="B5752">
            <v>360729</v>
          </cell>
          <cell r="C5752" t="str">
            <v>AMORT-LEASE IMPROVE-WRITE-UP</v>
          </cell>
        </row>
        <row r="5753">
          <cell r="A5753">
            <v>9684999</v>
          </cell>
          <cell r="B5753">
            <v>360729</v>
          </cell>
          <cell r="C5753" t="str">
            <v>AMORT-LEASE IMPROVE-WRITE-UP</v>
          </cell>
        </row>
        <row r="5754">
          <cell r="A5754">
            <v>9689883</v>
          </cell>
          <cell r="B5754">
            <v>360729</v>
          </cell>
          <cell r="C5754" t="str">
            <v>AMORT-LEASE IMPROVE-WRITE-UP</v>
          </cell>
        </row>
        <row r="5755">
          <cell r="A5755">
            <v>9689906</v>
          </cell>
          <cell r="B5755">
            <v>360729</v>
          </cell>
          <cell r="C5755" t="str">
            <v>AMORT-LEASE IMPROVE-WRITE-UP</v>
          </cell>
        </row>
        <row r="5756">
          <cell r="A5756">
            <v>9689992</v>
          </cell>
          <cell r="B5756">
            <v>360729</v>
          </cell>
          <cell r="C5756" t="str">
            <v>AMORT-LEASE IMPROVE-WRITE-UP</v>
          </cell>
        </row>
        <row r="5757">
          <cell r="A5757">
            <v>9725711</v>
          </cell>
          <cell r="B5757">
            <v>361104</v>
          </cell>
          <cell r="C5757" t="str">
            <v>PROP RENT-INTERCO-ATM</v>
          </cell>
        </row>
        <row r="5758">
          <cell r="A5758">
            <v>9725725</v>
          </cell>
          <cell r="B5758">
            <v>361104</v>
          </cell>
          <cell r="C5758" t="str">
            <v>PROP RENT-INTERCO-ATM</v>
          </cell>
        </row>
        <row r="5759">
          <cell r="A5759">
            <v>9080700</v>
          </cell>
          <cell r="B5759">
            <v>361108</v>
          </cell>
          <cell r="C5759" t="str">
            <v>PROPERTY RENTAL-OUTSIDE/LEASE</v>
          </cell>
        </row>
        <row r="5760">
          <cell r="A5760">
            <v>9080701</v>
          </cell>
          <cell r="B5760">
            <v>361108</v>
          </cell>
          <cell r="C5760" t="str">
            <v>PROPERTY RENTAL-OUTSIDE/LEASE</v>
          </cell>
        </row>
        <row r="5761">
          <cell r="A5761">
            <v>9080702</v>
          </cell>
          <cell r="B5761">
            <v>361108</v>
          </cell>
          <cell r="C5761" t="str">
            <v>PROPERTY RENTAL-OUTSIDE/LEASE</v>
          </cell>
        </row>
        <row r="5762">
          <cell r="A5762">
            <v>9080705</v>
          </cell>
          <cell r="B5762">
            <v>361108</v>
          </cell>
          <cell r="C5762" t="str">
            <v>PROPERTY RENTAL-OUTSIDE/LEASE</v>
          </cell>
        </row>
        <row r="5763">
          <cell r="A5763">
            <v>9080707</v>
          </cell>
          <cell r="B5763">
            <v>361108</v>
          </cell>
          <cell r="C5763" t="str">
            <v>PROPERTY RENTAL-OUTSIDE/LEASE</v>
          </cell>
        </row>
        <row r="5764">
          <cell r="A5764">
            <v>9080710</v>
          </cell>
          <cell r="B5764">
            <v>361108</v>
          </cell>
          <cell r="C5764" t="str">
            <v>PROPERTY RENTAL-OUTSIDE/LEASE</v>
          </cell>
        </row>
        <row r="5765">
          <cell r="A5765">
            <v>9080999</v>
          </cell>
          <cell r="B5765">
            <v>361108</v>
          </cell>
          <cell r="C5765" t="str">
            <v>PROPERTY RENTAL-OUTSIDE/LEASE</v>
          </cell>
        </row>
        <row r="5766">
          <cell r="A5766">
            <v>9090999</v>
          </cell>
          <cell r="B5766">
            <v>361108</v>
          </cell>
          <cell r="C5766" t="str">
            <v>PROPERTY RENTAL-OUTSIDE/LEASE</v>
          </cell>
        </row>
        <row r="5767">
          <cell r="A5767">
            <v>9100999</v>
          </cell>
          <cell r="B5767">
            <v>361108</v>
          </cell>
          <cell r="C5767" t="str">
            <v>PROPERTY RENTAL-OUTSIDE/LEASE</v>
          </cell>
        </row>
        <row r="5768">
          <cell r="A5768">
            <v>9110700</v>
          </cell>
          <cell r="B5768">
            <v>361108</v>
          </cell>
          <cell r="C5768" t="str">
            <v>PROPERTY RENTAL-OUTSIDE/LEASE</v>
          </cell>
        </row>
        <row r="5769">
          <cell r="A5769">
            <v>9110702</v>
          </cell>
          <cell r="B5769">
            <v>361108</v>
          </cell>
          <cell r="C5769" t="str">
            <v>PROPERTY RENTAL-OUTSIDE/LEASE</v>
          </cell>
        </row>
        <row r="5770">
          <cell r="A5770">
            <v>9110705</v>
          </cell>
          <cell r="B5770">
            <v>361108</v>
          </cell>
          <cell r="C5770" t="str">
            <v>PROPERTY RENTAL-OUTSIDE/LEASE</v>
          </cell>
        </row>
        <row r="5771">
          <cell r="A5771">
            <v>9110707</v>
          </cell>
          <cell r="B5771">
            <v>361108</v>
          </cell>
          <cell r="C5771" t="str">
            <v>PROPERTY RENTAL-OUTSIDE/LEASE</v>
          </cell>
        </row>
        <row r="5772">
          <cell r="A5772">
            <v>9110999</v>
          </cell>
          <cell r="B5772">
            <v>361108</v>
          </cell>
          <cell r="C5772" t="str">
            <v>PROPERTY RENTAL-OUTSIDE/LEASE</v>
          </cell>
        </row>
        <row r="5773">
          <cell r="A5773">
            <v>9680700</v>
          </cell>
          <cell r="B5773">
            <v>361108</v>
          </cell>
          <cell r="C5773" t="str">
            <v>PROPERTY RENTAL-OUTSIDE/LEASE</v>
          </cell>
        </row>
        <row r="5774">
          <cell r="A5774">
            <v>9680701</v>
          </cell>
          <cell r="B5774">
            <v>361108</v>
          </cell>
          <cell r="C5774" t="str">
            <v>PROPERTY RENTAL-OUTSIDE/LEASE</v>
          </cell>
        </row>
        <row r="5775">
          <cell r="A5775">
            <v>9680702</v>
          </cell>
          <cell r="B5775">
            <v>361108</v>
          </cell>
          <cell r="C5775" t="str">
            <v>PROPERTY RENTAL-OUTSIDE/LEASE</v>
          </cell>
        </row>
        <row r="5776">
          <cell r="A5776">
            <v>9680705</v>
          </cell>
          <cell r="B5776">
            <v>361108</v>
          </cell>
          <cell r="C5776" t="str">
            <v>PROPERTY RENTAL-OUTSIDE/LEASE</v>
          </cell>
        </row>
        <row r="5777">
          <cell r="A5777">
            <v>9680707</v>
          </cell>
          <cell r="B5777">
            <v>361108</v>
          </cell>
          <cell r="C5777" t="str">
            <v>PROPERTY RENTAL-OUTSIDE/LEASE</v>
          </cell>
        </row>
        <row r="5778">
          <cell r="A5778">
            <v>9680710</v>
          </cell>
          <cell r="B5778">
            <v>361108</v>
          </cell>
          <cell r="C5778" t="str">
            <v>PROPERTY RENTAL-OUTSIDE/LEASE</v>
          </cell>
        </row>
        <row r="5779">
          <cell r="A5779">
            <v>9680712</v>
          </cell>
          <cell r="B5779">
            <v>361108</v>
          </cell>
          <cell r="C5779" t="str">
            <v>PROPERTY RENTAL-OUTSIDE/LEASE</v>
          </cell>
        </row>
        <row r="5780">
          <cell r="A5780">
            <v>9680714</v>
          </cell>
          <cell r="B5780">
            <v>361108</v>
          </cell>
          <cell r="C5780" t="str">
            <v>PROPERTY RENTAL-OUTSIDE/LEASE</v>
          </cell>
        </row>
        <row r="5781">
          <cell r="A5781">
            <v>9680734</v>
          </cell>
          <cell r="B5781">
            <v>361108</v>
          </cell>
          <cell r="C5781" t="str">
            <v>PROPERTY RENTAL-OUTSIDE/LEASE</v>
          </cell>
        </row>
        <row r="5782">
          <cell r="A5782">
            <v>9680748</v>
          </cell>
          <cell r="B5782">
            <v>361108</v>
          </cell>
          <cell r="C5782" t="str">
            <v>PROPERTY RENTAL-OUTSIDE/LEASE</v>
          </cell>
        </row>
        <row r="5783">
          <cell r="A5783">
            <v>9680749</v>
          </cell>
          <cell r="B5783">
            <v>361108</v>
          </cell>
          <cell r="C5783" t="str">
            <v>PROPERTY RENTAL-OUTSIDE/LEASE</v>
          </cell>
        </row>
        <row r="5784">
          <cell r="A5784">
            <v>9680894</v>
          </cell>
          <cell r="B5784">
            <v>361108</v>
          </cell>
          <cell r="C5784" t="str">
            <v>PROPERTY RENTAL-OUTSIDE/LEASE</v>
          </cell>
        </row>
        <row r="5785">
          <cell r="A5785">
            <v>9680999</v>
          </cell>
          <cell r="B5785">
            <v>361108</v>
          </cell>
          <cell r="C5785" t="str">
            <v>PROPERTY RENTAL-OUTSIDE/LEASE</v>
          </cell>
        </row>
        <row r="5786">
          <cell r="A5786">
            <v>9681700</v>
          </cell>
          <cell r="B5786">
            <v>361108</v>
          </cell>
          <cell r="C5786" t="str">
            <v>PROPERTY RENTAL-OUTSIDE/LEASE</v>
          </cell>
        </row>
        <row r="5787">
          <cell r="A5787">
            <v>9681701</v>
          </cell>
          <cell r="B5787">
            <v>361108</v>
          </cell>
          <cell r="C5787" t="str">
            <v>PROPERTY RENTAL-OUTSIDE/LEASE</v>
          </cell>
        </row>
        <row r="5788">
          <cell r="A5788">
            <v>9681702</v>
          </cell>
          <cell r="B5788">
            <v>361108</v>
          </cell>
          <cell r="C5788" t="str">
            <v>PROPERTY RENTAL-OUTSIDE/LEASE</v>
          </cell>
        </row>
        <row r="5789">
          <cell r="A5789">
            <v>9681705</v>
          </cell>
          <cell r="B5789">
            <v>361108</v>
          </cell>
          <cell r="C5789" t="str">
            <v>PROPERTY RENTAL-OUTSIDE/LEASE</v>
          </cell>
        </row>
        <row r="5790">
          <cell r="A5790">
            <v>9681706</v>
          </cell>
          <cell r="B5790">
            <v>361108</v>
          </cell>
          <cell r="C5790" t="str">
            <v>PROPERTY RENTAL-OUTSIDE/LEASE</v>
          </cell>
        </row>
        <row r="5791">
          <cell r="A5791">
            <v>9681707</v>
          </cell>
          <cell r="B5791">
            <v>361108</v>
          </cell>
          <cell r="C5791" t="str">
            <v>PROPERTY RENTAL-OUTSIDE/LEASE</v>
          </cell>
        </row>
        <row r="5792">
          <cell r="A5792">
            <v>9681710</v>
          </cell>
          <cell r="B5792">
            <v>361108</v>
          </cell>
          <cell r="C5792" t="str">
            <v>PROPERTY RENTAL-OUTSIDE/LEASE</v>
          </cell>
        </row>
        <row r="5793">
          <cell r="A5793">
            <v>9681712</v>
          </cell>
          <cell r="B5793">
            <v>361108</v>
          </cell>
          <cell r="C5793" t="str">
            <v>PROPERTY RENTAL-OUTSIDE/LEASE</v>
          </cell>
        </row>
        <row r="5794">
          <cell r="A5794">
            <v>9681727</v>
          </cell>
          <cell r="B5794">
            <v>361108</v>
          </cell>
          <cell r="C5794" t="str">
            <v>PROPERTY RENTAL-OUTSIDE/LEASE</v>
          </cell>
        </row>
        <row r="5795">
          <cell r="A5795">
            <v>9681734</v>
          </cell>
          <cell r="B5795">
            <v>361108</v>
          </cell>
          <cell r="C5795" t="str">
            <v>PROPERTY RENTAL-OUTSIDE/LEASE</v>
          </cell>
        </row>
        <row r="5796">
          <cell r="A5796">
            <v>9681748</v>
          </cell>
          <cell r="B5796">
            <v>361108</v>
          </cell>
          <cell r="C5796" t="str">
            <v>PROPERTY RENTAL-OUTSIDE/LEASE</v>
          </cell>
        </row>
        <row r="5797">
          <cell r="A5797">
            <v>9681749</v>
          </cell>
          <cell r="B5797">
            <v>361108</v>
          </cell>
          <cell r="C5797" t="str">
            <v>PROPERTY RENTAL-OUTSIDE/LEASE</v>
          </cell>
        </row>
        <row r="5798">
          <cell r="A5798">
            <v>9681894</v>
          </cell>
          <cell r="B5798">
            <v>361108</v>
          </cell>
          <cell r="C5798" t="str">
            <v>PROPERTY RENTAL-OUTSIDE/LEASE</v>
          </cell>
        </row>
        <row r="5799">
          <cell r="A5799">
            <v>9681999</v>
          </cell>
          <cell r="B5799">
            <v>361108</v>
          </cell>
          <cell r="C5799" t="str">
            <v>PROPERTY RENTAL-OUTSIDE/LEASE</v>
          </cell>
        </row>
        <row r="5800">
          <cell r="A5800">
            <v>9684999</v>
          </cell>
          <cell r="B5800">
            <v>361108</v>
          </cell>
          <cell r="C5800" t="str">
            <v>PROPERTY RENTAL-OUTSIDE/LEASE</v>
          </cell>
        </row>
        <row r="5801">
          <cell r="A5801">
            <v>9689883</v>
          </cell>
          <cell r="B5801">
            <v>361108</v>
          </cell>
          <cell r="C5801" t="str">
            <v>PROPERTY RENTAL-OUTSIDE/LEASE</v>
          </cell>
        </row>
        <row r="5802">
          <cell r="A5802">
            <v>9689906</v>
          </cell>
          <cell r="B5802">
            <v>361108</v>
          </cell>
          <cell r="C5802" t="str">
            <v>PROPERTY RENTAL-OUTSIDE/LEASE</v>
          </cell>
        </row>
        <row r="5803">
          <cell r="A5803">
            <v>9689990</v>
          </cell>
          <cell r="B5803">
            <v>361108</v>
          </cell>
          <cell r="C5803" t="str">
            <v>PROPERTY RENTAL-OUTSIDE/LEASE</v>
          </cell>
        </row>
        <row r="5804">
          <cell r="A5804">
            <v>9689991</v>
          </cell>
          <cell r="B5804">
            <v>361108</v>
          </cell>
          <cell r="C5804" t="str">
            <v>PROPERTY RENTAL-OUTSIDE/LEASE</v>
          </cell>
        </row>
        <row r="5805">
          <cell r="A5805">
            <v>9689992</v>
          </cell>
          <cell r="B5805">
            <v>361108</v>
          </cell>
          <cell r="C5805" t="str">
            <v>PROPERTY RENTAL-OUTSIDE/LEASE</v>
          </cell>
        </row>
        <row r="5806">
          <cell r="A5806">
            <v>9689993</v>
          </cell>
          <cell r="B5806">
            <v>361108</v>
          </cell>
          <cell r="C5806" t="str">
            <v>PROPERTY RENTAL-OUTSIDE/LEASE</v>
          </cell>
        </row>
        <row r="5807">
          <cell r="A5807">
            <v>9689994</v>
          </cell>
          <cell r="B5807">
            <v>361108</v>
          </cell>
          <cell r="C5807" t="str">
            <v>PROPERTY RENTAL-OUTSIDE/LEASE</v>
          </cell>
        </row>
        <row r="5808">
          <cell r="A5808">
            <v>9722709</v>
          </cell>
          <cell r="B5808">
            <v>361108</v>
          </cell>
          <cell r="C5808" t="str">
            <v>PROPERTY RENTAL-OUTSIDE/LEASE</v>
          </cell>
        </row>
        <row r="5809">
          <cell r="A5809">
            <v>9722713</v>
          </cell>
          <cell r="B5809">
            <v>361108</v>
          </cell>
          <cell r="C5809" t="str">
            <v>PROPERTY RENTAL-OUTSIDE/LEASE</v>
          </cell>
        </row>
        <row r="5810">
          <cell r="A5810">
            <v>9969681</v>
          </cell>
          <cell r="B5810">
            <v>361108</v>
          </cell>
          <cell r="C5810" t="str">
            <v>PROPERTY RENTAL-OUTSIDE/LEASE</v>
          </cell>
        </row>
        <row r="5811">
          <cell r="A5811">
            <v>9684999</v>
          </cell>
          <cell r="B5811">
            <v>361109</v>
          </cell>
          <cell r="C5811" t="str">
            <v>AMORT LANDLORD REIMBUR LI'S</v>
          </cell>
        </row>
        <row r="5812">
          <cell r="A5812">
            <v>9685999</v>
          </cell>
          <cell r="B5812">
            <v>361109</v>
          </cell>
          <cell r="C5812" t="str">
            <v>AMORT LANDLORD REIMBUR LI'S</v>
          </cell>
        </row>
        <row r="5813">
          <cell r="A5813">
            <v>9689883</v>
          </cell>
          <cell r="B5813">
            <v>361109</v>
          </cell>
          <cell r="C5813" t="str">
            <v>AMORT LANDLORD REIMBUR LI'S</v>
          </cell>
        </row>
        <row r="5814">
          <cell r="A5814">
            <v>9689906</v>
          </cell>
          <cell r="B5814">
            <v>361109</v>
          </cell>
          <cell r="C5814" t="str">
            <v>AMORT LANDLORD REIMBUR LI'S</v>
          </cell>
        </row>
        <row r="5815">
          <cell r="A5815">
            <v>9689990</v>
          </cell>
          <cell r="B5815">
            <v>361109</v>
          </cell>
          <cell r="C5815" t="str">
            <v>AMORT LANDLORD REIMBUR LI'S</v>
          </cell>
        </row>
        <row r="5816">
          <cell r="A5816">
            <v>9689992</v>
          </cell>
          <cell r="B5816">
            <v>361109</v>
          </cell>
          <cell r="C5816" t="str">
            <v>AMORT LANDLORD REIMBUR LI'S</v>
          </cell>
        </row>
        <row r="5817">
          <cell r="A5817">
            <v>9090999</v>
          </cell>
          <cell r="B5817">
            <v>361130</v>
          </cell>
          <cell r="C5817" t="str">
            <v>RENT RECEIVED-OUTSIDE</v>
          </cell>
        </row>
        <row r="5818">
          <cell r="A5818">
            <v>9100999</v>
          </cell>
          <cell r="B5818">
            <v>361130</v>
          </cell>
          <cell r="C5818" t="str">
            <v>RENT RECEIVED-OUTSIDE</v>
          </cell>
        </row>
        <row r="5819">
          <cell r="A5819">
            <v>9720703</v>
          </cell>
          <cell r="B5819">
            <v>361512</v>
          </cell>
          <cell r="C5819" t="str">
            <v>RENT PAID - OUTSIDE - REBILLED</v>
          </cell>
        </row>
        <row r="5820">
          <cell r="A5820">
            <v>9724718</v>
          </cell>
          <cell r="B5820">
            <v>361512</v>
          </cell>
          <cell r="C5820" t="str">
            <v>RENT PAID - OUTSIDE - REBILLED</v>
          </cell>
        </row>
        <row r="5821">
          <cell r="A5821">
            <v>9724721</v>
          </cell>
          <cell r="B5821">
            <v>361512</v>
          </cell>
          <cell r="C5821" t="str">
            <v>RENT PAID - OUTSIDE - REBILLED</v>
          </cell>
        </row>
        <row r="5822">
          <cell r="A5822">
            <v>9724724</v>
          </cell>
          <cell r="B5822">
            <v>361512</v>
          </cell>
          <cell r="C5822" t="str">
            <v>RENT PAID - OUTSIDE - REBILLED</v>
          </cell>
        </row>
        <row r="5823">
          <cell r="A5823">
            <v>9725703</v>
          </cell>
          <cell r="B5823">
            <v>361512</v>
          </cell>
          <cell r="C5823" t="str">
            <v>RENT PAID - OUTSIDE - REBILLED</v>
          </cell>
        </row>
        <row r="5824">
          <cell r="A5824">
            <v>9725704</v>
          </cell>
          <cell r="B5824">
            <v>361512</v>
          </cell>
          <cell r="C5824" t="str">
            <v>RENT PAID - OUTSIDE - REBILLED</v>
          </cell>
        </row>
        <row r="5825">
          <cell r="A5825">
            <v>9725717</v>
          </cell>
          <cell r="B5825">
            <v>361512</v>
          </cell>
          <cell r="C5825" t="str">
            <v>RENT PAID - OUTSIDE - REBILLED</v>
          </cell>
        </row>
        <row r="5826">
          <cell r="A5826">
            <v>9725725</v>
          </cell>
          <cell r="B5826">
            <v>361512</v>
          </cell>
          <cell r="C5826" t="str">
            <v>RENT PAID - OUTSIDE - REBILLED</v>
          </cell>
        </row>
        <row r="5827">
          <cell r="A5827">
            <v>9090999</v>
          </cell>
          <cell r="B5827">
            <v>361578</v>
          </cell>
          <cell r="C5827" t="str">
            <v>AMORT CAP LEASES - EQUIPMENT</v>
          </cell>
        </row>
        <row r="5828">
          <cell r="A5828">
            <v>8001054179</v>
          </cell>
          <cell r="B5828">
            <v>361731</v>
          </cell>
          <cell r="C5828" t="str">
            <v>PROPERTY RENTAL-MINIMUM-OUTSID</v>
          </cell>
        </row>
        <row r="5829">
          <cell r="A5829">
            <v>8001059542</v>
          </cell>
          <cell r="B5829">
            <v>361731</v>
          </cell>
          <cell r="C5829" t="str">
            <v>PROPERTY RENTAL-MINIMUM-OUTSID</v>
          </cell>
        </row>
        <row r="5830">
          <cell r="A5830">
            <v>8010512510</v>
          </cell>
          <cell r="B5830">
            <v>361731</v>
          </cell>
          <cell r="C5830" t="str">
            <v>PROPERTY RENTAL-MINIMUM-OUTSID</v>
          </cell>
        </row>
        <row r="5831">
          <cell r="A5831">
            <v>9969681</v>
          </cell>
          <cell r="B5831">
            <v>361731</v>
          </cell>
          <cell r="C5831" t="str">
            <v>PROPERTY RENTAL-MINIMUM-OUTSID</v>
          </cell>
        </row>
        <row r="5832">
          <cell r="A5832">
            <v>9969901</v>
          </cell>
          <cell r="B5832">
            <v>361731</v>
          </cell>
          <cell r="C5832" t="str">
            <v>PROPERTY RENTAL-MINIMUM-OUTSID</v>
          </cell>
        </row>
        <row r="5833">
          <cell r="A5833" t="str">
            <v>ZONE-0105-POST</v>
          </cell>
          <cell r="B5833">
            <v>361731</v>
          </cell>
          <cell r="C5833" t="str">
            <v>PROPERTY RENTAL-MINIMUM-OUTSID</v>
          </cell>
        </row>
        <row r="5834">
          <cell r="A5834" t="str">
            <v>ZONE-0112-POST</v>
          </cell>
          <cell r="B5834">
            <v>361731</v>
          </cell>
          <cell r="C5834" t="str">
            <v>PROPERTY RENTAL-MINIMUM-OUTSID</v>
          </cell>
        </row>
        <row r="5835">
          <cell r="A5835">
            <v>9090710</v>
          </cell>
          <cell r="B5835">
            <v>361732</v>
          </cell>
          <cell r="C5835" t="str">
            <v>PROPERTY RENTAL-OUTSIDE STORAG</v>
          </cell>
        </row>
        <row r="5836">
          <cell r="A5836">
            <v>9100710</v>
          </cell>
          <cell r="B5836">
            <v>361732</v>
          </cell>
          <cell r="C5836" t="str">
            <v>PROPERTY RENTAL-OUTSIDE STORAG</v>
          </cell>
        </row>
        <row r="5837">
          <cell r="A5837">
            <v>9689883</v>
          </cell>
          <cell r="B5837">
            <v>361732</v>
          </cell>
          <cell r="C5837" t="str">
            <v>PROPERTY RENTAL-OUTSIDE STORAG</v>
          </cell>
        </row>
        <row r="5838">
          <cell r="A5838">
            <v>9689906</v>
          </cell>
          <cell r="B5838">
            <v>361732</v>
          </cell>
          <cell r="C5838" t="str">
            <v>PROPERTY RENTAL-OUTSIDE STORAG</v>
          </cell>
        </row>
        <row r="5839">
          <cell r="A5839">
            <v>9689992</v>
          </cell>
          <cell r="B5839">
            <v>361732</v>
          </cell>
          <cell r="C5839" t="str">
            <v>PROPERTY RENTAL-OUTSIDE STORAG</v>
          </cell>
        </row>
        <row r="5840">
          <cell r="A5840">
            <v>9090999</v>
          </cell>
          <cell r="B5840">
            <v>361831</v>
          </cell>
          <cell r="C5840" t="str">
            <v>REAL PROPERTY RENTAL - OUTSIDE</v>
          </cell>
        </row>
        <row r="5841">
          <cell r="A5841">
            <v>9100999</v>
          </cell>
          <cell r="B5841">
            <v>361831</v>
          </cell>
          <cell r="C5841" t="str">
            <v>REAL PROPERTY RENTAL - OUTSIDE</v>
          </cell>
        </row>
        <row r="5842">
          <cell r="A5842">
            <v>9090999</v>
          </cell>
          <cell r="B5842">
            <v>361843</v>
          </cell>
          <cell r="C5842" t="str">
            <v>EQUIPMENT RENTAL-CAPITAL LEASE</v>
          </cell>
        </row>
        <row r="5843">
          <cell r="A5843">
            <v>9689883</v>
          </cell>
          <cell r="B5843">
            <v>362100</v>
          </cell>
          <cell r="C5843" t="str">
            <v>DEPRECIATION CHARGE-INTER CO.</v>
          </cell>
        </row>
        <row r="5844">
          <cell r="A5844">
            <v>9689906</v>
          </cell>
          <cell r="B5844">
            <v>362100</v>
          </cell>
          <cell r="C5844" t="str">
            <v>DEPRECIATION CHARGE-INTER CO.</v>
          </cell>
        </row>
        <row r="5845">
          <cell r="A5845">
            <v>9689992</v>
          </cell>
          <cell r="B5845">
            <v>362100</v>
          </cell>
          <cell r="C5845" t="str">
            <v>DEPRECIATION CHARGE-INTER CO.</v>
          </cell>
        </row>
        <row r="5846">
          <cell r="A5846">
            <v>8001054179</v>
          </cell>
          <cell r="B5846">
            <v>362841</v>
          </cell>
          <cell r="C5846" t="str">
            <v>EQUIPMENT RENTAL-OUTSIDE</v>
          </cell>
        </row>
        <row r="5847">
          <cell r="A5847">
            <v>8001059542</v>
          </cell>
          <cell r="B5847">
            <v>362841</v>
          </cell>
          <cell r="C5847" t="str">
            <v>EQUIPMENT RENTAL-OUTSIDE</v>
          </cell>
        </row>
        <row r="5848">
          <cell r="A5848">
            <v>8010512510</v>
          </cell>
          <cell r="B5848">
            <v>362841</v>
          </cell>
          <cell r="C5848" t="str">
            <v>EQUIPMENT RENTAL-OUTSIDE</v>
          </cell>
        </row>
        <row r="5849">
          <cell r="A5849">
            <v>9080999</v>
          </cell>
          <cell r="B5849">
            <v>362841</v>
          </cell>
          <cell r="C5849" t="str">
            <v>EQUIPMENT RENTAL-OUTSIDE</v>
          </cell>
        </row>
        <row r="5850">
          <cell r="A5850">
            <v>9090999</v>
          </cell>
          <cell r="B5850">
            <v>362841</v>
          </cell>
          <cell r="C5850" t="str">
            <v>EQUIPMENT RENTAL-OUTSIDE</v>
          </cell>
        </row>
        <row r="5851">
          <cell r="A5851">
            <v>9100999</v>
          </cell>
          <cell r="B5851">
            <v>362841</v>
          </cell>
          <cell r="C5851" t="str">
            <v>EQUIPMENT RENTAL-OUTSIDE</v>
          </cell>
        </row>
        <row r="5852">
          <cell r="A5852">
            <v>9110999</v>
          </cell>
          <cell r="B5852">
            <v>362841</v>
          </cell>
          <cell r="C5852" t="str">
            <v>EQUIPMENT RENTAL-OUTSIDE</v>
          </cell>
        </row>
        <row r="5853">
          <cell r="A5853">
            <v>9680700</v>
          </cell>
          <cell r="B5853">
            <v>362841</v>
          </cell>
          <cell r="C5853" t="str">
            <v>EQUIPMENT RENTAL-OUTSIDE</v>
          </cell>
        </row>
        <row r="5854">
          <cell r="A5854">
            <v>9680701</v>
          </cell>
          <cell r="B5854">
            <v>362841</v>
          </cell>
          <cell r="C5854" t="str">
            <v>EQUIPMENT RENTAL-OUTSIDE</v>
          </cell>
        </row>
        <row r="5855">
          <cell r="A5855">
            <v>9680702</v>
          </cell>
          <cell r="B5855">
            <v>362841</v>
          </cell>
          <cell r="C5855" t="str">
            <v>EQUIPMENT RENTAL-OUTSIDE</v>
          </cell>
        </row>
        <row r="5856">
          <cell r="A5856">
            <v>9680705</v>
          </cell>
          <cell r="B5856">
            <v>362841</v>
          </cell>
          <cell r="C5856" t="str">
            <v>EQUIPMENT RENTAL-OUTSIDE</v>
          </cell>
        </row>
        <row r="5857">
          <cell r="A5857">
            <v>9680707</v>
          </cell>
          <cell r="B5857">
            <v>362841</v>
          </cell>
          <cell r="C5857" t="str">
            <v>EQUIPMENT RENTAL-OUTSIDE</v>
          </cell>
        </row>
        <row r="5858">
          <cell r="A5858">
            <v>9680710</v>
          </cell>
          <cell r="B5858">
            <v>362841</v>
          </cell>
          <cell r="C5858" t="str">
            <v>EQUIPMENT RENTAL-OUTSIDE</v>
          </cell>
        </row>
        <row r="5859">
          <cell r="A5859">
            <v>9680712</v>
          </cell>
          <cell r="B5859">
            <v>362841</v>
          </cell>
          <cell r="C5859" t="str">
            <v>EQUIPMENT RENTAL-OUTSIDE</v>
          </cell>
        </row>
        <row r="5860">
          <cell r="A5860">
            <v>9680714</v>
          </cell>
          <cell r="B5860">
            <v>362841</v>
          </cell>
          <cell r="C5860" t="str">
            <v>EQUIPMENT RENTAL-OUTSIDE</v>
          </cell>
        </row>
        <row r="5861">
          <cell r="A5861">
            <v>9680734</v>
          </cell>
          <cell r="B5861">
            <v>362841</v>
          </cell>
          <cell r="C5861" t="str">
            <v>EQUIPMENT RENTAL-OUTSIDE</v>
          </cell>
        </row>
        <row r="5862">
          <cell r="A5862">
            <v>9680748</v>
          </cell>
          <cell r="B5862">
            <v>362841</v>
          </cell>
          <cell r="C5862" t="str">
            <v>EQUIPMENT RENTAL-OUTSIDE</v>
          </cell>
        </row>
        <row r="5863">
          <cell r="A5863">
            <v>9680749</v>
          </cell>
          <cell r="B5863">
            <v>362841</v>
          </cell>
          <cell r="C5863" t="str">
            <v>EQUIPMENT RENTAL-OUTSIDE</v>
          </cell>
        </row>
        <row r="5864">
          <cell r="A5864">
            <v>9680894</v>
          </cell>
          <cell r="B5864">
            <v>362841</v>
          </cell>
          <cell r="C5864" t="str">
            <v>EQUIPMENT RENTAL-OUTSIDE</v>
          </cell>
        </row>
        <row r="5865">
          <cell r="A5865">
            <v>9680999</v>
          </cell>
          <cell r="B5865">
            <v>362841</v>
          </cell>
          <cell r="C5865" t="str">
            <v>EQUIPMENT RENTAL-OUTSIDE</v>
          </cell>
        </row>
        <row r="5866">
          <cell r="A5866">
            <v>9681707</v>
          </cell>
          <cell r="B5866">
            <v>362841</v>
          </cell>
          <cell r="C5866" t="str">
            <v>EQUIPMENT RENTAL-OUTSIDE</v>
          </cell>
        </row>
        <row r="5867">
          <cell r="A5867">
            <v>9681710</v>
          </cell>
          <cell r="B5867">
            <v>362841</v>
          </cell>
          <cell r="C5867" t="str">
            <v>EQUIPMENT RENTAL-OUTSIDE</v>
          </cell>
        </row>
        <row r="5868">
          <cell r="A5868">
            <v>9681734</v>
          </cell>
          <cell r="B5868">
            <v>362841</v>
          </cell>
          <cell r="C5868" t="str">
            <v>EQUIPMENT RENTAL-OUTSIDE</v>
          </cell>
        </row>
        <row r="5869">
          <cell r="A5869">
            <v>9681748</v>
          </cell>
          <cell r="B5869">
            <v>362841</v>
          </cell>
          <cell r="C5869" t="str">
            <v>EQUIPMENT RENTAL-OUTSIDE</v>
          </cell>
        </row>
        <row r="5870">
          <cell r="A5870">
            <v>9681749</v>
          </cell>
          <cell r="B5870">
            <v>362841</v>
          </cell>
          <cell r="C5870" t="str">
            <v>EQUIPMENT RENTAL-OUTSIDE</v>
          </cell>
        </row>
        <row r="5871">
          <cell r="A5871">
            <v>9681894</v>
          </cell>
          <cell r="B5871">
            <v>362841</v>
          </cell>
          <cell r="C5871" t="str">
            <v>EQUIPMENT RENTAL-OUTSIDE</v>
          </cell>
        </row>
        <row r="5872">
          <cell r="A5872">
            <v>9681999</v>
          </cell>
          <cell r="B5872">
            <v>362841</v>
          </cell>
          <cell r="C5872" t="str">
            <v>EQUIPMENT RENTAL-OUTSIDE</v>
          </cell>
        </row>
        <row r="5873">
          <cell r="A5873">
            <v>9683999</v>
          </cell>
          <cell r="B5873">
            <v>362841</v>
          </cell>
          <cell r="C5873" t="str">
            <v>EQUIPMENT RENTAL-OUTSIDE</v>
          </cell>
        </row>
        <row r="5874">
          <cell r="A5874">
            <v>9689692</v>
          </cell>
          <cell r="B5874">
            <v>362841</v>
          </cell>
          <cell r="C5874" t="str">
            <v>EQUIPMENT RENTAL-OUTSIDE</v>
          </cell>
        </row>
        <row r="5875">
          <cell r="A5875">
            <v>9689747</v>
          </cell>
          <cell r="B5875">
            <v>362841</v>
          </cell>
          <cell r="C5875" t="str">
            <v>EQUIPMENT RENTAL-OUTSIDE</v>
          </cell>
        </row>
        <row r="5876">
          <cell r="A5876">
            <v>9689883</v>
          </cell>
          <cell r="B5876">
            <v>362841</v>
          </cell>
          <cell r="C5876" t="str">
            <v>EQUIPMENT RENTAL-OUTSIDE</v>
          </cell>
        </row>
        <row r="5877">
          <cell r="A5877">
            <v>9689890</v>
          </cell>
          <cell r="B5877">
            <v>362841</v>
          </cell>
          <cell r="C5877" t="str">
            <v>EQUIPMENT RENTAL-OUTSIDE</v>
          </cell>
        </row>
        <row r="5878">
          <cell r="A5878">
            <v>9689906</v>
          </cell>
          <cell r="B5878">
            <v>362841</v>
          </cell>
          <cell r="C5878" t="str">
            <v>EQUIPMENT RENTAL-OUTSIDE</v>
          </cell>
        </row>
        <row r="5879">
          <cell r="A5879">
            <v>9689925</v>
          </cell>
          <cell r="B5879">
            <v>362841</v>
          </cell>
          <cell r="C5879" t="str">
            <v>EQUIPMENT RENTAL-OUTSIDE</v>
          </cell>
        </row>
        <row r="5880">
          <cell r="A5880">
            <v>9689990</v>
          </cell>
          <cell r="B5880">
            <v>362841</v>
          </cell>
          <cell r="C5880" t="str">
            <v>EQUIPMENT RENTAL-OUTSIDE</v>
          </cell>
        </row>
        <row r="5881">
          <cell r="A5881">
            <v>9689992</v>
          </cell>
          <cell r="B5881">
            <v>362841</v>
          </cell>
          <cell r="C5881" t="str">
            <v>EQUIPMENT RENTAL-OUTSIDE</v>
          </cell>
        </row>
        <row r="5882">
          <cell r="A5882">
            <v>9689994</v>
          </cell>
          <cell r="B5882">
            <v>362841</v>
          </cell>
          <cell r="C5882" t="str">
            <v>EQUIPMENT RENTAL-OUTSIDE</v>
          </cell>
        </row>
        <row r="5883">
          <cell r="A5883">
            <v>9969681</v>
          </cell>
          <cell r="B5883">
            <v>362841</v>
          </cell>
          <cell r="C5883" t="str">
            <v>EQUIPMENT RENTAL-OUTSIDE</v>
          </cell>
        </row>
        <row r="5884">
          <cell r="A5884">
            <v>9969901</v>
          </cell>
          <cell r="B5884">
            <v>362841</v>
          </cell>
          <cell r="C5884" t="str">
            <v>EQUIPMENT RENTAL-OUTSIDE</v>
          </cell>
        </row>
        <row r="5885">
          <cell r="A5885" t="str">
            <v>ZONE-0105-POST</v>
          </cell>
          <cell r="B5885">
            <v>362841</v>
          </cell>
          <cell r="C5885" t="str">
            <v>EQUIPMENT RENTAL-OUTSIDE</v>
          </cell>
        </row>
        <row r="5886">
          <cell r="A5886" t="str">
            <v>ZONE-0112-POST</v>
          </cell>
          <cell r="B5886">
            <v>362841</v>
          </cell>
          <cell r="C5886" t="str">
            <v>EQUIPMENT RENTAL-OUTSIDE</v>
          </cell>
        </row>
        <row r="5887">
          <cell r="A5887">
            <v>9080999</v>
          </cell>
          <cell r="B5887">
            <v>363768</v>
          </cell>
          <cell r="C5887" t="str">
            <v>HVAC REPAIRS NON-CONTRACT</v>
          </cell>
        </row>
        <row r="5888">
          <cell r="A5888">
            <v>9110999</v>
          </cell>
          <cell r="B5888">
            <v>363768</v>
          </cell>
          <cell r="C5888" t="str">
            <v>HVAC REPAIRS NON-CONTRACT</v>
          </cell>
        </row>
        <row r="5889">
          <cell r="A5889">
            <v>9689991</v>
          </cell>
          <cell r="B5889">
            <v>363788</v>
          </cell>
          <cell r="C5889" t="str">
            <v>PAINTING</v>
          </cell>
        </row>
        <row r="5890">
          <cell r="A5890">
            <v>9080999</v>
          </cell>
          <cell r="B5890">
            <v>363793</v>
          </cell>
          <cell r="C5890" t="str">
            <v>REPAIRS - BUILDING</v>
          </cell>
        </row>
        <row r="5891">
          <cell r="A5891">
            <v>9100999</v>
          </cell>
          <cell r="B5891">
            <v>363793</v>
          </cell>
          <cell r="C5891" t="str">
            <v>REPAIRS - BUILDING</v>
          </cell>
        </row>
        <row r="5892">
          <cell r="A5892">
            <v>9110999</v>
          </cell>
          <cell r="B5892">
            <v>363793</v>
          </cell>
          <cell r="C5892" t="str">
            <v>REPAIRS - BUILDING</v>
          </cell>
        </row>
        <row r="5893">
          <cell r="A5893">
            <v>9689994</v>
          </cell>
          <cell r="B5893">
            <v>363793</v>
          </cell>
          <cell r="C5893" t="str">
            <v>REPAIRS - BUILDING</v>
          </cell>
        </row>
        <row r="5894">
          <cell r="A5894">
            <v>9080999</v>
          </cell>
          <cell r="B5894">
            <v>364804</v>
          </cell>
          <cell r="C5894" t="str">
            <v>ALL OTHER EQUIPMENT</v>
          </cell>
        </row>
        <row r="5895">
          <cell r="A5895">
            <v>9110999</v>
          </cell>
          <cell r="B5895">
            <v>364804</v>
          </cell>
          <cell r="C5895" t="str">
            <v>ALL OTHER EQUIPMENT</v>
          </cell>
        </row>
        <row r="5896">
          <cell r="A5896">
            <v>9689994</v>
          </cell>
          <cell r="B5896">
            <v>364804</v>
          </cell>
          <cell r="C5896" t="str">
            <v>ALL OTHER EQUIPMENT</v>
          </cell>
        </row>
        <row r="5897">
          <cell r="A5897">
            <v>9689883</v>
          </cell>
          <cell r="B5897">
            <v>364810</v>
          </cell>
          <cell r="C5897" t="str">
            <v>REPAIRS EQUIPT - OTH THAN RETL</v>
          </cell>
        </row>
        <row r="5898">
          <cell r="A5898">
            <v>9689906</v>
          </cell>
          <cell r="B5898">
            <v>364810</v>
          </cell>
          <cell r="C5898" t="str">
            <v>REPAIRS EQUIPT - OTH THAN RETL</v>
          </cell>
        </row>
        <row r="5899">
          <cell r="A5899">
            <v>9689992</v>
          </cell>
          <cell r="B5899">
            <v>364810</v>
          </cell>
          <cell r="C5899" t="str">
            <v>REPAIRS EQUIPT - OTH THAN RETL</v>
          </cell>
        </row>
        <row r="5900">
          <cell r="A5900">
            <v>9720703</v>
          </cell>
          <cell r="B5900">
            <v>366819</v>
          </cell>
          <cell r="C5900" t="str">
            <v>MAINTENANCE-OTHER IT DIRECT</v>
          </cell>
        </row>
        <row r="5901">
          <cell r="A5901">
            <v>9724718</v>
          </cell>
          <cell r="B5901">
            <v>366819</v>
          </cell>
          <cell r="C5901" t="str">
            <v>MAINTENANCE-OTHER IT DIRECT</v>
          </cell>
        </row>
        <row r="5902">
          <cell r="A5902">
            <v>9724721</v>
          </cell>
          <cell r="B5902">
            <v>366819</v>
          </cell>
          <cell r="C5902" t="str">
            <v>MAINTENANCE-OTHER IT DIRECT</v>
          </cell>
        </row>
        <row r="5903">
          <cell r="A5903">
            <v>9724724</v>
          </cell>
          <cell r="B5903">
            <v>366819</v>
          </cell>
          <cell r="C5903" t="str">
            <v>MAINTENANCE-OTHER IT DIRECT</v>
          </cell>
        </row>
        <row r="5904">
          <cell r="A5904">
            <v>9725703</v>
          </cell>
          <cell r="B5904">
            <v>366819</v>
          </cell>
          <cell r="C5904" t="str">
            <v>MAINTENANCE-OTHER IT DIRECT</v>
          </cell>
        </row>
        <row r="5905">
          <cell r="A5905">
            <v>9725704</v>
          </cell>
          <cell r="B5905">
            <v>366819</v>
          </cell>
          <cell r="C5905" t="str">
            <v>MAINTENANCE-OTHER IT DIRECT</v>
          </cell>
        </row>
        <row r="5906">
          <cell r="A5906">
            <v>9725711</v>
          </cell>
          <cell r="B5906">
            <v>366819</v>
          </cell>
          <cell r="C5906" t="str">
            <v>MAINTENANCE-OTHER IT DIRECT</v>
          </cell>
        </row>
        <row r="5907">
          <cell r="A5907">
            <v>9725717</v>
          </cell>
          <cell r="B5907">
            <v>366819</v>
          </cell>
          <cell r="C5907" t="str">
            <v>MAINTENANCE-OTHER IT DIRECT</v>
          </cell>
        </row>
        <row r="5908">
          <cell r="A5908">
            <v>9725725</v>
          </cell>
          <cell r="B5908">
            <v>366819</v>
          </cell>
          <cell r="C5908" t="str">
            <v>MAINTENANCE-OTHER IT DIRECT</v>
          </cell>
        </row>
        <row r="5909">
          <cell r="A5909">
            <v>9090999</v>
          </cell>
          <cell r="B5909">
            <v>366824</v>
          </cell>
          <cell r="C5909" t="str">
            <v>LSE IMP RETIREMENT OBLIGATION</v>
          </cell>
        </row>
        <row r="5910">
          <cell r="A5910">
            <v>9100999</v>
          </cell>
          <cell r="B5910">
            <v>366824</v>
          </cell>
          <cell r="C5910" t="str">
            <v>LSE IMP RETIREMENT OBLIGATION</v>
          </cell>
        </row>
        <row r="5911">
          <cell r="A5911">
            <v>9680700</v>
          </cell>
          <cell r="B5911">
            <v>366824</v>
          </cell>
          <cell r="C5911" t="str">
            <v>LSE IMP RETIREMENT OBLIGATION</v>
          </cell>
        </row>
        <row r="5912">
          <cell r="A5912">
            <v>9680701</v>
          </cell>
          <cell r="B5912">
            <v>366824</v>
          </cell>
          <cell r="C5912" t="str">
            <v>LSE IMP RETIREMENT OBLIGATION</v>
          </cell>
        </row>
        <row r="5913">
          <cell r="A5913">
            <v>9680702</v>
          </cell>
          <cell r="B5913">
            <v>366824</v>
          </cell>
          <cell r="C5913" t="str">
            <v>LSE IMP RETIREMENT OBLIGATION</v>
          </cell>
        </row>
        <row r="5914">
          <cell r="A5914">
            <v>9680705</v>
          </cell>
          <cell r="B5914">
            <v>366824</v>
          </cell>
          <cell r="C5914" t="str">
            <v>LSE IMP RETIREMENT OBLIGATION</v>
          </cell>
        </row>
        <row r="5915">
          <cell r="A5915">
            <v>9680707</v>
          </cell>
          <cell r="B5915">
            <v>366824</v>
          </cell>
          <cell r="C5915" t="str">
            <v>LSE IMP RETIREMENT OBLIGATION</v>
          </cell>
        </row>
        <row r="5916">
          <cell r="A5916">
            <v>9680710</v>
          </cell>
          <cell r="B5916">
            <v>366824</v>
          </cell>
          <cell r="C5916" t="str">
            <v>LSE IMP RETIREMENT OBLIGATION</v>
          </cell>
        </row>
        <row r="5917">
          <cell r="A5917">
            <v>9680712</v>
          </cell>
          <cell r="B5917">
            <v>366824</v>
          </cell>
          <cell r="C5917" t="str">
            <v>LSE IMP RETIREMENT OBLIGATION</v>
          </cell>
        </row>
        <row r="5918">
          <cell r="A5918">
            <v>9680714</v>
          </cell>
          <cell r="B5918">
            <v>366824</v>
          </cell>
          <cell r="C5918" t="str">
            <v>LSE IMP RETIREMENT OBLIGATION</v>
          </cell>
        </row>
        <row r="5919">
          <cell r="A5919">
            <v>9680734</v>
          </cell>
          <cell r="B5919">
            <v>366824</v>
          </cell>
          <cell r="C5919" t="str">
            <v>LSE IMP RETIREMENT OBLIGATION</v>
          </cell>
        </row>
        <row r="5920">
          <cell r="A5920">
            <v>9680748</v>
          </cell>
          <cell r="B5920">
            <v>366824</v>
          </cell>
          <cell r="C5920" t="str">
            <v>LSE IMP RETIREMENT OBLIGATION</v>
          </cell>
        </row>
        <row r="5921">
          <cell r="A5921">
            <v>9680749</v>
          </cell>
          <cell r="B5921">
            <v>366824</v>
          </cell>
          <cell r="C5921" t="str">
            <v>LSE IMP RETIREMENT OBLIGATION</v>
          </cell>
        </row>
        <row r="5922">
          <cell r="A5922">
            <v>9680894</v>
          </cell>
          <cell r="B5922">
            <v>366824</v>
          </cell>
          <cell r="C5922" t="str">
            <v>LSE IMP RETIREMENT OBLIGATION</v>
          </cell>
        </row>
        <row r="5923">
          <cell r="A5923">
            <v>9680999</v>
          </cell>
          <cell r="B5923">
            <v>366824</v>
          </cell>
          <cell r="C5923" t="str">
            <v>LSE IMP RETIREMENT OBLIGATION</v>
          </cell>
        </row>
        <row r="5924">
          <cell r="A5924">
            <v>9681710</v>
          </cell>
          <cell r="B5924">
            <v>366824</v>
          </cell>
          <cell r="C5924" t="str">
            <v>LSE IMP RETIREMENT OBLIGATION</v>
          </cell>
        </row>
        <row r="5925">
          <cell r="A5925">
            <v>9681734</v>
          </cell>
          <cell r="B5925">
            <v>366824</v>
          </cell>
          <cell r="C5925" t="str">
            <v>LSE IMP RETIREMENT OBLIGATION</v>
          </cell>
        </row>
        <row r="5926">
          <cell r="A5926">
            <v>9681748</v>
          </cell>
          <cell r="B5926">
            <v>366824</v>
          </cell>
          <cell r="C5926" t="str">
            <v>LSE IMP RETIREMENT OBLIGATION</v>
          </cell>
        </row>
        <row r="5927">
          <cell r="A5927">
            <v>9681894</v>
          </cell>
          <cell r="B5927">
            <v>366824</v>
          </cell>
          <cell r="C5927" t="str">
            <v>LSE IMP RETIREMENT OBLIGATION</v>
          </cell>
        </row>
        <row r="5928">
          <cell r="A5928">
            <v>9684999</v>
          </cell>
          <cell r="B5928">
            <v>366824</v>
          </cell>
          <cell r="C5928" t="str">
            <v>LSE IMP RETIREMENT OBLIGATION</v>
          </cell>
        </row>
        <row r="5929">
          <cell r="A5929">
            <v>9689883</v>
          </cell>
          <cell r="B5929">
            <v>366824</v>
          </cell>
          <cell r="C5929" t="str">
            <v>LSE IMP RETIREMENT OBLIGATION</v>
          </cell>
        </row>
        <row r="5930">
          <cell r="A5930">
            <v>9689906</v>
          </cell>
          <cell r="B5930">
            <v>366824</v>
          </cell>
          <cell r="C5930" t="str">
            <v>LSE IMP RETIREMENT OBLIGATION</v>
          </cell>
        </row>
        <row r="5931">
          <cell r="A5931">
            <v>9689992</v>
          </cell>
          <cell r="B5931">
            <v>366824</v>
          </cell>
          <cell r="C5931" t="str">
            <v>LSE IMP RETIREMENT OBLIGATION</v>
          </cell>
        </row>
        <row r="5932">
          <cell r="A5932">
            <v>9080999</v>
          </cell>
          <cell r="B5932">
            <v>368820</v>
          </cell>
          <cell r="C5932" t="str">
            <v>ELECTRICITY-RETAIL STORES</v>
          </cell>
        </row>
        <row r="5933">
          <cell r="A5933">
            <v>9090999</v>
          </cell>
          <cell r="B5933">
            <v>368820</v>
          </cell>
          <cell r="C5933" t="str">
            <v>ELECTRICITY-RETAIL STORES</v>
          </cell>
        </row>
        <row r="5934">
          <cell r="A5934">
            <v>9100999</v>
          </cell>
          <cell r="B5934">
            <v>368820</v>
          </cell>
          <cell r="C5934" t="str">
            <v>ELECTRICITY-RETAIL STORES</v>
          </cell>
        </row>
        <row r="5935">
          <cell r="A5935">
            <v>9110999</v>
          </cell>
          <cell r="B5935">
            <v>368820</v>
          </cell>
          <cell r="C5935" t="str">
            <v>ELECTRICITY-RETAIL STORES</v>
          </cell>
        </row>
        <row r="5936">
          <cell r="A5936">
            <v>9680700</v>
          </cell>
          <cell r="B5936">
            <v>368820</v>
          </cell>
          <cell r="C5936" t="str">
            <v>ELECTRICITY-RETAIL STORES</v>
          </cell>
        </row>
        <row r="5937">
          <cell r="A5937">
            <v>9680701</v>
          </cell>
          <cell r="B5937">
            <v>368820</v>
          </cell>
          <cell r="C5937" t="str">
            <v>ELECTRICITY-RETAIL STORES</v>
          </cell>
        </row>
        <row r="5938">
          <cell r="A5938">
            <v>9680702</v>
          </cell>
          <cell r="B5938">
            <v>368820</v>
          </cell>
          <cell r="C5938" t="str">
            <v>ELECTRICITY-RETAIL STORES</v>
          </cell>
        </row>
        <row r="5939">
          <cell r="A5939">
            <v>9680705</v>
          </cell>
          <cell r="B5939">
            <v>368820</v>
          </cell>
          <cell r="C5939" t="str">
            <v>ELECTRICITY-RETAIL STORES</v>
          </cell>
        </row>
        <row r="5940">
          <cell r="A5940">
            <v>9680707</v>
          </cell>
          <cell r="B5940">
            <v>368820</v>
          </cell>
          <cell r="C5940" t="str">
            <v>ELECTRICITY-RETAIL STORES</v>
          </cell>
        </row>
        <row r="5941">
          <cell r="A5941">
            <v>9680710</v>
          </cell>
          <cell r="B5941">
            <v>368820</v>
          </cell>
          <cell r="C5941" t="str">
            <v>ELECTRICITY-RETAIL STORES</v>
          </cell>
        </row>
        <row r="5942">
          <cell r="A5942">
            <v>9680712</v>
          </cell>
          <cell r="B5942">
            <v>368820</v>
          </cell>
          <cell r="C5942" t="str">
            <v>ELECTRICITY-RETAIL STORES</v>
          </cell>
        </row>
        <row r="5943">
          <cell r="A5943">
            <v>9680714</v>
          </cell>
          <cell r="B5943">
            <v>368820</v>
          </cell>
          <cell r="C5943" t="str">
            <v>ELECTRICITY-RETAIL STORES</v>
          </cell>
        </row>
        <row r="5944">
          <cell r="A5944">
            <v>9680734</v>
          </cell>
          <cell r="B5944">
            <v>368820</v>
          </cell>
          <cell r="C5944" t="str">
            <v>ELECTRICITY-RETAIL STORES</v>
          </cell>
        </row>
        <row r="5945">
          <cell r="A5945">
            <v>9680748</v>
          </cell>
          <cell r="B5945">
            <v>368820</v>
          </cell>
          <cell r="C5945" t="str">
            <v>ELECTRICITY-RETAIL STORES</v>
          </cell>
        </row>
        <row r="5946">
          <cell r="A5946">
            <v>9680749</v>
          </cell>
          <cell r="B5946">
            <v>368820</v>
          </cell>
          <cell r="C5946" t="str">
            <v>ELECTRICITY-RETAIL STORES</v>
          </cell>
        </row>
        <row r="5947">
          <cell r="A5947">
            <v>9680894</v>
          </cell>
          <cell r="B5947">
            <v>368820</v>
          </cell>
          <cell r="C5947" t="str">
            <v>ELECTRICITY-RETAIL STORES</v>
          </cell>
        </row>
        <row r="5948">
          <cell r="A5948">
            <v>9680999</v>
          </cell>
          <cell r="B5948">
            <v>368820</v>
          </cell>
          <cell r="C5948" t="str">
            <v>ELECTRICITY-RETAIL STORES</v>
          </cell>
        </row>
        <row r="5949">
          <cell r="A5949">
            <v>9681710</v>
          </cell>
          <cell r="B5949">
            <v>368820</v>
          </cell>
          <cell r="C5949" t="str">
            <v>ELECTRICITY-RETAIL STORES</v>
          </cell>
        </row>
        <row r="5950">
          <cell r="A5950">
            <v>9681734</v>
          </cell>
          <cell r="B5950">
            <v>368820</v>
          </cell>
          <cell r="C5950" t="str">
            <v>ELECTRICITY-RETAIL STORES</v>
          </cell>
        </row>
        <row r="5951">
          <cell r="A5951">
            <v>9681748</v>
          </cell>
          <cell r="B5951">
            <v>368820</v>
          </cell>
          <cell r="C5951" t="str">
            <v>ELECTRICITY-RETAIL STORES</v>
          </cell>
        </row>
        <row r="5952">
          <cell r="A5952">
            <v>9681894</v>
          </cell>
          <cell r="B5952">
            <v>368820</v>
          </cell>
          <cell r="C5952" t="str">
            <v>ELECTRICITY-RETAIL STORES</v>
          </cell>
        </row>
        <row r="5953">
          <cell r="A5953">
            <v>9683999</v>
          </cell>
          <cell r="B5953">
            <v>368820</v>
          </cell>
          <cell r="C5953" t="str">
            <v>ELECTRICITY-RETAIL STORES</v>
          </cell>
        </row>
        <row r="5954">
          <cell r="A5954">
            <v>9689994</v>
          </cell>
          <cell r="B5954">
            <v>368820</v>
          </cell>
          <cell r="C5954" t="str">
            <v>ELECTRICITY-RETAIL STORES</v>
          </cell>
        </row>
        <row r="5955">
          <cell r="A5955">
            <v>9080999</v>
          </cell>
          <cell r="B5955">
            <v>368822</v>
          </cell>
          <cell r="C5955" t="str">
            <v>WATER &amp; SEWAGE DISPOS-RETAIL</v>
          </cell>
        </row>
        <row r="5956">
          <cell r="A5956">
            <v>9110999</v>
          </cell>
          <cell r="B5956">
            <v>368822</v>
          </cell>
          <cell r="C5956" t="str">
            <v>WATER &amp; SEWAGE DISPOS-RETAIL</v>
          </cell>
        </row>
        <row r="5957">
          <cell r="A5957">
            <v>9689994</v>
          </cell>
          <cell r="B5957">
            <v>368822</v>
          </cell>
          <cell r="C5957" t="str">
            <v>WATER &amp; SEWAGE DISPOS-RETAIL</v>
          </cell>
        </row>
        <row r="5958">
          <cell r="A5958">
            <v>9720703</v>
          </cell>
          <cell r="B5958">
            <v>369902</v>
          </cell>
          <cell r="C5958" t="str">
            <v>RADIO - MEDIA</v>
          </cell>
        </row>
        <row r="5959">
          <cell r="A5959">
            <v>9724718</v>
          </cell>
          <cell r="B5959">
            <v>369902</v>
          </cell>
          <cell r="C5959" t="str">
            <v>RADIO - MEDIA</v>
          </cell>
        </row>
        <row r="5960">
          <cell r="A5960">
            <v>9724721</v>
          </cell>
          <cell r="B5960">
            <v>369902</v>
          </cell>
          <cell r="C5960" t="str">
            <v>RADIO - MEDIA</v>
          </cell>
        </row>
        <row r="5961">
          <cell r="A5961">
            <v>9724724</v>
          </cell>
          <cell r="B5961">
            <v>369902</v>
          </cell>
          <cell r="C5961" t="str">
            <v>RADIO - MEDIA</v>
          </cell>
        </row>
        <row r="5962">
          <cell r="A5962">
            <v>9725703</v>
          </cell>
          <cell r="B5962">
            <v>369902</v>
          </cell>
          <cell r="C5962" t="str">
            <v>RADIO - MEDIA</v>
          </cell>
        </row>
        <row r="5963">
          <cell r="A5963">
            <v>9725704</v>
          </cell>
          <cell r="B5963">
            <v>369902</v>
          </cell>
          <cell r="C5963" t="str">
            <v>RADIO - MEDIA</v>
          </cell>
        </row>
        <row r="5964">
          <cell r="A5964">
            <v>9725711</v>
          </cell>
          <cell r="B5964">
            <v>369902</v>
          </cell>
          <cell r="C5964" t="str">
            <v>RADIO - MEDIA</v>
          </cell>
        </row>
        <row r="5965">
          <cell r="A5965">
            <v>9725717</v>
          </cell>
          <cell r="B5965">
            <v>369902</v>
          </cell>
          <cell r="C5965" t="str">
            <v>RADIO - MEDIA</v>
          </cell>
        </row>
        <row r="5966">
          <cell r="A5966">
            <v>9725725</v>
          </cell>
          <cell r="B5966">
            <v>369902</v>
          </cell>
          <cell r="C5966" t="str">
            <v>RADIO - MEDIA</v>
          </cell>
        </row>
        <row r="5967">
          <cell r="A5967">
            <v>8001054179</v>
          </cell>
          <cell r="B5967">
            <v>369909</v>
          </cell>
          <cell r="C5967" t="str">
            <v>MISC ADVERTISING EXPENSE</v>
          </cell>
        </row>
        <row r="5968">
          <cell r="A5968">
            <v>8001059542</v>
          </cell>
          <cell r="B5968">
            <v>369909</v>
          </cell>
          <cell r="C5968" t="str">
            <v>MISC ADVERTISING EXPENSE</v>
          </cell>
        </row>
        <row r="5969">
          <cell r="A5969">
            <v>8010512510</v>
          </cell>
          <cell r="B5969">
            <v>369909</v>
          </cell>
          <cell r="C5969" t="str">
            <v>MISC ADVERTISING EXPENSE</v>
          </cell>
        </row>
        <row r="5970">
          <cell r="A5970">
            <v>9090710</v>
          </cell>
          <cell r="B5970">
            <v>369909</v>
          </cell>
          <cell r="C5970" t="str">
            <v>MISC ADVERTISING EXPENSE</v>
          </cell>
        </row>
        <row r="5971">
          <cell r="A5971">
            <v>9100710</v>
          </cell>
          <cell r="B5971">
            <v>369909</v>
          </cell>
          <cell r="C5971" t="str">
            <v>MISC ADVERTISING EXPENSE</v>
          </cell>
        </row>
        <row r="5972">
          <cell r="A5972">
            <v>9969681</v>
          </cell>
          <cell r="B5972">
            <v>369909</v>
          </cell>
          <cell r="C5972" t="str">
            <v>MISC ADVERTISING EXPENSE</v>
          </cell>
        </row>
        <row r="5973">
          <cell r="A5973">
            <v>9969901</v>
          </cell>
          <cell r="B5973">
            <v>369909</v>
          </cell>
          <cell r="C5973" t="str">
            <v>MISC ADVERTISING EXPENSE</v>
          </cell>
        </row>
        <row r="5974">
          <cell r="A5974" t="str">
            <v>ZONE-0105-POST</v>
          </cell>
          <cell r="B5974">
            <v>369909</v>
          </cell>
          <cell r="C5974" t="str">
            <v>MISC ADVERTISING EXPENSE</v>
          </cell>
        </row>
        <row r="5975">
          <cell r="A5975" t="str">
            <v>ZONE-0112-POST</v>
          </cell>
          <cell r="B5975">
            <v>369909</v>
          </cell>
          <cell r="C5975" t="str">
            <v>MISC ADVERTISING EXPENSE</v>
          </cell>
        </row>
        <row r="5976">
          <cell r="A5976">
            <v>9720703</v>
          </cell>
          <cell r="B5976">
            <v>369921</v>
          </cell>
          <cell r="C5976" t="str">
            <v>DISPLAY MATERIAL-OUTSIDE PURCH</v>
          </cell>
        </row>
        <row r="5977">
          <cell r="A5977">
            <v>9724718</v>
          </cell>
          <cell r="B5977">
            <v>369921</v>
          </cell>
          <cell r="C5977" t="str">
            <v>DISPLAY MATERIAL-OUTSIDE PURCH</v>
          </cell>
        </row>
        <row r="5978">
          <cell r="A5978">
            <v>9724721</v>
          </cell>
          <cell r="B5978">
            <v>369921</v>
          </cell>
          <cell r="C5978" t="str">
            <v>DISPLAY MATERIAL-OUTSIDE PURCH</v>
          </cell>
        </row>
        <row r="5979">
          <cell r="A5979">
            <v>9724724</v>
          </cell>
          <cell r="B5979">
            <v>369921</v>
          </cell>
          <cell r="C5979" t="str">
            <v>DISPLAY MATERIAL-OUTSIDE PURCH</v>
          </cell>
        </row>
        <row r="5980">
          <cell r="A5980">
            <v>9725703</v>
          </cell>
          <cell r="B5980">
            <v>369921</v>
          </cell>
          <cell r="C5980" t="str">
            <v>DISPLAY MATERIAL-OUTSIDE PURCH</v>
          </cell>
        </row>
        <row r="5981">
          <cell r="A5981">
            <v>9725704</v>
          </cell>
          <cell r="B5981">
            <v>369921</v>
          </cell>
          <cell r="C5981" t="str">
            <v>DISPLAY MATERIAL-OUTSIDE PURCH</v>
          </cell>
        </row>
        <row r="5982">
          <cell r="A5982">
            <v>9725711</v>
          </cell>
          <cell r="B5982">
            <v>369921</v>
          </cell>
          <cell r="C5982" t="str">
            <v>DISPLAY MATERIAL-OUTSIDE PURCH</v>
          </cell>
        </row>
        <row r="5983">
          <cell r="A5983">
            <v>9725717</v>
          </cell>
          <cell r="B5983">
            <v>369921</v>
          </cell>
          <cell r="C5983" t="str">
            <v>DISPLAY MATERIAL-OUTSIDE PURCH</v>
          </cell>
        </row>
        <row r="5984">
          <cell r="A5984">
            <v>9725725</v>
          </cell>
          <cell r="B5984">
            <v>369921</v>
          </cell>
          <cell r="C5984" t="str">
            <v>DISPLAY MATERIAL-OUTSIDE PURCH</v>
          </cell>
        </row>
        <row r="5985">
          <cell r="A5985">
            <v>9080999</v>
          </cell>
          <cell r="B5985">
            <v>369923</v>
          </cell>
          <cell r="C5985" t="str">
            <v>DISPLAY MATERIAL-CORPORATE FOR</v>
          </cell>
        </row>
        <row r="5986">
          <cell r="A5986">
            <v>9110999</v>
          </cell>
          <cell r="B5986">
            <v>369923</v>
          </cell>
          <cell r="C5986" t="str">
            <v>DISPLAY MATERIAL-CORPORATE FOR</v>
          </cell>
        </row>
        <row r="5987">
          <cell r="A5987">
            <v>9689994</v>
          </cell>
          <cell r="B5987">
            <v>369923</v>
          </cell>
          <cell r="C5987" t="str">
            <v>DISPLAY MATERIAL-CORPORATE FOR</v>
          </cell>
        </row>
        <row r="5988">
          <cell r="A5988">
            <v>9080700</v>
          </cell>
          <cell r="B5988">
            <v>369925</v>
          </cell>
          <cell r="C5988" t="str">
            <v>SPECIAL EVENTS</v>
          </cell>
        </row>
        <row r="5989">
          <cell r="A5989">
            <v>9080701</v>
          </cell>
          <cell r="B5989">
            <v>369925</v>
          </cell>
          <cell r="C5989" t="str">
            <v>SPECIAL EVENTS</v>
          </cell>
        </row>
        <row r="5990">
          <cell r="A5990">
            <v>9080702</v>
          </cell>
          <cell r="B5990">
            <v>369925</v>
          </cell>
          <cell r="C5990" t="str">
            <v>SPECIAL EVENTS</v>
          </cell>
        </row>
        <row r="5991">
          <cell r="A5991">
            <v>9080705</v>
          </cell>
          <cell r="B5991">
            <v>369925</v>
          </cell>
          <cell r="C5991" t="str">
            <v>SPECIAL EVENTS</v>
          </cell>
        </row>
        <row r="5992">
          <cell r="A5992">
            <v>9080707</v>
          </cell>
          <cell r="B5992">
            <v>369925</v>
          </cell>
          <cell r="C5992" t="str">
            <v>SPECIAL EVENTS</v>
          </cell>
        </row>
        <row r="5993">
          <cell r="A5993">
            <v>9080710</v>
          </cell>
          <cell r="B5993">
            <v>369925</v>
          </cell>
          <cell r="C5993" t="str">
            <v>SPECIAL EVENTS</v>
          </cell>
        </row>
        <row r="5994">
          <cell r="A5994">
            <v>9090710</v>
          </cell>
          <cell r="B5994">
            <v>369925</v>
          </cell>
          <cell r="C5994" t="str">
            <v>SPECIAL EVENTS</v>
          </cell>
        </row>
        <row r="5995">
          <cell r="A5995">
            <v>9090999</v>
          </cell>
          <cell r="B5995">
            <v>369925</v>
          </cell>
          <cell r="C5995" t="str">
            <v>SPECIAL EVENTS</v>
          </cell>
        </row>
        <row r="5996">
          <cell r="A5996">
            <v>9100710</v>
          </cell>
          <cell r="B5996">
            <v>369925</v>
          </cell>
          <cell r="C5996" t="str">
            <v>SPECIAL EVENTS</v>
          </cell>
        </row>
        <row r="5997">
          <cell r="A5997">
            <v>9100999</v>
          </cell>
          <cell r="B5997">
            <v>369925</v>
          </cell>
          <cell r="C5997" t="str">
            <v>SPECIAL EVENTS</v>
          </cell>
        </row>
        <row r="5998">
          <cell r="A5998">
            <v>9110700</v>
          </cell>
          <cell r="B5998">
            <v>369925</v>
          </cell>
          <cell r="C5998" t="str">
            <v>SPECIAL EVENTS</v>
          </cell>
        </row>
        <row r="5999">
          <cell r="A5999">
            <v>9110702</v>
          </cell>
          <cell r="B5999">
            <v>369925</v>
          </cell>
          <cell r="C5999" t="str">
            <v>SPECIAL EVENTS</v>
          </cell>
        </row>
        <row r="6000">
          <cell r="A6000">
            <v>9110705</v>
          </cell>
          <cell r="B6000">
            <v>369925</v>
          </cell>
          <cell r="C6000" t="str">
            <v>SPECIAL EVENTS</v>
          </cell>
        </row>
        <row r="6001">
          <cell r="A6001">
            <v>9110707</v>
          </cell>
          <cell r="B6001">
            <v>369925</v>
          </cell>
          <cell r="C6001" t="str">
            <v>SPECIAL EVENTS</v>
          </cell>
        </row>
        <row r="6002">
          <cell r="A6002">
            <v>9681700</v>
          </cell>
          <cell r="B6002">
            <v>369925</v>
          </cell>
          <cell r="C6002" t="str">
            <v>SPECIAL EVENTS</v>
          </cell>
        </row>
        <row r="6003">
          <cell r="A6003">
            <v>9681710</v>
          </cell>
          <cell r="B6003">
            <v>369925</v>
          </cell>
          <cell r="C6003" t="str">
            <v>SPECIAL EVENTS</v>
          </cell>
        </row>
        <row r="6004">
          <cell r="A6004">
            <v>9681712</v>
          </cell>
          <cell r="B6004">
            <v>369925</v>
          </cell>
          <cell r="C6004" t="str">
            <v>SPECIAL EVENTS</v>
          </cell>
        </row>
        <row r="6005">
          <cell r="A6005">
            <v>9682715</v>
          </cell>
          <cell r="B6005">
            <v>369925</v>
          </cell>
          <cell r="C6005" t="str">
            <v>SPECIAL EVENTS</v>
          </cell>
        </row>
        <row r="6006">
          <cell r="A6006">
            <v>9080700</v>
          </cell>
          <cell r="B6006">
            <v>369931</v>
          </cell>
          <cell r="C6006" t="str">
            <v>MAGAZINE SPACE</v>
          </cell>
        </row>
        <row r="6007">
          <cell r="A6007">
            <v>9080701</v>
          </cell>
          <cell r="B6007">
            <v>369931</v>
          </cell>
          <cell r="C6007" t="str">
            <v>MAGAZINE SPACE</v>
          </cell>
        </row>
        <row r="6008">
          <cell r="A6008">
            <v>9080702</v>
          </cell>
          <cell r="B6008">
            <v>369931</v>
          </cell>
          <cell r="C6008" t="str">
            <v>MAGAZINE SPACE</v>
          </cell>
        </row>
        <row r="6009">
          <cell r="A6009">
            <v>9080705</v>
          </cell>
          <cell r="B6009">
            <v>369931</v>
          </cell>
          <cell r="C6009" t="str">
            <v>MAGAZINE SPACE</v>
          </cell>
        </row>
        <row r="6010">
          <cell r="A6010">
            <v>9080707</v>
          </cell>
          <cell r="B6010">
            <v>369931</v>
          </cell>
          <cell r="C6010" t="str">
            <v>MAGAZINE SPACE</v>
          </cell>
        </row>
        <row r="6011">
          <cell r="A6011">
            <v>9080710</v>
          </cell>
          <cell r="B6011">
            <v>369931</v>
          </cell>
          <cell r="C6011" t="str">
            <v>MAGAZINE SPACE</v>
          </cell>
        </row>
        <row r="6012">
          <cell r="A6012">
            <v>9110700</v>
          </cell>
          <cell r="B6012">
            <v>369931</v>
          </cell>
          <cell r="C6012" t="str">
            <v>MAGAZINE SPACE</v>
          </cell>
        </row>
        <row r="6013">
          <cell r="A6013">
            <v>9110702</v>
          </cell>
          <cell r="B6013">
            <v>369931</v>
          </cell>
          <cell r="C6013" t="str">
            <v>MAGAZINE SPACE</v>
          </cell>
        </row>
        <row r="6014">
          <cell r="A6014">
            <v>9110705</v>
          </cell>
          <cell r="B6014">
            <v>369931</v>
          </cell>
          <cell r="C6014" t="str">
            <v>MAGAZINE SPACE</v>
          </cell>
        </row>
        <row r="6015">
          <cell r="A6015">
            <v>9110707</v>
          </cell>
          <cell r="B6015">
            <v>369931</v>
          </cell>
          <cell r="C6015" t="str">
            <v>MAGAZINE SPACE</v>
          </cell>
        </row>
        <row r="6016">
          <cell r="A6016">
            <v>9681700</v>
          </cell>
          <cell r="B6016">
            <v>369931</v>
          </cell>
          <cell r="C6016" t="str">
            <v>MAGAZINE SPACE</v>
          </cell>
        </row>
        <row r="6017">
          <cell r="A6017">
            <v>9681701</v>
          </cell>
          <cell r="B6017">
            <v>369931</v>
          </cell>
          <cell r="C6017" t="str">
            <v>MAGAZINE SPACE</v>
          </cell>
        </row>
        <row r="6018">
          <cell r="A6018">
            <v>9681702</v>
          </cell>
          <cell r="B6018">
            <v>369931</v>
          </cell>
          <cell r="C6018" t="str">
            <v>MAGAZINE SPACE</v>
          </cell>
        </row>
        <row r="6019">
          <cell r="A6019">
            <v>9681705</v>
          </cell>
          <cell r="B6019">
            <v>369931</v>
          </cell>
          <cell r="C6019" t="str">
            <v>MAGAZINE SPACE</v>
          </cell>
        </row>
        <row r="6020">
          <cell r="A6020">
            <v>9681706</v>
          </cell>
          <cell r="B6020">
            <v>369931</v>
          </cell>
          <cell r="C6020" t="str">
            <v>MAGAZINE SPACE</v>
          </cell>
        </row>
        <row r="6021">
          <cell r="A6021">
            <v>9681707</v>
          </cell>
          <cell r="B6021">
            <v>369931</v>
          </cell>
          <cell r="C6021" t="str">
            <v>MAGAZINE SPACE</v>
          </cell>
        </row>
        <row r="6022">
          <cell r="A6022">
            <v>9681712</v>
          </cell>
          <cell r="B6022">
            <v>369931</v>
          </cell>
          <cell r="C6022" t="str">
            <v>MAGAZINE SPACE</v>
          </cell>
        </row>
        <row r="6023">
          <cell r="A6023">
            <v>9681727</v>
          </cell>
          <cell r="B6023">
            <v>369931</v>
          </cell>
          <cell r="C6023" t="str">
            <v>MAGAZINE SPACE</v>
          </cell>
        </row>
        <row r="6024">
          <cell r="A6024">
            <v>9681749</v>
          </cell>
          <cell r="B6024">
            <v>369931</v>
          </cell>
          <cell r="C6024" t="str">
            <v>MAGAZINE SPACE</v>
          </cell>
        </row>
        <row r="6025">
          <cell r="A6025">
            <v>9681999</v>
          </cell>
          <cell r="B6025">
            <v>369931</v>
          </cell>
          <cell r="C6025" t="str">
            <v>MAGAZINE SPACE</v>
          </cell>
        </row>
        <row r="6026">
          <cell r="A6026">
            <v>9080999</v>
          </cell>
          <cell r="B6026">
            <v>369932</v>
          </cell>
          <cell r="C6026" t="str">
            <v>SMS-ADVERTISING EXPENSE</v>
          </cell>
        </row>
        <row r="6027">
          <cell r="A6027">
            <v>9090999</v>
          </cell>
          <cell r="B6027">
            <v>369932</v>
          </cell>
          <cell r="C6027" t="str">
            <v>SMS-ADVERTISING EXPENSE</v>
          </cell>
        </row>
        <row r="6028">
          <cell r="A6028">
            <v>9100999</v>
          </cell>
          <cell r="B6028">
            <v>369932</v>
          </cell>
          <cell r="C6028" t="str">
            <v>SMS-ADVERTISING EXPENSE</v>
          </cell>
        </row>
        <row r="6029">
          <cell r="A6029">
            <v>9110999</v>
          </cell>
          <cell r="B6029">
            <v>369932</v>
          </cell>
          <cell r="C6029" t="str">
            <v>SMS-ADVERTISING EXPENSE</v>
          </cell>
        </row>
        <row r="6030">
          <cell r="A6030">
            <v>9680700</v>
          </cell>
          <cell r="B6030">
            <v>369932</v>
          </cell>
          <cell r="C6030" t="str">
            <v>SMS-ADVERTISING EXPENSE</v>
          </cell>
        </row>
        <row r="6031">
          <cell r="A6031">
            <v>9680701</v>
          </cell>
          <cell r="B6031">
            <v>369932</v>
          </cell>
          <cell r="C6031" t="str">
            <v>SMS-ADVERTISING EXPENSE</v>
          </cell>
        </row>
        <row r="6032">
          <cell r="A6032">
            <v>9680702</v>
          </cell>
          <cell r="B6032">
            <v>369932</v>
          </cell>
          <cell r="C6032" t="str">
            <v>SMS-ADVERTISING EXPENSE</v>
          </cell>
        </row>
        <row r="6033">
          <cell r="A6033">
            <v>9680705</v>
          </cell>
          <cell r="B6033">
            <v>369932</v>
          </cell>
          <cell r="C6033" t="str">
            <v>SMS-ADVERTISING EXPENSE</v>
          </cell>
        </row>
        <row r="6034">
          <cell r="A6034">
            <v>9680707</v>
          </cell>
          <cell r="B6034">
            <v>369932</v>
          </cell>
          <cell r="C6034" t="str">
            <v>SMS-ADVERTISING EXPENSE</v>
          </cell>
        </row>
        <row r="6035">
          <cell r="A6035">
            <v>9680710</v>
          </cell>
          <cell r="B6035">
            <v>369932</v>
          </cell>
          <cell r="C6035" t="str">
            <v>SMS-ADVERTISING EXPENSE</v>
          </cell>
        </row>
        <row r="6036">
          <cell r="A6036">
            <v>9680712</v>
          </cell>
          <cell r="B6036">
            <v>369932</v>
          </cell>
          <cell r="C6036" t="str">
            <v>SMS-ADVERTISING EXPENSE</v>
          </cell>
        </row>
        <row r="6037">
          <cell r="A6037">
            <v>9680714</v>
          </cell>
          <cell r="B6037">
            <v>369932</v>
          </cell>
          <cell r="C6037" t="str">
            <v>SMS-ADVERTISING EXPENSE</v>
          </cell>
        </row>
        <row r="6038">
          <cell r="A6038">
            <v>9680734</v>
          </cell>
          <cell r="B6038">
            <v>369932</v>
          </cell>
          <cell r="C6038" t="str">
            <v>SMS-ADVERTISING EXPENSE</v>
          </cell>
        </row>
        <row r="6039">
          <cell r="A6039">
            <v>9680748</v>
          </cell>
          <cell r="B6039">
            <v>369932</v>
          </cell>
          <cell r="C6039" t="str">
            <v>SMS-ADVERTISING EXPENSE</v>
          </cell>
        </row>
        <row r="6040">
          <cell r="A6040">
            <v>9680749</v>
          </cell>
          <cell r="B6040">
            <v>369932</v>
          </cell>
          <cell r="C6040" t="str">
            <v>SMS-ADVERTISING EXPENSE</v>
          </cell>
        </row>
        <row r="6041">
          <cell r="A6041">
            <v>9680894</v>
          </cell>
          <cell r="B6041">
            <v>369932</v>
          </cell>
          <cell r="C6041" t="str">
            <v>SMS-ADVERTISING EXPENSE</v>
          </cell>
        </row>
        <row r="6042">
          <cell r="A6042">
            <v>9680999</v>
          </cell>
          <cell r="B6042">
            <v>369932</v>
          </cell>
          <cell r="C6042" t="str">
            <v>SMS-ADVERTISING EXPENSE</v>
          </cell>
        </row>
        <row r="6043">
          <cell r="A6043">
            <v>9681710</v>
          </cell>
          <cell r="B6043">
            <v>369932</v>
          </cell>
          <cell r="C6043" t="str">
            <v>SMS-ADVERTISING EXPENSE</v>
          </cell>
        </row>
        <row r="6044">
          <cell r="A6044">
            <v>9681734</v>
          </cell>
          <cell r="B6044">
            <v>369932</v>
          </cell>
          <cell r="C6044" t="str">
            <v>SMS-ADVERTISING EXPENSE</v>
          </cell>
        </row>
        <row r="6045">
          <cell r="A6045">
            <v>9681748</v>
          </cell>
          <cell r="B6045">
            <v>369932</v>
          </cell>
          <cell r="C6045" t="str">
            <v>SMS-ADVERTISING EXPENSE</v>
          </cell>
        </row>
        <row r="6046">
          <cell r="A6046">
            <v>9681894</v>
          </cell>
          <cell r="B6046">
            <v>369932</v>
          </cell>
          <cell r="C6046" t="str">
            <v>SMS-ADVERTISING EXPENSE</v>
          </cell>
        </row>
        <row r="6047">
          <cell r="A6047">
            <v>9689990</v>
          </cell>
          <cell r="B6047">
            <v>369932</v>
          </cell>
          <cell r="C6047" t="str">
            <v>SMS-ADVERTISING EXPENSE</v>
          </cell>
        </row>
        <row r="6048">
          <cell r="A6048">
            <v>9080999</v>
          </cell>
          <cell r="B6048">
            <v>369981</v>
          </cell>
          <cell r="C6048" t="str">
            <v>PUBLIC RELATIONS</v>
          </cell>
        </row>
        <row r="6049">
          <cell r="A6049">
            <v>9110999</v>
          </cell>
          <cell r="B6049">
            <v>369981</v>
          </cell>
          <cell r="C6049" t="str">
            <v>PUBLIC RELATIONS</v>
          </cell>
        </row>
        <row r="6050">
          <cell r="A6050">
            <v>9681727</v>
          </cell>
          <cell r="B6050">
            <v>369981</v>
          </cell>
          <cell r="C6050" t="str">
            <v>PUBLIC RELATIONS</v>
          </cell>
        </row>
        <row r="6051">
          <cell r="A6051">
            <v>9689883</v>
          </cell>
          <cell r="B6051">
            <v>369981</v>
          </cell>
          <cell r="C6051" t="str">
            <v>PUBLIC RELATIONS</v>
          </cell>
        </row>
        <row r="6052">
          <cell r="A6052">
            <v>9689994</v>
          </cell>
          <cell r="B6052">
            <v>369981</v>
          </cell>
          <cell r="C6052" t="str">
            <v>PUBLIC RELATIONS</v>
          </cell>
        </row>
        <row r="6053">
          <cell r="A6053">
            <v>9080700</v>
          </cell>
          <cell r="B6053">
            <v>370021</v>
          </cell>
          <cell r="C6053" t="str">
            <v>TRAVEL EXPENSE - OTHER</v>
          </cell>
        </row>
        <row r="6054">
          <cell r="A6054">
            <v>9080701</v>
          </cell>
          <cell r="B6054">
            <v>370021</v>
          </cell>
          <cell r="C6054" t="str">
            <v>TRAVEL EXPENSE - OTHER</v>
          </cell>
        </row>
        <row r="6055">
          <cell r="A6055">
            <v>9080702</v>
          </cell>
          <cell r="B6055">
            <v>370021</v>
          </cell>
          <cell r="C6055" t="str">
            <v>TRAVEL EXPENSE - OTHER</v>
          </cell>
        </row>
        <row r="6056">
          <cell r="A6056">
            <v>9080705</v>
          </cell>
          <cell r="B6056">
            <v>370021</v>
          </cell>
          <cell r="C6056" t="str">
            <v>TRAVEL EXPENSE - OTHER</v>
          </cell>
        </row>
        <row r="6057">
          <cell r="A6057">
            <v>9080707</v>
          </cell>
          <cell r="B6057">
            <v>370021</v>
          </cell>
          <cell r="C6057" t="str">
            <v>TRAVEL EXPENSE - OTHER</v>
          </cell>
        </row>
        <row r="6058">
          <cell r="A6058">
            <v>9080710</v>
          </cell>
          <cell r="B6058">
            <v>370021</v>
          </cell>
          <cell r="C6058" t="str">
            <v>TRAVEL EXPENSE - OTHER</v>
          </cell>
        </row>
        <row r="6059">
          <cell r="A6059">
            <v>9090999</v>
          </cell>
          <cell r="B6059">
            <v>370021</v>
          </cell>
          <cell r="C6059" t="str">
            <v>TRAVEL EXPENSE - OTHER</v>
          </cell>
        </row>
        <row r="6060">
          <cell r="A6060">
            <v>9100999</v>
          </cell>
          <cell r="B6060">
            <v>370021</v>
          </cell>
          <cell r="C6060" t="str">
            <v>TRAVEL EXPENSE - OTHER</v>
          </cell>
        </row>
        <row r="6061">
          <cell r="A6061">
            <v>9110700</v>
          </cell>
          <cell r="B6061">
            <v>370021</v>
          </cell>
          <cell r="C6061" t="str">
            <v>TRAVEL EXPENSE - OTHER</v>
          </cell>
        </row>
        <row r="6062">
          <cell r="A6062">
            <v>9110702</v>
          </cell>
          <cell r="B6062">
            <v>370021</v>
          </cell>
          <cell r="C6062" t="str">
            <v>TRAVEL EXPENSE - OTHER</v>
          </cell>
        </row>
        <row r="6063">
          <cell r="A6063">
            <v>9110705</v>
          </cell>
          <cell r="B6063">
            <v>370021</v>
          </cell>
          <cell r="C6063" t="str">
            <v>TRAVEL EXPENSE - OTHER</v>
          </cell>
        </row>
        <row r="6064">
          <cell r="A6064">
            <v>9110707</v>
          </cell>
          <cell r="B6064">
            <v>370021</v>
          </cell>
          <cell r="C6064" t="str">
            <v>TRAVEL EXPENSE - OTHER</v>
          </cell>
        </row>
        <row r="6065">
          <cell r="A6065">
            <v>9680700</v>
          </cell>
          <cell r="B6065">
            <v>370021</v>
          </cell>
          <cell r="C6065" t="str">
            <v>TRAVEL EXPENSE - OTHER</v>
          </cell>
        </row>
        <row r="6066">
          <cell r="A6066">
            <v>9680701</v>
          </cell>
          <cell r="B6066">
            <v>370021</v>
          </cell>
          <cell r="C6066" t="str">
            <v>TRAVEL EXPENSE - OTHER</v>
          </cell>
        </row>
        <row r="6067">
          <cell r="A6067">
            <v>9680702</v>
          </cell>
          <cell r="B6067">
            <v>370021</v>
          </cell>
          <cell r="C6067" t="str">
            <v>TRAVEL EXPENSE - OTHER</v>
          </cell>
        </row>
        <row r="6068">
          <cell r="A6068">
            <v>9680705</v>
          </cell>
          <cell r="B6068">
            <v>370021</v>
          </cell>
          <cell r="C6068" t="str">
            <v>TRAVEL EXPENSE - OTHER</v>
          </cell>
        </row>
        <row r="6069">
          <cell r="A6069">
            <v>9680707</v>
          </cell>
          <cell r="B6069">
            <v>370021</v>
          </cell>
          <cell r="C6069" t="str">
            <v>TRAVEL EXPENSE - OTHER</v>
          </cell>
        </row>
        <row r="6070">
          <cell r="A6070">
            <v>9680710</v>
          </cell>
          <cell r="B6070">
            <v>370021</v>
          </cell>
          <cell r="C6070" t="str">
            <v>TRAVEL EXPENSE - OTHER</v>
          </cell>
        </row>
        <row r="6071">
          <cell r="A6071">
            <v>9680712</v>
          </cell>
          <cell r="B6071">
            <v>370021</v>
          </cell>
          <cell r="C6071" t="str">
            <v>TRAVEL EXPENSE - OTHER</v>
          </cell>
        </row>
        <row r="6072">
          <cell r="A6072">
            <v>9680714</v>
          </cell>
          <cell r="B6072">
            <v>370021</v>
          </cell>
          <cell r="C6072" t="str">
            <v>TRAVEL EXPENSE - OTHER</v>
          </cell>
        </row>
        <row r="6073">
          <cell r="A6073">
            <v>9680734</v>
          </cell>
          <cell r="B6073">
            <v>370021</v>
          </cell>
          <cell r="C6073" t="str">
            <v>TRAVEL EXPENSE - OTHER</v>
          </cell>
        </row>
        <row r="6074">
          <cell r="A6074">
            <v>9680748</v>
          </cell>
          <cell r="B6074">
            <v>370021</v>
          </cell>
          <cell r="C6074" t="str">
            <v>TRAVEL EXPENSE - OTHER</v>
          </cell>
        </row>
        <row r="6075">
          <cell r="A6075">
            <v>9680749</v>
          </cell>
          <cell r="B6075">
            <v>370021</v>
          </cell>
          <cell r="C6075" t="str">
            <v>TRAVEL EXPENSE - OTHER</v>
          </cell>
        </row>
        <row r="6076">
          <cell r="A6076">
            <v>9680894</v>
          </cell>
          <cell r="B6076">
            <v>370021</v>
          </cell>
          <cell r="C6076" t="str">
            <v>TRAVEL EXPENSE - OTHER</v>
          </cell>
        </row>
        <row r="6077">
          <cell r="A6077">
            <v>9680999</v>
          </cell>
          <cell r="B6077">
            <v>370021</v>
          </cell>
          <cell r="C6077" t="str">
            <v>TRAVEL EXPENSE - OTHER</v>
          </cell>
        </row>
        <row r="6078">
          <cell r="A6078">
            <v>9681700</v>
          </cell>
          <cell r="B6078">
            <v>370021</v>
          </cell>
          <cell r="C6078" t="str">
            <v>TRAVEL EXPENSE - OTHER</v>
          </cell>
        </row>
        <row r="6079">
          <cell r="A6079">
            <v>9681701</v>
          </cell>
          <cell r="B6079">
            <v>370021</v>
          </cell>
          <cell r="C6079" t="str">
            <v>TRAVEL EXPENSE - OTHER</v>
          </cell>
        </row>
        <row r="6080">
          <cell r="A6080">
            <v>9681702</v>
          </cell>
          <cell r="B6080">
            <v>370021</v>
          </cell>
          <cell r="C6080" t="str">
            <v>TRAVEL EXPENSE - OTHER</v>
          </cell>
        </row>
        <row r="6081">
          <cell r="A6081">
            <v>9681705</v>
          </cell>
          <cell r="B6081">
            <v>370021</v>
          </cell>
          <cell r="C6081" t="str">
            <v>TRAVEL EXPENSE - OTHER</v>
          </cell>
        </row>
        <row r="6082">
          <cell r="A6082">
            <v>9681706</v>
          </cell>
          <cell r="B6082">
            <v>370021</v>
          </cell>
          <cell r="C6082" t="str">
            <v>TRAVEL EXPENSE - OTHER</v>
          </cell>
        </row>
        <row r="6083">
          <cell r="A6083">
            <v>9681707</v>
          </cell>
          <cell r="B6083">
            <v>370021</v>
          </cell>
          <cell r="C6083" t="str">
            <v>TRAVEL EXPENSE - OTHER</v>
          </cell>
        </row>
        <row r="6084">
          <cell r="A6084">
            <v>9681710</v>
          </cell>
          <cell r="B6084">
            <v>370021</v>
          </cell>
          <cell r="C6084" t="str">
            <v>TRAVEL EXPENSE - OTHER</v>
          </cell>
        </row>
        <row r="6085">
          <cell r="A6085">
            <v>9681712</v>
          </cell>
          <cell r="B6085">
            <v>370021</v>
          </cell>
          <cell r="C6085" t="str">
            <v>TRAVEL EXPENSE - OTHER</v>
          </cell>
        </row>
        <row r="6086">
          <cell r="A6086">
            <v>9681727</v>
          </cell>
          <cell r="B6086">
            <v>370021</v>
          </cell>
          <cell r="C6086" t="str">
            <v>TRAVEL EXPENSE - OTHER</v>
          </cell>
        </row>
        <row r="6087">
          <cell r="A6087">
            <v>9681734</v>
          </cell>
          <cell r="B6087">
            <v>370021</v>
          </cell>
          <cell r="C6087" t="str">
            <v>TRAVEL EXPENSE - OTHER</v>
          </cell>
        </row>
        <row r="6088">
          <cell r="A6088">
            <v>9681748</v>
          </cell>
          <cell r="B6088">
            <v>370021</v>
          </cell>
          <cell r="C6088" t="str">
            <v>TRAVEL EXPENSE - OTHER</v>
          </cell>
        </row>
        <row r="6089">
          <cell r="A6089">
            <v>9681749</v>
          </cell>
          <cell r="B6089">
            <v>370021</v>
          </cell>
          <cell r="C6089" t="str">
            <v>TRAVEL EXPENSE - OTHER</v>
          </cell>
        </row>
        <row r="6090">
          <cell r="A6090">
            <v>9681894</v>
          </cell>
          <cell r="B6090">
            <v>370021</v>
          </cell>
          <cell r="C6090" t="str">
            <v>TRAVEL EXPENSE - OTHER</v>
          </cell>
        </row>
        <row r="6091">
          <cell r="A6091">
            <v>9681999</v>
          </cell>
          <cell r="B6091">
            <v>370021</v>
          </cell>
          <cell r="C6091" t="str">
            <v>TRAVEL EXPENSE - OTHER</v>
          </cell>
        </row>
        <row r="6092">
          <cell r="A6092">
            <v>9683999</v>
          </cell>
          <cell r="B6092">
            <v>370021</v>
          </cell>
          <cell r="C6092" t="str">
            <v>TRAVEL EXPENSE - OTHER</v>
          </cell>
        </row>
        <row r="6093">
          <cell r="A6093">
            <v>9684999</v>
          </cell>
          <cell r="B6093">
            <v>370021</v>
          </cell>
          <cell r="C6093" t="str">
            <v>TRAVEL EXPENSE - OTHER</v>
          </cell>
        </row>
        <row r="6094">
          <cell r="A6094">
            <v>9689692</v>
          </cell>
          <cell r="B6094">
            <v>370021</v>
          </cell>
          <cell r="C6094" t="str">
            <v>TRAVEL EXPENSE - OTHER</v>
          </cell>
        </row>
        <row r="6095">
          <cell r="A6095">
            <v>9689747</v>
          </cell>
          <cell r="B6095">
            <v>370021</v>
          </cell>
          <cell r="C6095" t="str">
            <v>TRAVEL EXPENSE - OTHER</v>
          </cell>
        </row>
        <row r="6096">
          <cell r="A6096">
            <v>9689890</v>
          </cell>
          <cell r="B6096">
            <v>370021</v>
          </cell>
          <cell r="C6096" t="str">
            <v>TRAVEL EXPENSE - OTHER</v>
          </cell>
        </row>
        <row r="6097">
          <cell r="A6097">
            <v>9689925</v>
          </cell>
          <cell r="B6097">
            <v>370021</v>
          </cell>
          <cell r="C6097" t="str">
            <v>TRAVEL EXPENSE - OTHER</v>
          </cell>
        </row>
        <row r="6098">
          <cell r="A6098">
            <v>9689990</v>
          </cell>
          <cell r="B6098">
            <v>370021</v>
          </cell>
          <cell r="C6098" t="str">
            <v>TRAVEL EXPENSE - OTHER</v>
          </cell>
        </row>
        <row r="6099">
          <cell r="A6099">
            <v>8001054179</v>
          </cell>
          <cell r="B6099">
            <v>370499</v>
          </cell>
          <cell r="C6099" t="str">
            <v>TRAVEL - MEALS, ENT &amp; GIF</v>
          </cell>
        </row>
        <row r="6100">
          <cell r="A6100">
            <v>8001059542</v>
          </cell>
          <cell r="B6100">
            <v>370499</v>
          </cell>
          <cell r="C6100" t="str">
            <v>TRAVEL - MEALS, ENT &amp; GIF</v>
          </cell>
        </row>
        <row r="6101">
          <cell r="A6101">
            <v>8010512510</v>
          </cell>
          <cell r="B6101">
            <v>370499</v>
          </cell>
          <cell r="C6101" t="str">
            <v>TRAVEL - MEALS, ENT &amp; GIF</v>
          </cell>
        </row>
        <row r="6102">
          <cell r="A6102">
            <v>9080700</v>
          </cell>
          <cell r="B6102">
            <v>370499</v>
          </cell>
          <cell r="C6102" t="str">
            <v>TRAVEL - MEALS, ENT &amp; GIF</v>
          </cell>
        </row>
        <row r="6103">
          <cell r="A6103">
            <v>9080701</v>
          </cell>
          <cell r="B6103">
            <v>370499</v>
          </cell>
          <cell r="C6103" t="str">
            <v>TRAVEL - MEALS, ENT &amp; GIF</v>
          </cell>
        </row>
        <row r="6104">
          <cell r="A6104">
            <v>9080702</v>
          </cell>
          <cell r="B6104">
            <v>370499</v>
          </cell>
          <cell r="C6104" t="str">
            <v>TRAVEL - MEALS, ENT &amp; GIF</v>
          </cell>
        </row>
        <row r="6105">
          <cell r="A6105">
            <v>9080705</v>
          </cell>
          <cell r="B6105">
            <v>370499</v>
          </cell>
          <cell r="C6105" t="str">
            <v>TRAVEL - MEALS, ENT &amp; GIF</v>
          </cell>
        </row>
        <row r="6106">
          <cell r="A6106">
            <v>9080707</v>
          </cell>
          <cell r="B6106">
            <v>370499</v>
          </cell>
          <cell r="C6106" t="str">
            <v>TRAVEL - MEALS, ENT &amp; GIF</v>
          </cell>
        </row>
        <row r="6107">
          <cell r="A6107">
            <v>9080710</v>
          </cell>
          <cell r="B6107">
            <v>370499</v>
          </cell>
          <cell r="C6107" t="str">
            <v>TRAVEL - MEALS, ENT &amp; GIF</v>
          </cell>
        </row>
        <row r="6108">
          <cell r="A6108">
            <v>9080999</v>
          </cell>
          <cell r="B6108">
            <v>370499</v>
          </cell>
          <cell r="C6108" t="str">
            <v>TRAVEL - MEALS, ENT &amp; GIF</v>
          </cell>
        </row>
        <row r="6109">
          <cell r="A6109">
            <v>9090710</v>
          </cell>
          <cell r="B6109">
            <v>370499</v>
          </cell>
          <cell r="C6109" t="str">
            <v>TRAVEL - MEALS, ENT &amp; GIF</v>
          </cell>
        </row>
        <row r="6110">
          <cell r="A6110">
            <v>9090999</v>
          </cell>
          <cell r="B6110">
            <v>370499</v>
          </cell>
          <cell r="C6110" t="str">
            <v>TRAVEL - MEALS, ENT &amp; GIF</v>
          </cell>
        </row>
        <row r="6111">
          <cell r="A6111">
            <v>9100710</v>
          </cell>
          <cell r="B6111">
            <v>370499</v>
          </cell>
          <cell r="C6111" t="str">
            <v>TRAVEL - MEALS, ENT &amp; GIF</v>
          </cell>
        </row>
        <row r="6112">
          <cell r="A6112">
            <v>9100999</v>
          </cell>
          <cell r="B6112">
            <v>370499</v>
          </cell>
          <cell r="C6112" t="str">
            <v>TRAVEL - MEALS, ENT &amp; GIF</v>
          </cell>
        </row>
        <row r="6113">
          <cell r="A6113">
            <v>9110700</v>
          </cell>
          <cell r="B6113">
            <v>370499</v>
          </cell>
          <cell r="C6113" t="str">
            <v>TRAVEL - MEALS, ENT &amp; GIF</v>
          </cell>
        </row>
        <row r="6114">
          <cell r="A6114">
            <v>9110702</v>
          </cell>
          <cell r="B6114">
            <v>370499</v>
          </cell>
          <cell r="C6114" t="str">
            <v>TRAVEL - MEALS, ENT &amp; GIF</v>
          </cell>
        </row>
        <row r="6115">
          <cell r="A6115">
            <v>9110705</v>
          </cell>
          <cell r="B6115">
            <v>370499</v>
          </cell>
          <cell r="C6115" t="str">
            <v>TRAVEL - MEALS, ENT &amp; GIF</v>
          </cell>
        </row>
        <row r="6116">
          <cell r="A6116">
            <v>9110707</v>
          </cell>
          <cell r="B6116">
            <v>370499</v>
          </cell>
          <cell r="C6116" t="str">
            <v>TRAVEL - MEALS, ENT &amp; GIF</v>
          </cell>
        </row>
        <row r="6117">
          <cell r="A6117">
            <v>9110999</v>
          </cell>
          <cell r="B6117">
            <v>370499</v>
          </cell>
          <cell r="C6117" t="str">
            <v>TRAVEL - MEALS, ENT &amp; GIF</v>
          </cell>
        </row>
        <row r="6118">
          <cell r="A6118">
            <v>9680700</v>
          </cell>
          <cell r="B6118">
            <v>370499</v>
          </cell>
          <cell r="C6118" t="str">
            <v>TRAVEL - MEALS, ENT &amp; GIF</v>
          </cell>
        </row>
        <row r="6119">
          <cell r="A6119">
            <v>9680701</v>
          </cell>
          <cell r="B6119">
            <v>370499</v>
          </cell>
          <cell r="C6119" t="str">
            <v>TRAVEL - MEALS, ENT &amp; GIF</v>
          </cell>
        </row>
        <row r="6120">
          <cell r="A6120">
            <v>9680702</v>
          </cell>
          <cell r="B6120">
            <v>370499</v>
          </cell>
          <cell r="C6120" t="str">
            <v>TRAVEL - MEALS, ENT &amp; GIF</v>
          </cell>
        </row>
        <row r="6121">
          <cell r="A6121">
            <v>9680705</v>
          </cell>
          <cell r="B6121">
            <v>370499</v>
          </cell>
          <cell r="C6121" t="str">
            <v>TRAVEL - MEALS, ENT &amp; GIF</v>
          </cell>
        </row>
        <row r="6122">
          <cell r="A6122">
            <v>9680707</v>
          </cell>
          <cell r="B6122">
            <v>370499</v>
          </cell>
          <cell r="C6122" t="str">
            <v>TRAVEL - MEALS, ENT &amp; GIF</v>
          </cell>
        </row>
        <row r="6123">
          <cell r="A6123">
            <v>9680710</v>
          </cell>
          <cell r="B6123">
            <v>370499</v>
          </cell>
          <cell r="C6123" t="str">
            <v>TRAVEL - MEALS, ENT &amp; GIF</v>
          </cell>
        </row>
        <row r="6124">
          <cell r="A6124">
            <v>9680712</v>
          </cell>
          <cell r="B6124">
            <v>370499</v>
          </cell>
          <cell r="C6124" t="str">
            <v>TRAVEL - MEALS, ENT &amp; GIF</v>
          </cell>
        </row>
        <row r="6125">
          <cell r="A6125">
            <v>9680714</v>
          </cell>
          <cell r="B6125">
            <v>370499</v>
          </cell>
          <cell r="C6125" t="str">
            <v>TRAVEL - MEALS, ENT &amp; GIF</v>
          </cell>
        </row>
        <row r="6126">
          <cell r="A6126">
            <v>9680734</v>
          </cell>
          <cell r="B6126">
            <v>370499</v>
          </cell>
          <cell r="C6126" t="str">
            <v>TRAVEL - MEALS, ENT &amp; GIF</v>
          </cell>
        </row>
        <row r="6127">
          <cell r="A6127">
            <v>9680748</v>
          </cell>
          <cell r="B6127">
            <v>370499</v>
          </cell>
          <cell r="C6127" t="str">
            <v>TRAVEL - MEALS, ENT &amp; GIF</v>
          </cell>
        </row>
        <row r="6128">
          <cell r="A6128">
            <v>9680749</v>
          </cell>
          <cell r="B6128">
            <v>370499</v>
          </cell>
          <cell r="C6128" t="str">
            <v>TRAVEL - MEALS, ENT &amp; GIF</v>
          </cell>
        </row>
        <row r="6129">
          <cell r="A6129">
            <v>9680894</v>
          </cell>
          <cell r="B6129">
            <v>370499</v>
          </cell>
          <cell r="C6129" t="str">
            <v>TRAVEL - MEALS, ENT &amp; GIF</v>
          </cell>
        </row>
        <row r="6130">
          <cell r="A6130">
            <v>9680999</v>
          </cell>
          <cell r="B6130">
            <v>370499</v>
          </cell>
          <cell r="C6130" t="str">
            <v>TRAVEL - MEALS, ENT &amp; GIF</v>
          </cell>
        </row>
        <row r="6131">
          <cell r="A6131">
            <v>9681700</v>
          </cell>
          <cell r="B6131">
            <v>370499</v>
          </cell>
          <cell r="C6131" t="str">
            <v>TRAVEL - MEALS, ENT &amp; GIF</v>
          </cell>
        </row>
        <row r="6132">
          <cell r="A6132">
            <v>9681701</v>
          </cell>
          <cell r="B6132">
            <v>370499</v>
          </cell>
          <cell r="C6132" t="str">
            <v>TRAVEL - MEALS, ENT &amp; GIF</v>
          </cell>
        </row>
        <row r="6133">
          <cell r="A6133">
            <v>9681702</v>
          </cell>
          <cell r="B6133">
            <v>370499</v>
          </cell>
          <cell r="C6133" t="str">
            <v>TRAVEL - MEALS, ENT &amp; GIF</v>
          </cell>
        </row>
        <row r="6134">
          <cell r="A6134">
            <v>9681705</v>
          </cell>
          <cell r="B6134">
            <v>370499</v>
          </cell>
          <cell r="C6134" t="str">
            <v>TRAVEL - MEALS, ENT &amp; GIF</v>
          </cell>
        </row>
        <row r="6135">
          <cell r="A6135">
            <v>9681706</v>
          </cell>
          <cell r="B6135">
            <v>370499</v>
          </cell>
          <cell r="C6135" t="str">
            <v>TRAVEL - MEALS, ENT &amp; GIF</v>
          </cell>
        </row>
        <row r="6136">
          <cell r="A6136">
            <v>9681707</v>
          </cell>
          <cell r="B6136">
            <v>370499</v>
          </cell>
          <cell r="C6136" t="str">
            <v>TRAVEL - MEALS, ENT &amp; GIF</v>
          </cell>
        </row>
        <row r="6137">
          <cell r="A6137">
            <v>9681710</v>
          </cell>
          <cell r="B6137">
            <v>370499</v>
          </cell>
          <cell r="C6137" t="str">
            <v>TRAVEL - MEALS, ENT &amp; GIF</v>
          </cell>
        </row>
        <row r="6138">
          <cell r="A6138">
            <v>9681712</v>
          </cell>
          <cell r="B6138">
            <v>370499</v>
          </cell>
          <cell r="C6138" t="str">
            <v>TRAVEL - MEALS, ENT &amp; GIF</v>
          </cell>
        </row>
        <row r="6139">
          <cell r="A6139">
            <v>9681727</v>
          </cell>
          <cell r="B6139">
            <v>370499</v>
          </cell>
          <cell r="C6139" t="str">
            <v>TRAVEL - MEALS, ENT &amp; GIF</v>
          </cell>
        </row>
        <row r="6140">
          <cell r="A6140">
            <v>9681734</v>
          </cell>
          <cell r="B6140">
            <v>370499</v>
          </cell>
          <cell r="C6140" t="str">
            <v>TRAVEL - MEALS, ENT &amp; GIF</v>
          </cell>
        </row>
        <row r="6141">
          <cell r="A6141">
            <v>9681748</v>
          </cell>
          <cell r="B6141">
            <v>370499</v>
          </cell>
          <cell r="C6141" t="str">
            <v>TRAVEL - MEALS, ENT &amp; GIF</v>
          </cell>
        </row>
        <row r="6142">
          <cell r="A6142">
            <v>9681749</v>
          </cell>
          <cell r="B6142">
            <v>370499</v>
          </cell>
          <cell r="C6142" t="str">
            <v>TRAVEL - MEALS, ENT &amp; GIF</v>
          </cell>
        </row>
        <row r="6143">
          <cell r="A6143">
            <v>9681894</v>
          </cell>
          <cell r="B6143">
            <v>370499</v>
          </cell>
          <cell r="C6143" t="str">
            <v>TRAVEL - MEALS, ENT &amp; GIF</v>
          </cell>
        </row>
        <row r="6144">
          <cell r="A6144">
            <v>9681999</v>
          </cell>
          <cell r="B6144">
            <v>370499</v>
          </cell>
          <cell r="C6144" t="str">
            <v>TRAVEL - MEALS, ENT &amp; GIF</v>
          </cell>
        </row>
        <row r="6145">
          <cell r="A6145">
            <v>9682715</v>
          </cell>
          <cell r="B6145">
            <v>370499</v>
          </cell>
          <cell r="C6145" t="str">
            <v>TRAVEL - MEALS, ENT &amp; GIF</v>
          </cell>
        </row>
        <row r="6146">
          <cell r="A6146">
            <v>9682722</v>
          </cell>
          <cell r="B6146">
            <v>370499</v>
          </cell>
          <cell r="C6146" t="str">
            <v>TRAVEL - MEALS, ENT &amp; GIF</v>
          </cell>
        </row>
        <row r="6147">
          <cell r="A6147">
            <v>9682999</v>
          </cell>
          <cell r="B6147">
            <v>370499</v>
          </cell>
          <cell r="C6147" t="str">
            <v>TRAVEL - MEALS, ENT &amp; GIF</v>
          </cell>
        </row>
        <row r="6148">
          <cell r="A6148">
            <v>9683999</v>
          </cell>
          <cell r="B6148">
            <v>370499</v>
          </cell>
          <cell r="C6148" t="str">
            <v>TRAVEL - MEALS, ENT &amp; GIF</v>
          </cell>
        </row>
        <row r="6149">
          <cell r="A6149">
            <v>9684999</v>
          </cell>
          <cell r="B6149">
            <v>370499</v>
          </cell>
          <cell r="C6149" t="str">
            <v>TRAVEL - MEALS, ENT &amp; GIF</v>
          </cell>
        </row>
        <row r="6150">
          <cell r="A6150">
            <v>9685999</v>
          </cell>
          <cell r="B6150">
            <v>370499</v>
          </cell>
          <cell r="C6150" t="str">
            <v>TRAVEL - MEALS, ENT &amp; GIF</v>
          </cell>
        </row>
        <row r="6151">
          <cell r="A6151">
            <v>9689692</v>
          </cell>
          <cell r="B6151">
            <v>370499</v>
          </cell>
          <cell r="C6151" t="str">
            <v>TRAVEL - MEALS, ENT &amp; GIF</v>
          </cell>
        </row>
        <row r="6152">
          <cell r="A6152">
            <v>9689747</v>
          </cell>
          <cell r="B6152">
            <v>370499</v>
          </cell>
          <cell r="C6152" t="str">
            <v>TRAVEL - MEALS, ENT &amp; GIF</v>
          </cell>
        </row>
        <row r="6153">
          <cell r="A6153">
            <v>9689883</v>
          </cell>
          <cell r="B6153">
            <v>370499</v>
          </cell>
          <cell r="C6153" t="str">
            <v>TRAVEL - MEALS, ENT &amp; GIF</v>
          </cell>
        </row>
        <row r="6154">
          <cell r="A6154">
            <v>9689890</v>
          </cell>
          <cell r="B6154">
            <v>370499</v>
          </cell>
          <cell r="C6154" t="str">
            <v>TRAVEL - MEALS, ENT &amp; GIF</v>
          </cell>
        </row>
        <row r="6155">
          <cell r="A6155">
            <v>9689906</v>
          </cell>
          <cell r="B6155">
            <v>370499</v>
          </cell>
          <cell r="C6155" t="str">
            <v>TRAVEL - MEALS, ENT &amp; GIF</v>
          </cell>
        </row>
        <row r="6156">
          <cell r="A6156">
            <v>9689925</v>
          </cell>
          <cell r="B6156">
            <v>370499</v>
          </cell>
          <cell r="C6156" t="str">
            <v>TRAVEL - MEALS, ENT &amp; GIF</v>
          </cell>
        </row>
        <row r="6157">
          <cell r="A6157">
            <v>9689990</v>
          </cell>
          <cell r="B6157">
            <v>370499</v>
          </cell>
          <cell r="C6157" t="str">
            <v>TRAVEL - MEALS, ENT &amp; GIF</v>
          </cell>
        </row>
        <row r="6158">
          <cell r="A6158">
            <v>9689991</v>
          </cell>
          <cell r="B6158">
            <v>370499</v>
          </cell>
          <cell r="C6158" t="str">
            <v>TRAVEL - MEALS, ENT &amp; GIF</v>
          </cell>
        </row>
        <row r="6159">
          <cell r="A6159">
            <v>9689992</v>
          </cell>
          <cell r="B6159">
            <v>370499</v>
          </cell>
          <cell r="C6159" t="str">
            <v>TRAVEL - MEALS, ENT &amp; GIF</v>
          </cell>
        </row>
        <row r="6160">
          <cell r="A6160">
            <v>9689993</v>
          </cell>
          <cell r="B6160">
            <v>370499</v>
          </cell>
          <cell r="C6160" t="str">
            <v>TRAVEL - MEALS, ENT &amp; GIF</v>
          </cell>
        </row>
        <row r="6161">
          <cell r="A6161">
            <v>9689994</v>
          </cell>
          <cell r="B6161">
            <v>370499</v>
          </cell>
          <cell r="C6161" t="str">
            <v>TRAVEL - MEALS, ENT &amp; GIF</v>
          </cell>
        </row>
        <row r="6162">
          <cell r="A6162">
            <v>9969681</v>
          </cell>
          <cell r="B6162">
            <v>370499</v>
          </cell>
          <cell r="C6162" t="str">
            <v>TRAVEL - MEALS, ENT &amp; GIF</v>
          </cell>
        </row>
        <row r="6163">
          <cell r="A6163">
            <v>9969901</v>
          </cell>
          <cell r="B6163">
            <v>370499</v>
          </cell>
          <cell r="C6163" t="str">
            <v>TRAVEL - MEALS, ENT &amp; GIF</v>
          </cell>
        </row>
        <row r="6164">
          <cell r="A6164" t="str">
            <v>ZONE-0105-POST</v>
          </cell>
          <cell r="B6164">
            <v>370499</v>
          </cell>
          <cell r="C6164" t="str">
            <v>TRAVEL - MEALS, ENT &amp; GIF</v>
          </cell>
        </row>
        <row r="6165">
          <cell r="A6165" t="str">
            <v>ZONE-0112-POST</v>
          </cell>
          <cell r="B6165">
            <v>370499</v>
          </cell>
          <cell r="C6165" t="str">
            <v>TRAVEL - MEALS, ENT &amp; GIF</v>
          </cell>
        </row>
        <row r="6166">
          <cell r="A6166">
            <v>8001054179</v>
          </cell>
          <cell r="B6166">
            <v>370500</v>
          </cell>
          <cell r="C6166" t="str">
            <v>TRAVEL-EXCL MEALS ENT. GIFT</v>
          </cell>
        </row>
        <row r="6167">
          <cell r="A6167">
            <v>8001059542</v>
          </cell>
          <cell r="B6167">
            <v>370500</v>
          </cell>
          <cell r="C6167" t="str">
            <v>TRAVEL-EXCL MEALS ENT. GIFT</v>
          </cell>
        </row>
        <row r="6168">
          <cell r="A6168">
            <v>8010512510</v>
          </cell>
          <cell r="B6168">
            <v>370500</v>
          </cell>
          <cell r="C6168" t="str">
            <v>TRAVEL-EXCL MEALS ENT. GIFT</v>
          </cell>
        </row>
        <row r="6169">
          <cell r="A6169">
            <v>9080700</v>
          </cell>
          <cell r="B6169">
            <v>370500</v>
          </cell>
          <cell r="C6169" t="str">
            <v>TRAVEL-EXCL MEALS ENT. GIFT</v>
          </cell>
        </row>
        <row r="6170">
          <cell r="A6170">
            <v>9080701</v>
          </cell>
          <cell r="B6170">
            <v>370500</v>
          </cell>
          <cell r="C6170" t="str">
            <v>TRAVEL-EXCL MEALS ENT. GIFT</v>
          </cell>
        </row>
        <row r="6171">
          <cell r="A6171">
            <v>9080702</v>
          </cell>
          <cell r="B6171">
            <v>370500</v>
          </cell>
          <cell r="C6171" t="str">
            <v>TRAVEL-EXCL MEALS ENT. GIFT</v>
          </cell>
        </row>
        <row r="6172">
          <cell r="A6172">
            <v>9080705</v>
          </cell>
          <cell r="B6172">
            <v>370500</v>
          </cell>
          <cell r="C6172" t="str">
            <v>TRAVEL-EXCL MEALS ENT. GIFT</v>
          </cell>
        </row>
        <row r="6173">
          <cell r="A6173">
            <v>9080707</v>
          </cell>
          <cell r="B6173">
            <v>370500</v>
          </cell>
          <cell r="C6173" t="str">
            <v>TRAVEL-EXCL MEALS ENT. GIFT</v>
          </cell>
        </row>
        <row r="6174">
          <cell r="A6174">
            <v>9080710</v>
          </cell>
          <cell r="B6174">
            <v>370500</v>
          </cell>
          <cell r="C6174" t="str">
            <v>TRAVEL-EXCL MEALS ENT. GIFT</v>
          </cell>
        </row>
        <row r="6175">
          <cell r="A6175">
            <v>9080999</v>
          </cell>
          <cell r="B6175">
            <v>370500</v>
          </cell>
          <cell r="C6175" t="str">
            <v>TRAVEL-EXCL MEALS ENT. GIFT</v>
          </cell>
        </row>
        <row r="6176">
          <cell r="A6176">
            <v>9090710</v>
          </cell>
          <cell r="B6176">
            <v>370500</v>
          </cell>
          <cell r="C6176" t="str">
            <v>TRAVEL-EXCL MEALS ENT. GIFT</v>
          </cell>
        </row>
        <row r="6177">
          <cell r="A6177">
            <v>9090999</v>
          </cell>
          <cell r="B6177">
            <v>370500</v>
          </cell>
          <cell r="C6177" t="str">
            <v>TRAVEL-EXCL MEALS ENT. GIFT</v>
          </cell>
        </row>
        <row r="6178">
          <cell r="A6178">
            <v>9100710</v>
          </cell>
          <cell r="B6178">
            <v>370500</v>
          </cell>
          <cell r="C6178" t="str">
            <v>TRAVEL-EXCL MEALS ENT. GIFT</v>
          </cell>
        </row>
        <row r="6179">
          <cell r="A6179">
            <v>9100999</v>
          </cell>
          <cell r="B6179">
            <v>370500</v>
          </cell>
          <cell r="C6179" t="str">
            <v>TRAVEL-EXCL MEALS ENT. GIFT</v>
          </cell>
        </row>
        <row r="6180">
          <cell r="A6180">
            <v>9110700</v>
          </cell>
          <cell r="B6180">
            <v>370500</v>
          </cell>
          <cell r="C6180" t="str">
            <v>TRAVEL-EXCL MEALS ENT. GIFT</v>
          </cell>
        </row>
        <row r="6181">
          <cell r="A6181">
            <v>9110702</v>
          </cell>
          <cell r="B6181">
            <v>370500</v>
          </cell>
          <cell r="C6181" t="str">
            <v>TRAVEL-EXCL MEALS ENT. GIFT</v>
          </cell>
        </row>
        <row r="6182">
          <cell r="A6182">
            <v>9110705</v>
          </cell>
          <cell r="B6182">
            <v>370500</v>
          </cell>
          <cell r="C6182" t="str">
            <v>TRAVEL-EXCL MEALS ENT. GIFT</v>
          </cell>
        </row>
        <row r="6183">
          <cell r="A6183">
            <v>9110707</v>
          </cell>
          <cell r="B6183">
            <v>370500</v>
          </cell>
          <cell r="C6183" t="str">
            <v>TRAVEL-EXCL MEALS ENT. GIFT</v>
          </cell>
        </row>
        <row r="6184">
          <cell r="A6184">
            <v>9110999</v>
          </cell>
          <cell r="B6184">
            <v>370500</v>
          </cell>
          <cell r="C6184" t="str">
            <v>TRAVEL-EXCL MEALS ENT. GIFT</v>
          </cell>
        </row>
        <row r="6185">
          <cell r="A6185">
            <v>9680700</v>
          </cell>
          <cell r="B6185">
            <v>370500</v>
          </cell>
          <cell r="C6185" t="str">
            <v>TRAVEL-EXCL MEALS ENT. GIFT</v>
          </cell>
        </row>
        <row r="6186">
          <cell r="A6186">
            <v>9680701</v>
          </cell>
          <cell r="B6186">
            <v>370500</v>
          </cell>
          <cell r="C6186" t="str">
            <v>TRAVEL-EXCL MEALS ENT. GIFT</v>
          </cell>
        </row>
        <row r="6187">
          <cell r="A6187">
            <v>9680702</v>
          </cell>
          <cell r="B6187">
            <v>370500</v>
          </cell>
          <cell r="C6187" t="str">
            <v>TRAVEL-EXCL MEALS ENT. GIFT</v>
          </cell>
        </row>
        <row r="6188">
          <cell r="A6188">
            <v>9680705</v>
          </cell>
          <cell r="B6188">
            <v>370500</v>
          </cell>
          <cell r="C6188" t="str">
            <v>TRAVEL-EXCL MEALS ENT. GIFT</v>
          </cell>
        </row>
        <row r="6189">
          <cell r="A6189">
            <v>9680707</v>
          </cell>
          <cell r="B6189">
            <v>370500</v>
          </cell>
          <cell r="C6189" t="str">
            <v>TRAVEL-EXCL MEALS ENT. GIFT</v>
          </cell>
        </row>
        <row r="6190">
          <cell r="A6190">
            <v>9680710</v>
          </cell>
          <cell r="B6190">
            <v>370500</v>
          </cell>
          <cell r="C6190" t="str">
            <v>TRAVEL-EXCL MEALS ENT. GIFT</v>
          </cell>
        </row>
        <row r="6191">
          <cell r="A6191">
            <v>9680712</v>
          </cell>
          <cell r="B6191">
            <v>370500</v>
          </cell>
          <cell r="C6191" t="str">
            <v>TRAVEL-EXCL MEALS ENT. GIFT</v>
          </cell>
        </row>
        <row r="6192">
          <cell r="A6192">
            <v>9680714</v>
          </cell>
          <cell r="B6192">
            <v>370500</v>
          </cell>
          <cell r="C6192" t="str">
            <v>TRAVEL-EXCL MEALS ENT. GIFT</v>
          </cell>
        </row>
        <row r="6193">
          <cell r="A6193">
            <v>9680734</v>
          </cell>
          <cell r="B6193">
            <v>370500</v>
          </cell>
          <cell r="C6193" t="str">
            <v>TRAVEL-EXCL MEALS ENT. GIFT</v>
          </cell>
        </row>
        <row r="6194">
          <cell r="A6194">
            <v>9680748</v>
          </cell>
          <cell r="B6194">
            <v>370500</v>
          </cell>
          <cell r="C6194" t="str">
            <v>TRAVEL-EXCL MEALS ENT. GIFT</v>
          </cell>
        </row>
        <row r="6195">
          <cell r="A6195">
            <v>9680749</v>
          </cell>
          <cell r="B6195">
            <v>370500</v>
          </cell>
          <cell r="C6195" t="str">
            <v>TRAVEL-EXCL MEALS ENT. GIFT</v>
          </cell>
        </row>
        <row r="6196">
          <cell r="A6196">
            <v>9680894</v>
          </cell>
          <cell r="B6196">
            <v>370500</v>
          </cell>
          <cell r="C6196" t="str">
            <v>TRAVEL-EXCL MEALS ENT. GIFT</v>
          </cell>
        </row>
        <row r="6197">
          <cell r="A6197">
            <v>9680999</v>
          </cell>
          <cell r="B6197">
            <v>370500</v>
          </cell>
          <cell r="C6197" t="str">
            <v>TRAVEL-EXCL MEALS ENT. GIFT</v>
          </cell>
        </row>
        <row r="6198">
          <cell r="A6198">
            <v>9681700</v>
          </cell>
          <cell r="B6198">
            <v>370500</v>
          </cell>
          <cell r="C6198" t="str">
            <v>TRAVEL-EXCL MEALS ENT. GIFT</v>
          </cell>
        </row>
        <row r="6199">
          <cell r="A6199">
            <v>9681701</v>
          </cell>
          <cell r="B6199">
            <v>370500</v>
          </cell>
          <cell r="C6199" t="str">
            <v>TRAVEL-EXCL MEALS ENT. GIFT</v>
          </cell>
        </row>
        <row r="6200">
          <cell r="A6200">
            <v>9681702</v>
          </cell>
          <cell r="B6200">
            <v>370500</v>
          </cell>
          <cell r="C6200" t="str">
            <v>TRAVEL-EXCL MEALS ENT. GIFT</v>
          </cell>
        </row>
        <row r="6201">
          <cell r="A6201">
            <v>9681705</v>
          </cell>
          <cell r="B6201">
            <v>370500</v>
          </cell>
          <cell r="C6201" t="str">
            <v>TRAVEL-EXCL MEALS ENT. GIFT</v>
          </cell>
        </row>
        <row r="6202">
          <cell r="A6202">
            <v>9681706</v>
          </cell>
          <cell r="B6202">
            <v>370500</v>
          </cell>
          <cell r="C6202" t="str">
            <v>TRAVEL-EXCL MEALS ENT. GIFT</v>
          </cell>
        </row>
        <row r="6203">
          <cell r="A6203">
            <v>9681707</v>
          </cell>
          <cell r="B6203">
            <v>370500</v>
          </cell>
          <cell r="C6203" t="str">
            <v>TRAVEL-EXCL MEALS ENT. GIFT</v>
          </cell>
        </row>
        <row r="6204">
          <cell r="A6204">
            <v>9681710</v>
          </cell>
          <cell r="B6204">
            <v>370500</v>
          </cell>
          <cell r="C6204" t="str">
            <v>TRAVEL-EXCL MEALS ENT. GIFT</v>
          </cell>
        </row>
        <row r="6205">
          <cell r="A6205">
            <v>9681712</v>
          </cell>
          <cell r="B6205">
            <v>370500</v>
          </cell>
          <cell r="C6205" t="str">
            <v>TRAVEL-EXCL MEALS ENT. GIFT</v>
          </cell>
        </row>
        <row r="6206">
          <cell r="A6206">
            <v>9681727</v>
          </cell>
          <cell r="B6206">
            <v>370500</v>
          </cell>
          <cell r="C6206" t="str">
            <v>TRAVEL-EXCL MEALS ENT. GIFT</v>
          </cell>
        </row>
        <row r="6207">
          <cell r="A6207">
            <v>9681734</v>
          </cell>
          <cell r="B6207">
            <v>370500</v>
          </cell>
          <cell r="C6207" t="str">
            <v>TRAVEL-EXCL MEALS ENT. GIFT</v>
          </cell>
        </row>
        <row r="6208">
          <cell r="A6208">
            <v>9681748</v>
          </cell>
          <cell r="B6208">
            <v>370500</v>
          </cell>
          <cell r="C6208" t="str">
            <v>TRAVEL-EXCL MEALS ENT. GIFT</v>
          </cell>
        </row>
        <row r="6209">
          <cell r="A6209">
            <v>9681749</v>
          </cell>
          <cell r="B6209">
            <v>370500</v>
          </cell>
          <cell r="C6209" t="str">
            <v>TRAVEL-EXCL MEALS ENT. GIFT</v>
          </cell>
        </row>
        <row r="6210">
          <cell r="A6210">
            <v>9681894</v>
          </cell>
          <cell r="B6210">
            <v>370500</v>
          </cell>
          <cell r="C6210" t="str">
            <v>TRAVEL-EXCL MEALS ENT. GIFT</v>
          </cell>
        </row>
        <row r="6211">
          <cell r="A6211">
            <v>9681999</v>
          </cell>
          <cell r="B6211">
            <v>370500</v>
          </cell>
          <cell r="C6211" t="str">
            <v>TRAVEL-EXCL MEALS ENT. GIFT</v>
          </cell>
        </row>
        <row r="6212">
          <cell r="A6212">
            <v>9682715</v>
          </cell>
          <cell r="B6212">
            <v>370500</v>
          </cell>
          <cell r="C6212" t="str">
            <v>TRAVEL-EXCL MEALS ENT. GIFT</v>
          </cell>
        </row>
        <row r="6213">
          <cell r="A6213">
            <v>9682722</v>
          </cell>
          <cell r="B6213">
            <v>370500</v>
          </cell>
          <cell r="C6213" t="str">
            <v>TRAVEL-EXCL MEALS ENT. GIFT</v>
          </cell>
        </row>
        <row r="6214">
          <cell r="A6214">
            <v>9682999</v>
          </cell>
          <cell r="B6214">
            <v>370500</v>
          </cell>
          <cell r="C6214" t="str">
            <v>TRAVEL-EXCL MEALS ENT. GIFT</v>
          </cell>
        </row>
        <row r="6215">
          <cell r="A6215">
            <v>9683999</v>
          </cell>
          <cell r="B6215">
            <v>370500</v>
          </cell>
          <cell r="C6215" t="str">
            <v>TRAVEL-EXCL MEALS ENT. GIFT</v>
          </cell>
        </row>
        <row r="6216">
          <cell r="A6216">
            <v>9684999</v>
          </cell>
          <cell r="B6216">
            <v>370500</v>
          </cell>
          <cell r="C6216" t="str">
            <v>TRAVEL-EXCL MEALS ENT. GIFT</v>
          </cell>
        </row>
        <row r="6217">
          <cell r="A6217">
            <v>9685999</v>
          </cell>
          <cell r="B6217">
            <v>370500</v>
          </cell>
          <cell r="C6217" t="str">
            <v>TRAVEL-EXCL MEALS ENT. GIFT</v>
          </cell>
        </row>
        <row r="6218">
          <cell r="A6218">
            <v>9689692</v>
          </cell>
          <cell r="B6218">
            <v>370500</v>
          </cell>
          <cell r="C6218" t="str">
            <v>TRAVEL-EXCL MEALS ENT. GIFT</v>
          </cell>
        </row>
        <row r="6219">
          <cell r="A6219">
            <v>9689747</v>
          </cell>
          <cell r="B6219">
            <v>370500</v>
          </cell>
          <cell r="C6219" t="str">
            <v>TRAVEL-EXCL MEALS ENT. GIFT</v>
          </cell>
        </row>
        <row r="6220">
          <cell r="A6220">
            <v>9689883</v>
          </cell>
          <cell r="B6220">
            <v>370500</v>
          </cell>
          <cell r="C6220" t="str">
            <v>TRAVEL-EXCL MEALS ENT. GIFT</v>
          </cell>
        </row>
        <row r="6221">
          <cell r="A6221">
            <v>9689890</v>
          </cell>
          <cell r="B6221">
            <v>370500</v>
          </cell>
          <cell r="C6221" t="str">
            <v>TRAVEL-EXCL MEALS ENT. GIFT</v>
          </cell>
        </row>
        <row r="6222">
          <cell r="A6222">
            <v>9689906</v>
          </cell>
          <cell r="B6222">
            <v>370500</v>
          </cell>
          <cell r="C6222" t="str">
            <v>TRAVEL-EXCL MEALS ENT. GIFT</v>
          </cell>
        </row>
        <row r="6223">
          <cell r="A6223">
            <v>9689925</v>
          </cell>
          <cell r="B6223">
            <v>370500</v>
          </cell>
          <cell r="C6223" t="str">
            <v>TRAVEL-EXCL MEALS ENT. GIFT</v>
          </cell>
        </row>
        <row r="6224">
          <cell r="A6224">
            <v>9689990</v>
          </cell>
          <cell r="B6224">
            <v>370500</v>
          </cell>
          <cell r="C6224" t="str">
            <v>TRAVEL-EXCL MEALS ENT. GIFT</v>
          </cell>
        </row>
        <row r="6225">
          <cell r="A6225">
            <v>9689991</v>
          </cell>
          <cell r="B6225">
            <v>370500</v>
          </cell>
          <cell r="C6225" t="str">
            <v>TRAVEL-EXCL MEALS ENT. GIFT</v>
          </cell>
        </row>
        <row r="6226">
          <cell r="A6226">
            <v>9689992</v>
          </cell>
          <cell r="B6226">
            <v>370500</v>
          </cell>
          <cell r="C6226" t="str">
            <v>TRAVEL-EXCL MEALS ENT. GIFT</v>
          </cell>
        </row>
        <row r="6227">
          <cell r="A6227">
            <v>9689993</v>
          </cell>
          <cell r="B6227">
            <v>370500</v>
          </cell>
          <cell r="C6227" t="str">
            <v>TRAVEL-EXCL MEALS ENT. GIFT</v>
          </cell>
        </row>
        <row r="6228">
          <cell r="A6228">
            <v>9689994</v>
          </cell>
          <cell r="B6228">
            <v>370500</v>
          </cell>
          <cell r="C6228" t="str">
            <v>TRAVEL-EXCL MEALS ENT. GIFT</v>
          </cell>
        </row>
        <row r="6229">
          <cell r="A6229">
            <v>9969681</v>
          </cell>
          <cell r="B6229">
            <v>370500</v>
          </cell>
          <cell r="C6229" t="str">
            <v>TRAVEL-EXCL MEALS ENT. GIFT</v>
          </cell>
        </row>
        <row r="6230">
          <cell r="A6230">
            <v>9969901</v>
          </cell>
          <cell r="B6230">
            <v>370500</v>
          </cell>
          <cell r="C6230" t="str">
            <v>TRAVEL-EXCL MEALS ENT. GIFT</v>
          </cell>
        </row>
        <row r="6231">
          <cell r="A6231" t="str">
            <v>ZONE-0105-POST</v>
          </cell>
          <cell r="B6231">
            <v>370500</v>
          </cell>
          <cell r="C6231" t="str">
            <v>TRAVEL-EXCL MEALS ENT. GIFT</v>
          </cell>
        </row>
        <row r="6232">
          <cell r="A6232" t="str">
            <v>ZONE-0112-POST</v>
          </cell>
          <cell r="B6232">
            <v>370500</v>
          </cell>
          <cell r="C6232" t="str">
            <v>TRAVEL-EXCL MEALS ENT. GIFT</v>
          </cell>
        </row>
        <row r="6233">
          <cell r="A6233">
            <v>9080700</v>
          </cell>
          <cell r="B6233">
            <v>370500</v>
          </cell>
          <cell r="C6233" t="str">
            <v>TRAVEL BUSINESS MILES - PERSONAL CAR</v>
          </cell>
        </row>
        <row r="6234">
          <cell r="A6234">
            <v>9080701</v>
          </cell>
          <cell r="B6234">
            <v>370500</v>
          </cell>
          <cell r="C6234" t="str">
            <v>TRAVEL BUSINESS MILES - PERSONAL CAR</v>
          </cell>
        </row>
        <row r="6235">
          <cell r="A6235">
            <v>9080702</v>
          </cell>
          <cell r="B6235">
            <v>370500</v>
          </cell>
          <cell r="C6235" t="str">
            <v>TRAVEL BUSINESS MILES - PERSONAL CAR</v>
          </cell>
        </row>
        <row r="6236">
          <cell r="A6236">
            <v>9080705</v>
          </cell>
          <cell r="B6236">
            <v>370500</v>
          </cell>
          <cell r="C6236" t="str">
            <v>TRAVEL BUSINESS MILES - PERSONAL CAR</v>
          </cell>
        </row>
        <row r="6237">
          <cell r="A6237">
            <v>9080707</v>
          </cell>
          <cell r="B6237">
            <v>370500</v>
          </cell>
          <cell r="C6237" t="str">
            <v>TRAVEL BUSINESS MILES - PERSONAL CAR</v>
          </cell>
        </row>
        <row r="6238">
          <cell r="A6238">
            <v>9080710</v>
          </cell>
          <cell r="B6238">
            <v>370500</v>
          </cell>
          <cell r="C6238" t="str">
            <v>TRAVEL BUSINESS MILES - PERSONAL CAR</v>
          </cell>
        </row>
        <row r="6239">
          <cell r="A6239">
            <v>9080712</v>
          </cell>
          <cell r="B6239">
            <v>370500</v>
          </cell>
          <cell r="C6239" t="str">
            <v>TRAVEL BUSINESS MILES - PERSONAL CAR</v>
          </cell>
        </row>
        <row r="6240">
          <cell r="A6240">
            <v>9090999</v>
          </cell>
          <cell r="B6240">
            <v>370500</v>
          </cell>
          <cell r="C6240" t="str">
            <v>TRAVEL BUSINESS MILES - PERSONAL CAR</v>
          </cell>
        </row>
        <row r="6241">
          <cell r="A6241">
            <v>9100999</v>
          </cell>
          <cell r="B6241">
            <v>370500</v>
          </cell>
          <cell r="C6241" t="str">
            <v>TRAVEL BUSINESS MILES - PERSONAL CAR</v>
          </cell>
        </row>
        <row r="6242">
          <cell r="A6242">
            <v>9110700</v>
          </cell>
          <cell r="B6242">
            <v>370500</v>
          </cell>
          <cell r="C6242" t="str">
            <v>TRAVEL BUSINESS MILES - PERSONAL CAR</v>
          </cell>
        </row>
        <row r="6243">
          <cell r="A6243">
            <v>9110702</v>
          </cell>
          <cell r="B6243">
            <v>370500</v>
          </cell>
          <cell r="C6243" t="str">
            <v>TRAVEL BUSINESS MILES - PERSONAL CAR</v>
          </cell>
        </row>
        <row r="6244">
          <cell r="A6244">
            <v>9110705</v>
          </cell>
          <cell r="B6244">
            <v>370500</v>
          </cell>
          <cell r="C6244" t="str">
            <v>TRAVEL BUSINESS MILES - PERSONAL CAR</v>
          </cell>
        </row>
        <row r="6245">
          <cell r="A6245">
            <v>9110707</v>
          </cell>
          <cell r="B6245">
            <v>370500</v>
          </cell>
          <cell r="C6245" t="str">
            <v>TRAVEL BUSINESS MILES - PERSONAL CAR</v>
          </cell>
        </row>
        <row r="6246">
          <cell r="A6246">
            <v>9110712</v>
          </cell>
          <cell r="B6246">
            <v>370500</v>
          </cell>
          <cell r="C6246" t="str">
            <v>TRAVEL BUSINESS MILES - PERSONAL CAR</v>
          </cell>
        </row>
        <row r="6247">
          <cell r="A6247">
            <v>9680700</v>
          </cell>
          <cell r="B6247">
            <v>370500</v>
          </cell>
          <cell r="C6247" t="str">
            <v>TRAVEL BUSINESS MILES - PERSONAL CAR</v>
          </cell>
        </row>
        <row r="6248">
          <cell r="A6248">
            <v>9680701</v>
          </cell>
          <cell r="B6248">
            <v>370500</v>
          </cell>
          <cell r="C6248" t="str">
            <v>TRAVEL BUSINESS MILES - PERSONAL CAR</v>
          </cell>
        </row>
        <row r="6249">
          <cell r="A6249">
            <v>9680702</v>
          </cell>
          <cell r="B6249">
            <v>370500</v>
          </cell>
          <cell r="C6249" t="str">
            <v>TRAVEL BUSINESS MILES - PERSONAL CAR</v>
          </cell>
        </row>
        <row r="6250">
          <cell r="A6250">
            <v>9680705</v>
          </cell>
          <cell r="B6250">
            <v>370500</v>
          </cell>
          <cell r="C6250" t="str">
            <v>TRAVEL BUSINESS MILES - PERSONAL CAR</v>
          </cell>
        </row>
        <row r="6251">
          <cell r="A6251">
            <v>9680707</v>
          </cell>
          <cell r="B6251">
            <v>370500</v>
          </cell>
          <cell r="C6251" t="str">
            <v>TRAVEL BUSINESS MILES - PERSONAL CAR</v>
          </cell>
        </row>
        <row r="6252">
          <cell r="A6252">
            <v>9680710</v>
          </cell>
          <cell r="B6252">
            <v>370500</v>
          </cell>
          <cell r="C6252" t="str">
            <v>TRAVEL BUSINESS MILES - PERSONAL CAR</v>
          </cell>
        </row>
        <row r="6253">
          <cell r="A6253">
            <v>9680712</v>
          </cell>
          <cell r="B6253">
            <v>370500</v>
          </cell>
          <cell r="C6253" t="str">
            <v>TRAVEL BUSINESS MILES - PERSONAL CAR</v>
          </cell>
        </row>
        <row r="6254">
          <cell r="A6254">
            <v>9680714</v>
          </cell>
          <cell r="B6254">
            <v>370500</v>
          </cell>
          <cell r="C6254" t="str">
            <v>TRAVEL BUSINESS MILES - PERSONAL CAR</v>
          </cell>
        </row>
        <row r="6255">
          <cell r="A6255">
            <v>9680734</v>
          </cell>
          <cell r="B6255">
            <v>370500</v>
          </cell>
          <cell r="C6255" t="str">
            <v>TRAVEL BUSINESS MILES - PERSONAL CAR</v>
          </cell>
        </row>
        <row r="6256">
          <cell r="A6256">
            <v>9680748</v>
          </cell>
          <cell r="B6256">
            <v>370500</v>
          </cell>
          <cell r="C6256" t="str">
            <v>TRAVEL BUSINESS MILES - PERSONAL CAR</v>
          </cell>
        </row>
        <row r="6257">
          <cell r="A6257">
            <v>9680749</v>
          </cell>
          <cell r="B6257">
            <v>370500</v>
          </cell>
          <cell r="C6257" t="str">
            <v>TRAVEL BUSINESS MILES - PERSONAL CAR</v>
          </cell>
        </row>
        <row r="6258">
          <cell r="A6258">
            <v>9680894</v>
          </cell>
          <cell r="B6258">
            <v>370500</v>
          </cell>
          <cell r="C6258" t="str">
            <v>TRAVEL BUSINESS MILES - PERSONAL CAR</v>
          </cell>
        </row>
        <row r="6259">
          <cell r="A6259">
            <v>9680999</v>
          </cell>
          <cell r="B6259">
            <v>370500</v>
          </cell>
          <cell r="C6259" t="str">
            <v>TRAVEL BUSINESS MILES - PERSONAL CAR</v>
          </cell>
        </row>
        <row r="6260">
          <cell r="A6260">
            <v>9681700</v>
          </cell>
          <cell r="B6260">
            <v>370500</v>
          </cell>
          <cell r="C6260" t="str">
            <v>TRAVEL BUSINESS MILES - PERSONAL CAR</v>
          </cell>
        </row>
        <row r="6261">
          <cell r="A6261">
            <v>9681701</v>
          </cell>
          <cell r="B6261">
            <v>370500</v>
          </cell>
          <cell r="C6261" t="str">
            <v>TRAVEL BUSINESS MILES - PERSONAL CAR</v>
          </cell>
        </row>
        <row r="6262">
          <cell r="A6262">
            <v>9681702</v>
          </cell>
          <cell r="B6262">
            <v>370500</v>
          </cell>
          <cell r="C6262" t="str">
            <v>TRAVEL BUSINESS MILES - PERSONAL CAR</v>
          </cell>
        </row>
        <row r="6263">
          <cell r="A6263">
            <v>9681705</v>
          </cell>
          <cell r="B6263">
            <v>370500</v>
          </cell>
          <cell r="C6263" t="str">
            <v>TRAVEL BUSINESS MILES - PERSONAL CAR</v>
          </cell>
        </row>
        <row r="6264">
          <cell r="A6264">
            <v>9681706</v>
          </cell>
          <cell r="B6264">
            <v>370500</v>
          </cell>
          <cell r="C6264" t="str">
            <v>TRAVEL BUSINESS MILES - PERSONAL CAR</v>
          </cell>
        </row>
        <row r="6265">
          <cell r="A6265">
            <v>9681707</v>
          </cell>
          <cell r="B6265">
            <v>370500</v>
          </cell>
          <cell r="C6265" t="str">
            <v>TRAVEL BUSINESS MILES - PERSONAL CAR</v>
          </cell>
        </row>
        <row r="6266">
          <cell r="A6266">
            <v>9681710</v>
          </cell>
          <cell r="B6266">
            <v>370500</v>
          </cell>
          <cell r="C6266" t="str">
            <v>TRAVEL BUSINESS MILES - PERSONAL CAR</v>
          </cell>
        </row>
        <row r="6267">
          <cell r="A6267">
            <v>9681712</v>
          </cell>
          <cell r="B6267">
            <v>370500</v>
          </cell>
          <cell r="C6267" t="str">
            <v>TRAVEL BUSINESS MILES - PERSONAL CAR</v>
          </cell>
        </row>
        <row r="6268">
          <cell r="A6268">
            <v>9681727</v>
          </cell>
          <cell r="B6268">
            <v>370500</v>
          </cell>
          <cell r="C6268" t="str">
            <v>TRAVEL BUSINESS MILES - PERSONAL CAR</v>
          </cell>
        </row>
        <row r="6269">
          <cell r="A6269">
            <v>9681734</v>
          </cell>
          <cell r="B6269">
            <v>370500</v>
          </cell>
          <cell r="C6269" t="str">
            <v>TRAVEL BUSINESS MILES - PERSONAL CAR</v>
          </cell>
        </row>
        <row r="6270">
          <cell r="A6270">
            <v>9681748</v>
          </cell>
          <cell r="B6270">
            <v>370500</v>
          </cell>
          <cell r="C6270" t="str">
            <v>TRAVEL BUSINESS MILES - PERSONAL CAR</v>
          </cell>
        </row>
        <row r="6271">
          <cell r="A6271">
            <v>9681749</v>
          </cell>
          <cell r="B6271">
            <v>370500</v>
          </cell>
          <cell r="C6271" t="str">
            <v>TRAVEL BUSINESS MILES - PERSONAL CAR</v>
          </cell>
        </row>
        <row r="6272">
          <cell r="A6272">
            <v>9681894</v>
          </cell>
          <cell r="B6272">
            <v>370500</v>
          </cell>
          <cell r="C6272" t="str">
            <v>TRAVEL BUSINESS MILES - PERSONAL CAR</v>
          </cell>
        </row>
        <row r="6273">
          <cell r="A6273">
            <v>9681999</v>
          </cell>
          <cell r="B6273">
            <v>370500</v>
          </cell>
          <cell r="C6273" t="str">
            <v>TRAVEL BUSINESS MILES - PERSONAL CAR</v>
          </cell>
        </row>
        <row r="6274">
          <cell r="A6274">
            <v>9682715</v>
          </cell>
          <cell r="B6274">
            <v>370500</v>
          </cell>
          <cell r="C6274" t="str">
            <v>TRAVEL BUSINESS MILES - PERSONAL CAR</v>
          </cell>
        </row>
        <row r="6275">
          <cell r="A6275">
            <v>9682722</v>
          </cell>
          <cell r="B6275">
            <v>370500</v>
          </cell>
          <cell r="C6275" t="str">
            <v>TRAVEL BUSINESS MILES - PERSONAL CAR</v>
          </cell>
        </row>
        <row r="6276">
          <cell r="A6276">
            <v>9682999</v>
          </cell>
          <cell r="B6276">
            <v>370500</v>
          </cell>
          <cell r="C6276" t="str">
            <v>TRAVEL BUSINESS MILES - PERSONAL CAR</v>
          </cell>
        </row>
        <row r="6277">
          <cell r="A6277">
            <v>9683999</v>
          </cell>
          <cell r="B6277">
            <v>370500</v>
          </cell>
          <cell r="C6277" t="str">
            <v>TRAVEL BUSINESS MILES - PERSONAL CAR</v>
          </cell>
        </row>
        <row r="6278">
          <cell r="A6278">
            <v>9684999</v>
          </cell>
          <cell r="B6278">
            <v>370500</v>
          </cell>
          <cell r="C6278" t="str">
            <v>TRAVEL BUSINESS MILES - PERSONAL CAR</v>
          </cell>
        </row>
        <row r="6279">
          <cell r="A6279">
            <v>9685999</v>
          </cell>
          <cell r="B6279">
            <v>370500</v>
          </cell>
          <cell r="C6279" t="str">
            <v>TRAVEL BUSINESS MILES - PERSONAL CAR</v>
          </cell>
        </row>
        <row r="6280">
          <cell r="A6280">
            <v>9689692</v>
          </cell>
          <cell r="B6280">
            <v>370500</v>
          </cell>
          <cell r="C6280" t="str">
            <v>TRAVEL BUSINESS MILES - PERSONAL CAR</v>
          </cell>
        </row>
        <row r="6281">
          <cell r="A6281">
            <v>9689747</v>
          </cell>
          <cell r="B6281">
            <v>370500</v>
          </cell>
          <cell r="C6281" t="str">
            <v>TRAVEL BUSINESS MILES - PERSONAL CAR</v>
          </cell>
        </row>
        <row r="6282">
          <cell r="A6282">
            <v>9689883</v>
          </cell>
          <cell r="B6282">
            <v>370500</v>
          </cell>
          <cell r="C6282" t="str">
            <v>TRAVEL BUSINESS MILES - PERSONAL CAR</v>
          </cell>
        </row>
        <row r="6283">
          <cell r="A6283">
            <v>9689890</v>
          </cell>
          <cell r="B6283">
            <v>370500</v>
          </cell>
          <cell r="C6283" t="str">
            <v>TRAVEL BUSINESS MILES - PERSONAL CAR</v>
          </cell>
        </row>
        <row r="6284">
          <cell r="A6284">
            <v>9689906</v>
          </cell>
          <cell r="B6284">
            <v>370500</v>
          </cell>
          <cell r="C6284" t="str">
            <v>TRAVEL BUSINESS MILES - PERSONAL CAR</v>
          </cell>
        </row>
        <row r="6285">
          <cell r="A6285">
            <v>9689925</v>
          </cell>
          <cell r="B6285">
            <v>370500</v>
          </cell>
          <cell r="C6285" t="str">
            <v>TRAVEL BUSINESS MILES - PERSONAL CAR</v>
          </cell>
        </row>
        <row r="6286">
          <cell r="A6286">
            <v>9689990</v>
          </cell>
          <cell r="B6286">
            <v>370500</v>
          </cell>
          <cell r="C6286" t="str">
            <v>TRAVEL BUSINESS MILES - PERSONAL CAR</v>
          </cell>
        </row>
        <row r="6287">
          <cell r="A6287">
            <v>9689991</v>
          </cell>
          <cell r="B6287">
            <v>370500</v>
          </cell>
          <cell r="C6287" t="str">
            <v>TRAVEL BUSINESS MILES - PERSONAL CAR</v>
          </cell>
        </row>
        <row r="6288">
          <cell r="A6288">
            <v>9689992</v>
          </cell>
          <cell r="B6288">
            <v>370500</v>
          </cell>
          <cell r="C6288" t="str">
            <v>TRAVEL BUSINESS MILES - PERSONAL CAR</v>
          </cell>
        </row>
        <row r="6289">
          <cell r="A6289">
            <v>9689993</v>
          </cell>
          <cell r="B6289">
            <v>370500</v>
          </cell>
          <cell r="C6289" t="str">
            <v>TRAVEL BUSINESS MILES - PERSONAL CAR</v>
          </cell>
        </row>
        <row r="6290">
          <cell r="A6290">
            <v>9689994</v>
          </cell>
          <cell r="B6290">
            <v>370500</v>
          </cell>
          <cell r="C6290" t="str">
            <v>TRAVEL BUSINESS MILES - PERSONAL CAR</v>
          </cell>
        </row>
        <row r="6291">
          <cell r="A6291">
            <v>9080701</v>
          </cell>
          <cell r="B6291">
            <v>370500</v>
          </cell>
          <cell r="C6291" t="str">
            <v>TRAVEL BUSINESS MILES - LEASED CAR</v>
          </cell>
        </row>
        <row r="6292">
          <cell r="A6292">
            <v>9080702</v>
          </cell>
          <cell r="B6292">
            <v>370500</v>
          </cell>
          <cell r="C6292" t="str">
            <v>TRAVEL BUSINESS MILES - LEASED CAR</v>
          </cell>
        </row>
        <row r="6293">
          <cell r="A6293">
            <v>9080705</v>
          </cell>
          <cell r="B6293">
            <v>370500</v>
          </cell>
          <cell r="C6293" t="str">
            <v>TRAVEL BUSINESS MILES - LEASED CAR</v>
          </cell>
        </row>
        <row r="6294">
          <cell r="A6294">
            <v>9080707</v>
          </cell>
          <cell r="B6294">
            <v>370500</v>
          </cell>
          <cell r="C6294" t="str">
            <v>TRAVEL BUSINESS MILES - LEASED CAR</v>
          </cell>
        </row>
        <row r="6295">
          <cell r="A6295">
            <v>9080710</v>
          </cell>
          <cell r="B6295">
            <v>370500</v>
          </cell>
          <cell r="C6295" t="str">
            <v>TRAVEL BUSINESS MILES - LEASED CAR</v>
          </cell>
        </row>
        <row r="6296">
          <cell r="A6296">
            <v>9080712</v>
          </cell>
          <cell r="B6296">
            <v>370500</v>
          </cell>
          <cell r="C6296" t="str">
            <v>TRAVEL BUSINESS MILES - LEASED CAR</v>
          </cell>
        </row>
        <row r="6297">
          <cell r="A6297">
            <v>9080999</v>
          </cell>
          <cell r="B6297">
            <v>370500</v>
          </cell>
          <cell r="C6297" t="str">
            <v>TRAVEL BUSINESS MILES - LEASED CAR</v>
          </cell>
        </row>
        <row r="6298">
          <cell r="A6298">
            <v>9110702</v>
          </cell>
          <cell r="B6298">
            <v>370500</v>
          </cell>
          <cell r="C6298" t="str">
            <v>TRAVEL BUSINESS MILES - LEASED CAR</v>
          </cell>
        </row>
        <row r="6299">
          <cell r="A6299">
            <v>9110705</v>
          </cell>
          <cell r="B6299">
            <v>370500</v>
          </cell>
          <cell r="C6299" t="str">
            <v>TRAVEL BUSINESS MILES - LEASED CAR</v>
          </cell>
        </row>
        <row r="6300">
          <cell r="A6300">
            <v>9110707</v>
          </cell>
          <cell r="B6300">
            <v>370500</v>
          </cell>
          <cell r="C6300" t="str">
            <v>TRAVEL BUSINESS MILES - LEASED CAR</v>
          </cell>
        </row>
        <row r="6301">
          <cell r="A6301">
            <v>9110712</v>
          </cell>
          <cell r="B6301">
            <v>370500</v>
          </cell>
          <cell r="C6301" t="str">
            <v>TRAVEL BUSINESS MILES - LEASED CAR</v>
          </cell>
        </row>
        <row r="6302">
          <cell r="A6302">
            <v>9110999</v>
          </cell>
          <cell r="B6302">
            <v>370500</v>
          </cell>
          <cell r="C6302" t="str">
            <v>TRAVEL BUSINESS MILES - LEASED CAR</v>
          </cell>
        </row>
        <row r="6303">
          <cell r="A6303">
            <v>9689994</v>
          </cell>
          <cell r="B6303">
            <v>370500</v>
          </cell>
          <cell r="C6303" t="str">
            <v>TRAVEL BUSINESS MILES - LEASED CAR</v>
          </cell>
        </row>
        <row r="6304">
          <cell r="A6304">
            <v>9080701</v>
          </cell>
          <cell r="B6304">
            <v>370500</v>
          </cell>
          <cell r="C6304" t="str">
            <v>TRAVEL PERSONAL MILES - LEASED CAR</v>
          </cell>
        </row>
        <row r="6305">
          <cell r="A6305">
            <v>9080702</v>
          </cell>
          <cell r="B6305">
            <v>370500</v>
          </cell>
          <cell r="C6305" t="str">
            <v>TRAVEL PERSONAL MILES - LEASED CAR</v>
          </cell>
        </row>
        <row r="6306">
          <cell r="A6306">
            <v>9080705</v>
          </cell>
          <cell r="B6306">
            <v>370500</v>
          </cell>
          <cell r="C6306" t="str">
            <v>TRAVEL PERSONAL MILES - LEASED CAR</v>
          </cell>
        </row>
        <row r="6307">
          <cell r="A6307">
            <v>9080707</v>
          </cell>
          <cell r="B6307">
            <v>370500</v>
          </cell>
          <cell r="C6307" t="str">
            <v>TRAVEL PERSONAL MILES - LEASED CAR</v>
          </cell>
        </row>
        <row r="6308">
          <cell r="A6308">
            <v>9080710</v>
          </cell>
          <cell r="B6308">
            <v>370500</v>
          </cell>
          <cell r="C6308" t="str">
            <v>TRAVEL PERSONAL MILES - LEASED CAR</v>
          </cell>
        </row>
        <row r="6309">
          <cell r="A6309">
            <v>9080712</v>
          </cell>
          <cell r="B6309">
            <v>370500</v>
          </cell>
          <cell r="C6309" t="str">
            <v>TRAVEL PERSONAL MILES - LEASED CAR</v>
          </cell>
        </row>
        <row r="6310">
          <cell r="A6310">
            <v>9080999</v>
          </cell>
          <cell r="B6310">
            <v>370500</v>
          </cell>
          <cell r="C6310" t="str">
            <v>TRAVEL PERSONAL MILES - LEASED CAR</v>
          </cell>
        </row>
        <row r="6311">
          <cell r="A6311">
            <v>9110702</v>
          </cell>
          <cell r="B6311">
            <v>370500</v>
          </cell>
          <cell r="C6311" t="str">
            <v>TRAVEL PERSONAL MILES - LEASED CAR</v>
          </cell>
        </row>
        <row r="6312">
          <cell r="A6312">
            <v>9110705</v>
          </cell>
          <cell r="B6312">
            <v>370500</v>
          </cell>
          <cell r="C6312" t="str">
            <v>TRAVEL PERSONAL MILES - LEASED CAR</v>
          </cell>
        </row>
        <row r="6313">
          <cell r="A6313">
            <v>9110707</v>
          </cell>
          <cell r="B6313">
            <v>370500</v>
          </cell>
          <cell r="C6313" t="str">
            <v>TRAVEL PERSONAL MILES - LEASED CAR</v>
          </cell>
        </row>
        <row r="6314">
          <cell r="A6314">
            <v>9110712</v>
          </cell>
          <cell r="B6314">
            <v>370500</v>
          </cell>
          <cell r="C6314" t="str">
            <v>TRAVEL PERSONAL MILES - LEASED CAR</v>
          </cell>
        </row>
        <row r="6315">
          <cell r="A6315">
            <v>9110999</v>
          </cell>
          <cell r="B6315">
            <v>370500</v>
          </cell>
          <cell r="C6315" t="str">
            <v>TRAVEL PERSONAL MILES - LEASED CAR</v>
          </cell>
        </row>
        <row r="6316">
          <cell r="A6316">
            <v>9689994</v>
          </cell>
          <cell r="B6316">
            <v>370500</v>
          </cell>
          <cell r="C6316" t="str">
            <v>TRAVEL PERSONAL MILES - LEASED CAR</v>
          </cell>
        </row>
        <row r="6317">
          <cell r="A6317">
            <v>9080700</v>
          </cell>
          <cell r="B6317">
            <v>370501</v>
          </cell>
          <cell r="C6317" t="str">
            <v>AIR FARES - U.S.</v>
          </cell>
        </row>
        <row r="6318">
          <cell r="A6318">
            <v>9080701</v>
          </cell>
          <cell r="B6318">
            <v>370501</v>
          </cell>
          <cell r="C6318" t="str">
            <v>AIR FARES - U.S.</v>
          </cell>
        </row>
        <row r="6319">
          <cell r="A6319">
            <v>9080702</v>
          </cell>
          <cell r="B6319">
            <v>370501</v>
          </cell>
          <cell r="C6319" t="str">
            <v>AIR FARES - U.S.</v>
          </cell>
        </row>
        <row r="6320">
          <cell r="A6320">
            <v>9080705</v>
          </cell>
          <cell r="B6320">
            <v>370501</v>
          </cell>
          <cell r="C6320" t="str">
            <v>AIR FARES - U.S.</v>
          </cell>
        </row>
        <row r="6321">
          <cell r="A6321">
            <v>9080707</v>
          </cell>
          <cell r="B6321">
            <v>370501</v>
          </cell>
          <cell r="C6321" t="str">
            <v>AIR FARES - U.S.</v>
          </cell>
        </row>
        <row r="6322">
          <cell r="A6322">
            <v>9080710</v>
          </cell>
          <cell r="B6322">
            <v>370501</v>
          </cell>
          <cell r="C6322" t="str">
            <v>AIR FARES - U.S.</v>
          </cell>
        </row>
        <row r="6323">
          <cell r="A6323">
            <v>9080999</v>
          </cell>
          <cell r="B6323">
            <v>370501</v>
          </cell>
          <cell r="C6323" t="str">
            <v>AIR FARES - U.S.</v>
          </cell>
        </row>
        <row r="6324">
          <cell r="A6324">
            <v>9090710</v>
          </cell>
          <cell r="B6324">
            <v>370501</v>
          </cell>
          <cell r="C6324" t="str">
            <v>AIR FARES - U.S.</v>
          </cell>
        </row>
        <row r="6325">
          <cell r="A6325">
            <v>9090999</v>
          </cell>
          <cell r="B6325">
            <v>370501</v>
          </cell>
          <cell r="C6325" t="str">
            <v>AIR FARES - U.S.</v>
          </cell>
        </row>
        <row r="6326">
          <cell r="A6326">
            <v>9100710</v>
          </cell>
          <cell r="B6326">
            <v>370501</v>
          </cell>
          <cell r="C6326" t="str">
            <v>AIR FARES - U.S.</v>
          </cell>
        </row>
        <row r="6327">
          <cell r="A6327">
            <v>9100999</v>
          </cell>
          <cell r="B6327">
            <v>370501</v>
          </cell>
          <cell r="C6327" t="str">
            <v>AIR FARES - U.S.</v>
          </cell>
        </row>
        <row r="6328">
          <cell r="A6328">
            <v>9110700</v>
          </cell>
          <cell r="B6328">
            <v>370501</v>
          </cell>
          <cell r="C6328" t="str">
            <v>AIR FARES - U.S.</v>
          </cell>
        </row>
        <row r="6329">
          <cell r="A6329">
            <v>9110702</v>
          </cell>
          <cell r="B6329">
            <v>370501</v>
          </cell>
          <cell r="C6329" t="str">
            <v>AIR FARES - U.S.</v>
          </cell>
        </row>
        <row r="6330">
          <cell r="A6330">
            <v>9110705</v>
          </cell>
          <cell r="B6330">
            <v>370501</v>
          </cell>
          <cell r="C6330" t="str">
            <v>AIR FARES - U.S.</v>
          </cell>
        </row>
        <row r="6331">
          <cell r="A6331">
            <v>9110707</v>
          </cell>
          <cell r="B6331">
            <v>370501</v>
          </cell>
          <cell r="C6331" t="str">
            <v>AIR FARES - U.S.</v>
          </cell>
        </row>
        <row r="6332">
          <cell r="A6332">
            <v>9110999</v>
          </cell>
          <cell r="B6332">
            <v>370501</v>
          </cell>
          <cell r="C6332" t="str">
            <v>AIR FARES - U.S.</v>
          </cell>
        </row>
        <row r="6333">
          <cell r="A6333">
            <v>9680700</v>
          </cell>
          <cell r="B6333">
            <v>370501</v>
          </cell>
          <cell r="C6333" t="str">
            <v>AIR FARES - U.S.</v>
          </cell>
        </row>
        <row r="6334">
          <cell r="A6334">
            <v>9680701</v>
          </cell>
          <cell r="B6334">
            <v>370501</v>
          </cell>
          <cell r="C6334" t="str">
            <v>AIR FARES - U.S.</v>
          </cell>
        </row>
        <row r="6335">
          <cell r="A6335">
            <v>9680702</v>
          </cell>
          <cell r="B6335">
            <v>370501</v>
          </cell>
          <cell r="C6335" t="str">
            <v>AIR FARES - U.S.</v>
          </cell>
        </row>
        <row r="6336">
          <cell r="A6336">
            <v>9680705</v>
          </cell>
          <cell r="B6336">
            <v>370501</v>
          </cell>
          <cell r="C6336" t="str">
            <v>AIR FARES - U.S.</v>
          </cell>
        </row>
        <row r="6337">
          <cell r="A6337">
            <v>9680707</v>
          </cell>
          <cell r="B6337">
            <v>370501</v>
          </cell>
          <cell r="C6337" t="str">
            <v>AIR FARES - U.S.</v>
          </cell>
        </row>
        <row r="6338">
          <cell r="A6338">
            <v>9680710</v>
          </cell>
          <cell r="B6338">
            <v>370501</v>
          </cell>
          <cell r="C6338" t="str">
            <v>AIR FARES - U.S.</v>
          </cell>
        </row>
        <row r="6339">
          <cell r="A6339">
            <v>9680712</v>
          </cell>
          <cell r="B6339">
            <v>370501</v>
          </cell>
          <cell r="C6339" t="str">
            <v>AIR FARES - U.S.</v>
          </cell>
        </row>
        <row r="6340">
          <cell r="A6340">
            <v>9680714</v>
          </cell>
          <cell r="B6340">
            <v>370501</v>
          </cell>
          <cell r="C6340" t="str">
            <v>AIR FARES - U.S.</v>
          </cell>
        </row>
        <row r="6341">
          <cell r="A6341">
            <v>9680734</v>
          </cell>
          <cell r="B6341">
            <v>370501</v>
          </cell>
          <cell r="C6341" t="str">
            <v>AIR FARES - U.S.</v>
          </cell>
        </row>
        <row r="6342">
          <cell r="A6342">
            <v>9680748</v>
          </cell>
          <cell r="B6342">
            <v>370501</v>
          </cell>
          <cell r="C6342" t="str">
            <v>AIR FARES - U.S.</v>
          </cell>
        </row>
        <row r="6343">
          <cell r="A6343">
            <v>9680749</v>
          </cell>
          <cell r="B6343">
            <v>370501</v>
          </cell>
          <cell r="C6343" t="str">
            <v>AIR FARES - U.S.</v>
          </cell>
        </row>
        <row r="6344">
          <cell r="A6344">
            <v>9680894</v>
          </cell>
          <cell r="B6344">
            <v>370501</v>
          </cell>
          <cell r="C6344" t="str">
            <v>AIR FARES - U.S.</v>
          </cell>
        </row>
        <row r="6345">
          <cell r="A6345">
            <v>9680999</v>
          </cell>
          <cell r="B6345">
            <v>370501</v>
          </cell>
          <cell r="C6345" t="str">
            <v>AIR FARES - U.S.</v>
          </cell>
        </row>
        <row r="6346">
          <cell r="A6346">
            <v>9681700</v>
          </cell>
          <cell r="B6346">
            <v>370501</v>
          </cell>
          <cell r="C6346" t="str">
            <v>AIR FARES - U.S.</v>
          </cell>
        </row>
        <row r="6347">
          <cell r="A6347">
            <v>9681701</v>
          </cell>
          <cell r="B6347">
            <v>370501</v>
          </cell>
          <cell r="C6347" t="str">
            <v>AIR FARES - U.S.</v>
          </cell>
        </row>
        <row r="6348">
          <cell r="A6348">
            <v>9681702</v>
          </cell>
          <cell r="B6348">
            <v>370501</v>
          </cell>
          <cell r="C6348" t="str">
            <v>AIR FARES - U.S.</v>
          </cell>
        </row>
        <row r="6349">
          <cell r="A6349">
            <v>9681705</v>
          </cell>
          <cell r="B6349">
            <v>370501</v>
          </cell>
          <cell r="C6349" t="str">
            <v>AIR FARES - U.S.</v>
          </cell>
        </row>
        <row r="6350">
          <cell r="A6350">
            <v>9681706</v>
          </cell>
          <cell r="B6350">
            <v>370501</v>
          </cell>
          <cell r="C6350" t="str">
            <v>AIR FARES - U.S.</v>
          </cell>
        </row>
        <row r="6351">
          <cell r="A6351">
            <v>9681707</v>
          </cell>
          <cell r="B6351">
            <v>370501</v>
          </cell>
          <cell r="C6351" t="str">
            <v>AIR FARES - U.S.</v>
          </cell>
        </row>
        <row r="6352">
          <cell r="A6352">
            <v>9681710</v>
          </cell>
          <cell r="B6352">
            <v>370501</v>
          </cell>
          <cell r="C6352" t="str">
            <v>AIR FARES - U.S.</v>
          </cell>
        </row>
        <row r="6353">
          <cell r="A6353">
            <v>9681712</v>
          </cell>
          <cell r="B6353">
            <v>370501</v>
          </cell>
          <cell r="C6353" t="str">
            <v>AIR FARES - U.S.</v>
          </cell>
        </row>
        <row r="6354">
          <cell r="A6354">
            <v>9681727</v>
          </cell>
          <cell r="B6354">
            <v>370501</v>
          </cell>
          <cell r="C6354" t="str">
            <v>AIR FARES - U.S.</v>
          </cell>
        </row>
        <row r="6355">
          <cell r="A6355">
            <v>9681734</v>
          </cell>
          <cell r="B6355">
            <v>370501</v>
          </cell>
          <cell r="C6355" t="str">
            <v>AIR FARES - U.S.</v>
          </cell>
        </row>
        <row r="6356">
          <cell r="A6356">
            <v>9681748</v>
          </cell>
          <cell r="B6356">
            <v>370501</v>
          </cell>
          <cell r="C6356" t="str">
            <v>AIR FARES - U.S.</v>
          </cell>
        </row>
        <row r="6357">
          <cell r="A6357">
            <v>9681749</v>
          </cell>
          <cell r="B6357">
            <v>370501</v>
          </cell>
          <cell r="C6357" t="str">
            <v>AIR FARES - U.S.</v>
          </cell>
        </row>
        <row r="6358">
          <cell r="A6358">
            <v>9681894</v>
          </cell>
          <cell r="B6358">
            <v>370501</v>
          </cell>
          <cell r="C6358" t="str">
            <v>AIR FARES - U.S.</v>
          </cell>
        </row>
        <row r="6359">
          <cell r="A6359">
            <v>9681999</v>
          </cell>
          <cell r="B6359">
            <v>370501</v>
          </cell>
          <cell r="C6359" t="str">
            <v>AIR FARES - U.S.</v>
          </cell>
        </row>
        <row r="6360">
          <cell r="A6360">
            <v>9682715</v>
          </cell>
          <cell r="B6360">
            <v>370501</v>
          </cell>
          <cell r="C6360" t="str">
            <v>AIR FARES - U.S.</v>
          </cell>
        </row>
        <row r="6361">
          <cell r="A6361">
            <v>9682722</v>
          </cell>
          <cell r="B6361">
            <v>370501</v>
          </cell>
          <cell r="C6361" t="str">
            <v>AIR FARES - U.S.</v>
          </cell>
        </row>
        <row r="6362">
          <cell r="A6362">
            <v>9682999</v>
          </cell>
          <cell r="B6362">
            <v>370501</v>
          </cell>
          <cell r="C6362" t="str">
            <v>AIR FARES - U.S.</v>
          </cell>
        </row>
        <row r="6363">
          <cell r="A6363">
            <v>9683999</v>
          </cell>
          <cell r="B6363">
            <v>370501</v>
          </cell>
          <cell r="C6363" t="str">
            <v>AIR FARES - U.S.</v>
          </cell>
        </row>
        <row r="6364">
          <cell r="A6364">
            <v>9684999</v>
          </cell>
          <cell r="B6364">
            <v>370501</v>
          </cell>
          <cell r="C6364" t="str">
            <v>AIR FARES - U.S.</v>
          </cell>
        </row>
        <row r="6365">
          <cell r="A6365">
            <v>9685999</v>
          </cell>
          <cell r="B6365">
            <v>370501</v>
          </cell>
          <cell r="C6365" t="str">
            <v>AIR FARES - U.S.</v>
          </cell>
        </row>
        <row r="6366">
          <cell r="A6366">
            <v>9689692</v>
          </cell>
          <cell r="B6366">
            <v>370501</v>
          </cell>
          <cell r="C6366" t="str">
            <v>AIR FARES - U.S.</v>
          </cell>
        </row>
        <row r="6367">
          <cell r="A6367">
            <v>9689747</v>
          </cell>
          <cell r="B6367">
            <v>370501</v>
          </cell>
          <cell r="C6367" t="str">
            <v>AIR FARES - U.S.</v>
          </cell>
        </row>
        <row r="6368">
          <cell r="A6368">
            <v>9689883</v>
          </cell>
          <cell r="B6368">
            <v>370501</v>
          </cell>
          <cell r="C6368" t="str">
            <v>AIR FARES - U.S.</v>
          </cell>
        </row>
        <row r="6369">
          <cell r="A6369">
            <v>9689890</v>
          </cell>
          <cell r="B6369">
            <v>370501</v>
          </cell>
          <cell r="C6369" t="str">
            <v>AIR FARES - U.S.</v>
          </cell>
        </row>
        <row r="6370">
          <cell r="A6370">
            <v>9689904</v>
          </cell>
          <cell r="B6370">
            <v>370501</v>
          </cell>
          <cell r="C6370" t="str">
            <v>AIR FARES - U.S.</v>
          </cell>
        </row>
        <row r="6371">
          <cell r="A6371">
            <v>9689906</v>
          </cell>
          <cell r="B6371">
            <v>370501</v>
          </cell>
          <cell r="C6371" t="str">
            <v>AIR FARES - U.S.</v>
          </cell>
        </row>
        <row r="6372">
          <cell r="A6372">
            <v>9689925</v>
          </cell>
          <cell r="B6372">
            <v>370501</v>
          </cell>
          <cell r="C6372" t="str">
            <v>AIR FARES - U.S.</v>
          </cell>
        </row>
        <row r="6373">
          <cell r="A6373">
            <v>9689990</v>
          </cell>
          <cell r="B6373">
            <v>370501</v>
          </cell>
          <cell r="C6373" t="str">
            <v>AIR FARES - U.S.</v>
          </cell>
        </row>
        <row r="6374">
          <cell r="A6374">
            <v>9689991</v>
          </cell>
          <cell r="B6374">
            <v>370501</v>
          </cell>
          <cell r="C6374" t="str">
            <v>AIR FARES - U.S.</v>
          </cell>
        </row>
        <row r="6375">
          <cell r="A6375">
            <v>9689992</v>
          </cell>
          <cell r="B6375">
            <v>370501</v>
          </cell>
          <cell r="C6375" t="str">
            <v>AIR FARES - U.S.</v>
          </cell>
        </row>
        <row r="6376">
          <cell r="A6376">
            <v>9689993</v>
          </cell>
          <cell r="B6376">
            <v>370501</v>
          </cell>
          <cell r="C6376" t="str">
            <v>AIR FARES - U.S.</v>
          </cell>
        </row>
        <row r="6377">
          <cell r="A6377">
            <v>9689994</v>
          </cell>
          <cell r="B6377">
            <v>370501</v>
          </cell>
          <cell r="C6377" t="str">
            <v>AIR FARES - U.S.</v>
          </cell>
        </row>
        <row r="6378">
          <cell r="A6378">
            <v>9080999</v>
          </cell>
          <cell r="B6378">
            <v>370502</v>
          </cell>
          <cell r="C6378" t="str">
            <v>CAR RENTAL - U.S.</v>
          </cell>
        </row>
        <row r="6379">
          <cell r="A6379">
            <v>9110999</v>
          </cell>
          <cell r="B6379">
            <v>370502</v>
          </cell>
          <cell r="C6379" t="str">
            <v>CAR RENTAL - U.S.</v>
          </cell>
        </row>
        <row r="6380">
          <cell r="A6380">
            <v>9090999</v>
          </cell>
          <cell r="B6380">
            <v>370503</v>
          </cell>
          <cell r="C6380" t="str">
            <v>LEASED CARS - U.S.</v>
          </cell>
        </row>
        <row r="6381">
          <cell r="A6381">
            <v>9100999</v>
          </cell>
          <cell r="B6381">
            <v>370503</v>
          </cell>
          <cell r="C6381" t="str">
            <v>LEASED CARS - U.S.</v>
          </cell>
        </row>
        <row r="6382">
          <cell r="A6382">
            <v>8001054179</v>
          </cell>
          <cell r="B6382">
            <v>370510</v>
          </cell>
          <cell r="C6382" t="str">
            <v>REGULAR - CANADA - TRAVEL</v>
          </cell>
        </row>
        <row r="6383">
          <cell r="A6383">
            <v>8001059542</v>
          </cell>
          <cell r="B6383">
            <v>370510</v>
          </cell>
          <cell r="C6383" t="str">
            <v>REGULAR - CANADA - TRAVEL</v>
          </cell>
        </row>
        <row r="6384">
          <cell r="A6384">
            <v>8010512510</v>
          </cell>
          <cell r="B6384">
            <v>370510</v>
          </cell>
          <cell r="C6384" t="str">
            <v>REGULAR - CANADA - TRAVEL</v>
          </cell>
        </row>
        <row r="6385">
          <cell r="A6385">
            <v>9969681</v>
          </cell>
          <cell r="B6385">
            <v>370510</v>
          </cell>
          <cell r="C6385" t="str">
            <v>REGULAR - CANADA - TRAVEL</v>
          </cell>
        </row>
        <row r="6386">
          <cell r="A6386">
            <v>9969901</v>
          </cell>
          <cell r="B6386">
            <v>370510</v>
          </cell>
          <cell r="C6386" t="str">
            <v>REGULAR - CANADA - TRAVEL</v>
          </cell>
        </row>
        <row r="6387">
          <cell r="A6387" t="str">
            <v>ZONE-0105-POST</v>
          </cell>
          <cell r="B6387">
            <v>370510</v>
          </cell>
          <cell r="C6387" t="str">
            <v>REGULAR - CANADA - TRAVEL</v>
          </cell>
        </row>
        <row r="6388">
          <cell r="A6388" t="str">
            <v>ZONE-0112-POST</v>
          </cell>
          <cell r="B6388">
            <v>370510</v>
          </cell>
          <cell r="C6388" t="str">
            <v>REGULAR - CANADA - TRAVEL</v>
          </cell>
        </row>
        <row r="6389">
          <cell r="A6389">
            <v>8001054179</v>
          </cell>
          <cell r="B6389">
            <v>370510</v>
          </cell>
          <cell r="C6389" t="str">
            <v>CANADA TRAVEL BUSINESS MILES - PERSONAL CAR</v>
          </cell>
        </row>
        <row r="6390">
          <cell r="A6390">
            <v>8001059542</v>
          </cell>
          <cell r="B6390">
            <v>370510</v>
          </cell>
          <cell r="C6390" t="str">
            <v>CANADA TRAVEL BUSINESS MILES - PERSONAL CAR</v>
          </cell>
        </row>
        <row r="6391">
          <cell r="A6391">
            <v>8010512510</v>
          </cell>
          <cell r="B6391">
            <v>370510</v>
          </cell>
          <cell r="C6391" t="str">
            <v>CANADA TRAVEL BUSINESS MILES - PERSONAL CAR</v>
          </cell>
        </row>
        <row r="6392">
          <cell r="A6392">
            <v>9969681</v>
          </cell>
          <cell r="B6392">
            <v>370510</v>
          </cell>
          <cell r="C6392" t="str">
            <v>CANADA TRAVEL BUSINESS MILES - PERSONAL CAR</v>
          </cell>
        </row>
        <row r="6393">
          <cell r="A6393">
            <v>9969901</v>
          </cell>
          <cell r="B6393">
            <v>370510</v>
          </cell>
          <cell r="C6393" t="str">
            <v>CANADA TRAVEL BUSINESS MILES - PERSONAL CAR</v>
          </cell>
        </row>
        <row r="6394">
          <cell r="A6394" t="str">
            <v>ZONE-0105-POST</v>
          </cell>
          <cell r="B6394">
            <v>370510</v>
          </cell>
          <cell r="C6394" t="str">
            <v>CANADA TRAVEL BUSINESS MILES - PERSONAL CAR</v>
          </cell>
        </row>
        <row r="6395">
          <cell r="A6395" t="str">
            <v>ZONE-0112-POST</v>
          </cell>
          <cell r="B6395">
            <v>370510</v>
          </cell>
          <cell r="C6395" t="str">
            <v>CANADA TRAVEL BUSINESS MILES - PERSONAL CAR</v>
          </cell>
        </row>
        <row r="6396">
          <cell r="A6396">
            <v>8001054179</v>
          </cell>
          <cell r="B6396">
            <v>370510</v>
          </cell>
          <cell r="C6396" t="str">
            <v>CANADA TRAVEL BUSINESS MILES - LEASED CAR</v>
          </cell>
        </row>
        <row r="6397">
          <cell r="A6397">
            <v>8001059542</v>
          </cell>
          <cell r="B6397">
            <v>370510</v>
          </cell>
          <cell r="C6397" t="str">
            <v>CANADA TRAVEL BUSINESS MILES - LEASED CAR</v>
          </cell>
        </row>
        <row r="6398">
          <cell r="A6398">
            <v>8010512510</v>
          </cell>
          <cell r="B6398">
            <v>370510</v>
          </cell>
          <cell r="C6398" t="str">
            <v>CANADA TRAVEL BUSINESS MILES - LEASED CAR</v>
          </cell>
        </row>
        <row r="6399">
          <cell r="A6399">
            <v>9969681</v>
          </cell>
          <cell r="B6399">
            <v>370510</v>
          </cell>
          <cell r="C6399" t="str">
            <v>CANADA TRAVEL BUSINESS MILES - LEASED CAR</v>
          </cell>
        </row>
        <row r="6400">
          <cell r="A6400">
            <v>9969901</v>
          </cell>
          <cell r="B6400">
            <v>370510</v>
          </cell>
          <cell r="C6400" t="str">
            <v>CANADA TRAVEL BUSINESS MILES - LEASED CAR</v>
          </cell>
        </row>
        <row r="6401">
          <cell r="A6401" t="str">
            <v>ZONE-0105-POST</v>
          </cell>
          <cell r="B6401">
            <v>370510</v>
          </cell>
          <cell r="C6401" t="str">
            <v>CANADA TRAVEL BUSINESS MILES - LEASED CAR</v>
          </cell>
        </row>
        <row r="6402">
          <cell r="A6402" t="str">
            <v>ZONE-0112-POST</v>
          </cell>
          <cell r="B6402">
            <v>370510</v>
          </cell>
          <cell r="C6402" t="str">
            <v>CANADA TRAVEL BUSINESS MILES - LEASED CAR</v>
          </cell>
        </row>
        <row r="6403">
          <cell r="A6403">
            <v>8001054179</v>
          </cell>
          <cell r="B6403">
            <v>370510</v>
          </cell>
          <cell r="C6403" t="str">
            <v>CANADA TRAVEL PERSONAL MILES - LEASED CAR</v>
          </cell>
        </row>
        <row r="6404">
          <cell r="A6404">
            <v>8001059542</v>
          </cell>
          <cell r="B6404">
            <v>370510</v>
          </cell>
          <cell r="C6404" t="str">
            <v>CANADA TRAVEL PERSONAL MILES - LEASED CAR</v>
          </cell>
        </row>
        <row r="6405">
          <cell r="A6405">
            <v>8010512510</v>
          </cell>
          <cell r="B6405">
            <v>370510</v>
          </cell>
          <cell r="C6405" t="str">
            <v>CANADA TRAVEL PERSONAL MILES - LEASED CAR</v>
          </cell>
        </row>
        <row r="6406">
          <cell r="A6406">
            <v>9969681</v>
          </cell>
          <cell r="B6406">
            <v>370510</v>
          </cell>
          <cell r="C6406" t="str">
            <v>CANADA TRAVEL PERSONAL MILES - LEASED CAR</v>
          </cell>
        </row>
        <row r="6407">
          <cell r="A6407">
            <v>9969901</v>
          </cell>
          <cell r="B6407">
            <v>370510</v>
          </cell>
          <cell r="C6407" t="str">
            <v>CANADA TRAVEL PERSONAL MILES - LEASED CAR</v>
          </cell>
        </row>
        <row r="6408">
          <cell r="A6408" t="str">
            <v>ZONE-0105-POST</v>
          </cell>
          <cell r="B6408">
            <v>370510</v>
          </cell>
          <cell r="C6408" t="str">
            <v>CANADA TRAVEL PERSONAL MILES - LEASED CAR</v>
          </cell>
        </row>
        <row r="6409">
          <cell r="A6409" t="str">
            <v>ZONE-0112-POST</v>
          </cell>
          <cell r="B6409">
            <v>370510</v>
          </cell>
          <cell r="C6409" t="str">
            <v>CANADA TRAVEL PERSONAL MILES - LEASED CAR</v>
          </cell>
        </row>
        <row r="6410">
          <cell r="A6410">
            <v>8001054179</v>
          </cell>
          <cell r="B6410">
            <v>370514</v>
          </cell>
          <cell r="C6410" t="str">
            <v>MEETING EXPENSE - TRAVEL</v>
          </cell>
        </row>
        <row r="6411">
          <cell r="A6411">
            <v>8001059542</v>
          </cell>
          <cell r="B6411">
            <v>370514</v>
          </cell>
          <cell r="C6411" t="str">
            <v>MEETING EXPENSE - TRAVEL</v>
          </cell>
        </row>
        <row r="6412">
          <cell r="A6412">
            <v>8010512510</v>
          </cell>
          <cell r="B6412">
            <v>370514</v>
          </cell>
          <cell r="C6412" t="str">
            <v>MEETING EXPENSE - TRAVEL</v>
          </cell>
        </row>
        <row r="6413">
          <cell r="A6413">
            <v>9080700</v>
          </cell>
          <cell r="B6413">
            <v>370514</v>
          </cell>
          <cell r="C6413" t="str">
            <v>MEETING EXPENSE - TRAVEL</v>
          </cell>
        </row>
        <row r="6414">
          <cell r="A6414">
            <v>9080701</v>
          </cell>
          <cell r="B6414">
            <v>370514</v>
          </cell>
          <cell r="C6414" t="str">
            <v>MEETING EXPENSE - TRAVEL</v>
          </cell>
        </row>
        <row r="6415">
          <cell r="A6415">
            <v>9080702</v>
          </cell>
          <cell r="B6415">
            <v>370514</v>
          </cell>
          <cell r="C6415" t="str">
            <v>MEETING EXPENSE - TRAVEL</v>
          </cell>
        </row>
        <row r="6416">
          <cell r="A6416">
            <v>9080705</v>
          </cell>
          <cell r="B6416">
            <v>370514</v>
          </cell>
          <cell r="C6416" t="str">
            <v>MEETING EXPENSE - TRAVEL</v>
          </cell>
        </row>
        <row r="6417">
          <cell r="A6417">
            <v>9080707</v>
          </cell>
          <cell r="B6417">
            <v>370514</v>
          </cell>
          <cell r="C6417" t="str">
            <v>MEETING EXPENSE - TRAVEL</v>
          </cell>
        </row>
        <row r="6418">
          <cell r="A6418">
            <v>9080710</v>
          </cell>
          <cell r="B6418">
            <v>370514</v>
          </cell>
          <cell r="C6418" t="str">
            <v>MEETING EXPENSE - TRAVEL</v>
          </cell>
        </row>
        <row r="6419">
          <cell r="A6419">
            <v>9080999</v>
          </cell>
          <cell r="B6419">
            <v>370514</v>
          </cell>
          <cell r="C6419" t="str">
            <v>MEETING EXPENSE - TRAVEL</v>
          </cell>
        </row>
        <row r="6420">
          <cell r="A6420">
            <v>9090999</v>
          </cell>
          <cell r="B6420">
            <v>370514</v>
          </cell>
          <cell r="C6420" t="str">
            <v>MEETING EXPENSE - TRAVEL</v>
          </cell>
        </row>
        <row r="6421">
          <cell r="A6421">
            <v>9100999</v>
          </cell>
          <cell r="B6421">
            <v>370514</v>
          </cell>
          <cell r="C6421" t="str">
            <v>MEETING EXPENSE - TRAVEL</v>
          </cell>
        </row>
        <row r="6422">
          <cell r="A6422">
            <v>9110700</v>
          </cell>
          <cell r="B6422">
            <v>370514</v>
          </cell>
          <cell r="C6422" t="str">
            <v>MEETING EXPENSE - TRAVEL</v>
          </cell>
        </row>
        <row r="6423">
          <cell r="A6423">
            <v>9110702</v>
          </cell>
          <cell r="B6423">
            <v>370514</v>
          </cell>
          <cell r="C6423" t="str">
            <v>MEETING EXPENSE - TRAVEL</v>
          </cell>
        </row>
        <row r="6424">
          <cell r="A6424">
            <v>9110705</v>
          </cell>
          <cell r="B6424">
            <v>370514</v>
          </cell>
          <cell r="C6424" t="str">
            <v>MEETING EXPENSE - TRAVEL</v>
          </cell>
        </row>
        <row r="6425">
          <cell r="A6425">
            <v>9110707</v>
          </cell>
          <cell r="B6425">
            <v>370514</v>
          </cell>
          <cell r="C6425" t="str">
            <v>MEETING EXPENSE - TRAVEL</v>
          </cell>
        </row>
        <row r="6426">
          <cell r="A6426">
            <v>9110999</v>
          </cell>
          <cell r="B6426">
            <v>370514</v>
          </cell>
          <cell r="C6426" t="str">
            <v>MEETING EXPENSE - TRAVEL</v>
          </cell>
        </row>
        <row r="6427">
          <cell r="A6427">
            <v>9680700</v>
          </cell>
          <cell r="B6427">
            <v>370514</v>
          </cell>
          <cell r="C6427" t="str">
            <v>MEETING EXPENSE - TRAVEL</v>
          </cell>
        </row>
        <row r="6428">
          <cell r="A6428">
            <v>9680701</v>
          </cell>
          <cell r="B6428">
            <v>370514</v>
          </cell>
          <cell r="C6428" t="str">
            <v>MEETING EXPENSE - TRAVEL</v>
          </cell>
        </row>
        <row r="6429">
          <cell r="A6429">
            <v>9680702</v>
          </cell>
          <cell r="B6429">
            <v>370514</v>
          </cell>
          <cell r="C6429" t="str">
            <v>MEETING EXPENSE - TRAVEL</v>
          </cell>
        </row>
        <row r="6430">
          <cell r="A6430">
            <v>9680705</v>
          </cell>
          <cell r="B6430">
            <v>370514</v>
          </cell>
          <cell r="C6430" t="str">
            <v>MEETING EXPENSE - TRAVEL</v>
          </cell>
        </row>
        <row r="6431">
          <cell r="A6431">
            <v>9680707</v>
          </cell>
          <cell r="B6431">
            <v>370514</v>
          </cell>
          <cell r="C6431" t="str">
            <v>MEETING EXPENSE - TRAVEL</v>
          </cell>
        </row>
        <row r="6432">
          <cell r="A6432">
            <v>9680710</v>
          </cell>
          <cell r="B6432">
            <v>370514</v>
          </cell>
          <cell r="C6432" t="str">
            <v>MEETING EXPENSE - TRAVEL</v>
          </cell>
        </row>
        <row r="6433">
          <cell r="A6433">
            <v>9680712</v>
          </cell>
          <cell r="B6433">
            <v>370514</v>
          </cell>
          <cell r="C6433" t="str">
            <v>MEETING EXPENSE - TRAVEL</v>
          </cell>
        </row>
        <row r="6434">
          <cell r="A6434">
            <v>9680714</v>
          </cell>
          <cell r="B6434">
            <v>370514</v>
          </cell>
          <cell r="C6434" t="str">
            <v>MEETING EXPENSE - TRAVEL</v>
          </cell>
        </row>
        <row r="6435">
          <cell r="A6435">
            <v>9680734</v>
          </cell>
          <cell r="B6435">
            <v>370514</v>
          </cell>
          <cell r="C6435" t="str">
            <v>MEETING EXPENSE - TRAVEL</v>
          </cell>
        </row>
        <row r="6436">
          <cell r="A6436">
            <v>9680748</v>
          </cell>
          <cell r="B6436">
            <v>370514</v>
          </cell>
          <cell r="C6436" t="str">
            <v>MEETING EXPENSE - TRAVEL</v>
          </cell>
        </row>
        <row r="6437">
          <cell r="A6437">
            <v>9680749</v>
          </cell>
          <cell r="B6437">
            <v>370514</v>
          </cell>
          <cell r="C6437" t="str">
            <v>MEETING EXPENSE - TRAVEL</v>
          </cell>
        </row>
        <row r="6438">
          <cell r="A6438">
            <v>9680894</v>
          </cell>
          <cell r="B6438">
            <v>370514</v>
          </cell>
          <cell r="C6438" t="str">
            <v>MEETING EXPENSE - TRAVEL</v>
          </cell>
        </row>
        <row r="6439">
          <cell r="A6439">
            <v>9680999</v>
          </cell>
          <cell r="B6439">
            <v>370514</v>
          </cell>
          <cell r="C6439" t="str">
            <v>MEETING EXPENSE - TRAVEL</v>
          </cell>
        </row>
        <row r="6440">
          <cell r="A6440">
            <v>9681700</v>
          </cell>
          <cell r="B6440">
            <v>370514</v>
          </cell>
          <cell r="C6440" t="str">
            <v>MEETING EXPENSE - TRAVEL</v>
          </cell>
        </row>
        <row r="6441">
          <cell r="A6441">
            <v>9681701</v>
          </cell>
          <cell r="B6441">
            <v>370514</v>
          </cell>
          <cell r="C6441" t="str">
            <v>MEETING EXPENSE - TRAVEL</v>
          </cell>
        </row>
        <row r="6442">
          <cell r="A6442">
            <v>9681702</v>
          </cell>
          <cell r="B6442">
            <v>370514</v>
          </cell>
          <cell r="C6442" t="str">
            <v>MEETING EXPENSE - TRAVEL</v>
          </cell>
        </row>
        <row r="6443">
          <cell r="A6443">
            <v>9681705</v>
          </cell>
          <cell r="B6443">
            <v>370514</v>
          </cell>
          <cell r="C6443" t="str">
            <v>MEETING EXPENSE - TRAVEL</v>
          </cell>
        </row>
        <row r="6444">
          <cell r="A6444">
            <v>9681706</v>
          </cell>
          <cell r="B6444">
            <v>370514</v>
          </cell>
          <cell r="C6444" t="str">
            <v>MEETING EXPENSE - TRAVEL</v>
          </cell>
        </row>
        <row r="6445">
          <cell r="A6445">
            <v>9681707</v>
          </cell>
          <cell r="B6445">
            <v>370514</v>
          </cell>
          <cell r="C6445" t="str">
            <v>MEETING EXPENSE - TRAVEL</v>
          </cell>
        </row>
        <row r="6446">
          <cell r="A6446">
            <v>9681710</v>
          </cell>
          <cell r="B6446">
            <v>370514</v>
          </cell>
          <cell r="C6446" t="str">
            <v>MEETING EXPENSE - TRAVEL</v>
          </cell>
        </row>
        <row r="6447">
          <cell r="A6447">
            <v>9681712</v>
          </cell>
          <cell r="B6447">
            <v>370514</v>
          </cell>
          <cell r="C6447" t="str">
            <v>MEETING EXPENSE - TRAVEL</v>
          </cell>
        </row>
        <row r="6448">
          <cell r="A6448">
            <v>9681727</v>
          </cell>
          <cell r="B6448">
            <v>370514</v>
          </cell>
          <cell r="C6448" t="str">
            <v>MEETING EXPENSE - TRAVEL</v>
          </cell>
        </row>
        <row r="6449">
          <cell r="A6449">
            <v>9681734</v>
          </cell>
          <cell r="B6449">
            <v>370514</v>
          </cell>
          <cell r="C6449" t="str">
            <v>MEETING EXPENSE - TRAVEL</v>
          </cell>
        </row>
        <row r="6450">
          <cell r="A6450">
            <v>9681748</v>
          </cell>
          <cell r="B6450">
            <v>370514</v>
          </cell>
          <cell r="C6450" t="str">
            <v>MEETING EXPENSE - TRAVEL</v>
          </cell>
        </row>
        <row r="6451">
          <cell r="A6451">
            <v>9681749</v>
          </cell>
          <cell r="B6451">
            <v>370514</v>
          </cell>
          <cell r="C6451" t="str">
            <v>MEETING EXPENSE - TRAVEL</v>
          </cell>
        </row>
        <row r="6452">
          <cell r="A6452">
            <v>9681894</v>
          </cell>
          <cell r="B6452">
            <v>370514</v>
          </cell>
          <cell r="C6452" t="str">
            <v>MEETING EXPENSE - TRAVEL</v>
          </cell>
        </row>
        <row r="6453">
          <cell r="A6453">
            <v>9681999</v>
          </cell>
          <cell r="B6453">
            <v>370514</v>
          </cell>
          <cell r="C6453" t="str">
            <v>MEETING EXPENSE - TRAVEL</v>
          </cell>
        </row>
        <row r="6454">
          <cell r="A6454">
            <v>9682715</v>
          </cell>
          <cell r="B6454">
            <v>370514</v>
          </cell>
          <cell r="C6454" t="str">
            <v>MEETING EXPENSE - TRAVEL</v>
          </cell>
        </row>
        <row r="6455">
          <cell r="A6455">
            <v>9682722</v>
          </cell>
          <cell r="B6455">
            <v>370514</v>
          </cell>
          <cell r="C6455" t="str">
            <v>MEETING EXPENSE - TRAVEL</v>
          </cell>
        </row>
        <row r="6456">
          <cell r="A6456">
            <v>9682999</v>
          </cell>
          <cell r="B6456">
            <v>370514</v>
          </cell>
          <cell r="C6456" t="str">
            <v>MEETING EXPENSE - TRAVEL</v>
          </cell>
        </row>
        <row r="6457">
          <cell r="A6457">
            <v>9683999</v>
          </cell>
          <cell r="B6457">
            <v>370514</v>
          </cell>
          <cell r="C6457" t="str">
            <v>MEETING EXPENSE - TRAVEL</v>
          </cell>
        </row>
        <row r="6458">
          <cell r="A6458">
            <v>9684999</v>
          </cell>
          <cell r="B6458">
            <v>370514</v>
          </cell>
          <cell r="C6458" t="str">
            <v>MEETING EXPENSE - TRAVEL</v>
          </cell>
        </row>
        <row r="6459">
          <cell r="A6459">
            <v>9685999</v>
          </cell>
          <cell r="B6459">
            <v>370514</v>
          </cell>
          <cell r="C6459" t="str">
            <v>MEETING EXPENSE - TRAVEL</v>
          </cell>
        </row>
        <row r="6460">
          <cell r="A6460">
            <v>9689692</v>
          </cell>
          <cell r="B6460">
            <v>370514</v>
          </cell>
          <cell r="C6460" t="str">
            <v>MEETING EXPENSE - TRAVEL</v>
          </cell>
        </row>
        <row r="6461">
          <cell r="A6461">
            <v>9689747</v>
          </cell>
          <cell r="B6461">
            <v>370514</v>
          </cell>
          <cell r="C6461" t="str">
            <v>MEETING EXPENSE - TRAVEL</v>
          </cell>
        </row>
        <row r="6462">
          <cell r="A6462">
            <v>9689883</v>
          </cell>
          <cell r="B6462">
            <v>370514</v>
          </cell>
          <cell r="C6462" t="str">
            <v>MEETING EXPENSE - TRAVEL</v>
          </cell>
        </row>
        <row r="6463">
          <cell r="A6463">
            <v>9689890</v>
          </cell>
          <cell r="B6463">
            <v>370514</v>
          </cell>
          <cell r="C6463" t="str">
            <v>MEETING EXPENSE - TRAVEL</v>
          </cell>
        </row>
        <row r="6464">
          <cell r="A6464">
            <v>9689906</v>
          </cell>
          <cell r="B6464">
            <v>370514</v>
          </cell>
          <cell r="C6464" t="str">
            <v>MEETING EXPENSE - TRAVEL</v>
          </cell>
        </row>
        <row r="6465">
          <cell r="A6465">
            <v>9689925</v>
          </cell>
          <cell r="B6465">
            <v>370514</v>
          </cell>
          <cell r="C6465" t="str">
            <v>MEETING EXPENSE - TRAVEL</v>
          </cell>
        </row>
        <row r="6466">
          <cell r="A6466">
            <v>9689990</v>
          </cell>
          <cell r="B6466">
            <v>370514</v>
          </cell>
          <cell r="C6466" t="str">
            <v>MEETING EXPENSE - TRAVEL</v>
          </cell>
        </row>
        <row r="6467">
          <cell r="A6467">
            <v>9689991</v>
          </cell>
          <cell r="B6467">
            <v>370514</v>
          </cell>
          <cell r="C6467" t="str">
            <v>MEETING EXPENSE - TRAVEL</v>
          </cell>
        </row>
        <row r="6468">
          <cell r="A6468">
            <v>9689992</v>
          </cell>
          <cell r="B6468">
            <v>370514</v>
          </cell>
          <cell r="C6468" t="str">
            <v>MEETING EXPENSE - TRAVEL</v>
          </cell>
        </row>
        <row r="6469">
          <cell r="A6469">
            <v>9689993</v>
          </cell>
          <cell r="B6469">
            <v>370514</v>
          </cell>
          <cell r="C6469" t="str">
            <v>MEETING EXPENSE - TRAVEL</v>
          </cell>
        </row>
        <row r="6470">
          <cell r="A6470">
            <v>9689994</v>
          </cell>
          <cell r="B6470">
            <v>370514</v>
          </cell>
          <cell r="C6470" t="str">
            <v>MEETING EXPENSE - TRAVEL</v>
          </cell>
        </row>
        <row r="6471">
          <cell r="A6471">
            <v>9969681</v>
          </cell>
          <cell r="B6471">
            <v>370514</v>
          </cell>
          <cell r="C6471" t="str">
            <v>MEETING EXPENSE - TRAVEL</v>
          </cell>
        </row>
        <row r="6472">
          <cell r="A6472">
            <v>9969901</v>
          </cell>
          <cell r="B6472">
            <v>370514</v>
          </cell>
          <cell r="C6472" t="str">
            <v>MEETING EXPENSE - TRAVEL</v>
          </cell>
        </row>
        <row r="6473">
          <cell r="A6473" t="str">
            <v>ZONE-0105-POST</v>
          </cell>
          <cell r="B6473">
            <v>370514</v>
          </cell>
          <cell r="C6473" t="str">
            <v>MEETING EXPENSE - TRAVEL</v>
          </cell>
        </row>
        <row r="6474">
          <cell r="A6474" t="str">
            <v>ZONE-0112-POST</v>
          </cell>
          <cell r="B6474">
            <v>370514</v>
          </cell>
          <cell r="C6474" t="str">
            <v>MEETING EXPENSE - TRAVEL</v>
          </cell>
        </row>
        <row r="6475">
          <cell r="A6475">
            <v>8001054179</v>
          </cell>
          <cell r="B6475">
            <v>370524</v>
          </cell>
          <cell r="C6475" t="str">
            <v>MEALS, ENTERTAINMENT  - BUSINESS</v>
          </cell>
        </row>
        <row r="6476">
          <cell r="A6476">
            <v>8001059542</v>
          </cell>
          <cell r="B6476">
            <v>370524</v>
          </cell>
          <cell r="C6476" t="str">
            <v>MEALS, ENTERTAINMENT  - BUSINESS</v>
          </cell>
        </row>
        <row r="6477">
          <cell r="A6477">
            <v>8010512510</v>
          </cell>
          <cell r="B6477">
            <v>370524</v>
          </cell>
          <cell r="C6477" t="str">
            <v>MEALS, ENTERTAINMENT  - BUSINESS</v>
          </cell>
        </row>
        <row r="6478">
          <cell r="A6478">
            <v>9080700</v>
          </cell>
          <cell r="B6478">
            <v>370524</v>
          </cell>
          <cell r="C6478" t="str">
            <v>MEALS, ENTERTAINMENT  - BUSINESS</v>
          </cell>
        </row>
        <row r="6479">
          <cell r="A6479">
            <v>9080701</v>
          </cell>
          <cell r="B6479">
            <v>370524</v>
          </cell>
          <cell r="C6479" t="str">
            <v>MEALS, ENTERTAINMENT  - BUSINESS</v>
          </cell>
        </row>
        <row r="6480">
          <cell r="A6480">
            <v>9080702</v>
          </cell>
          <cell r="B6480">
            <v>370524</v>
          </cell>
          <cell r="C6480" t="str">
            <v>MEALS, ENTERTAINMENT  - BUSINESS</v>
          </cell>
        </row>
        <row r="6481">
          <cell r="A6481">
            <v>9080705</v>
          </cell>
          <cell r="B6481">
            <v>370524</v>
          </cell>
          <cell r="C6481" t="str">
            <v>MEALS, ENTERTAINMENT  - BUSINESS</v>
          </cell>
        </row>
        <row r="6482">
          <cell r="A6482">
            <v>9080707</v>
          </cell>
          <cell r="B6482">
            <v>370524</v>
          </cell>
          <cell r="C6482" t="str">
            <v>MEALS, ENTERTAINMENT  - BUSINESS</v>
          </cell>
        </row>
        <row r="6483">
          <cell r="A6483">
            <v>9080710</v>
          </cell>
          <cell r="B6483">
            <v>370524</v>
          </cell>
          <cell r="C6483" t="str">
            <v>MEALS, ENTERTAINMENT  - BUSINESS</v>
          </cell>
        </row>
        <row r="6484">
          <cell r="A6484">
            <v>9090999</v>
          </cell>
          <cell r="B6484">
            <v>370524</v>
          </cell>
          <cell r="C6484" t="str">
            <v>MEALS, ENTERTAINMENT  - BUSINESS</v>
          </cell>
        </row>
        <row r="6485">
          <cell r="A6485">
            <v>9100999</v>
          </cell>
          <cell r="B6485">
            <v>370524</v>
          </cell>
          <cell r="C6485" t="str">
            <v>MEALS, ENTERTAINMENT  - BUSINESS</v>
          </cell>
        </row>
        <row r="6486">
          <cell r="A6486">
            <v>9110700</v>
          </cell>
          <cell r="B6486">
            <v>370524</v>
          </cell>
          <cell r="C6486" t="str">
            <v>MEALS, ENTERTAINMENT  - BUSINESS</v>
          </cell>
        </row>
        <row r="6487">
          <cell r="A6487">
            <v>9110702</v>
          </cell>
          <cell r="B6487">
            <v>370524</v>
          </cell>
          <cell r="C6487" t="str">
            <v>MEALS, ENTERTAINMENT  - BUSINESS</v>
          </cell>
        </row>
        <row r="6488">
          <cell r="A6488">
            <v>9110705</v>
          </cell>
          <cell r="B6488">
            <v>370524</v>
          </cell>
          <cell r="C6488" t="str">
            <v>MEALS, ENTERTAINMENT  - BUSINESS</v>
          </cell>
        </row>
        <row r="6489">
          <cell r="A6489">
            <v>9110707</v>
          </cell>
          <cell r="B6489">
            <v>370524</v>
          </cell>
          <cell r="C6489" t="str">
            <v>MEALS, ENTERTAINMENT  - BUSINESS</v>
          </cell>
        </row>
        <row r="6490">
          <cell r="A6490">
            <v>9680700</v>
          </cell>
          <cell r="B6490">
            <v>370524</v>
          </cell>
          <cell r="C6490" t="str">
            <v>MEALS, ENTERTAINMENT  - BUSINESS</v>
          </cell>
        </row>
        <row r="6491">
          <cell r="A6491">
            <v>9680701</v>
          </cell>
          <cell r="B6491">
            <v>370524</v>
          </cell>
          <cell r="C6491" t="str">
            <v>MEALS, ENTERTAINMENT  - BUSINESS</v>
          </cell>
        </row>
        <row r="6492">
          <cell r="A6492">
            <v>9680702</v>
          </cell>
          <cell r="B6492">
            <v>370524</v>
          </cell>
          <cell r="C6492" t="str">
            <v>MEALS, ENTERTAINMENT  - BUSINESS</v>
          </cell>
        </row>
        <row r="6493">
          <cell r="A6493">
            <v>9680705</v>
          </cell>
          <cell r="B6493">
            <v>370524</v>
          </cell>
          <cell r="C6493" t="str">
            <v>MEALS, ENTERTAINMENT  - BUSINESS</v>
          </cell>
        </row>
        <row r="6494">
          <cell r="A6494">
            <v>9680707</v>
          </cell>
          <cell r="B6494">
            <v>370524</v>
          </cell>
          <cell r="C6494" t="str">
            <v>MEALS, ENTERTAINMENT  - BUSINESS</v>
          </cell>
        </row>
        <row r="6495">
          <cell r="A6495">
            <v>9680710</v>
          </cell>
          <cell r="B6495">
            <v>370524</v>
          </cell>
          <cell r="C6495" t="str">
            <v>MEALS, ENTERTAINMENT  - BUSINESS</v>
          </cell>
        </row>
        <row r="6496">
          <cell r="A6496">
            <v>9680712</v>
          </cell>
          <cell r="B6496">
            <v>370524</v>
          </cell>
          <cell r="C6496" t="str">
            <v>MEALS, ENTERTAINMENT  - BUSINESS</v>
          </cell>
        </row>
        <row r="6497">
          <cell r="A6497">
            <v>9680714</v>
          </cell>
          <cell r="B6497">
            <v>370524</v>
          </cell>
          <cell r="C6497" t="str">
            <v>MEALS, ENTERTAINMENT  - BUSINESS</v>
          </cell>
        </row>
        <row r="6498">
          <cell r="A6498">
            <v>9680734</v>
          </cell>
          <cell r="B6498">
            <v>370524</v>
          </cell>
          <cell r="C6498" t="str">
            <v>MEALS, ENTERTAINMENT  - BUSINESS</v>
          </cell>
        </row>
        <row r="6499">
          <cell r="A6499">
            <v>9680748</v>
          </cell>
          <cell r="B6499">
            <v>370524</v>
          </cell>
          <cell r="C6499" t="str">
            <v>MEALS, ENTERTAINMENT  - BUSINESS</v>
          </cell>
        </row>
        <row r="6500">
          <cell r="A6500">
            <v>9680749</v>
          </cell>
          <cell r="B6500">
            <v>370524</v>
          </cell>
          <cell r="C6500" t="str">
            <v>MEALS, ENTERTAINMENT  - BUSINESS</v>
          </cell>
        </row>
        <row r="6501">
          <cell r="A6501">
            <v>9680894</v>
          </cell>
          <cell r="B6501">
            <v>370524</v>
          </cell>
          <cell r="C6501" t="str">
            <v>MEALS, ENTERTAINMENT  - BUSINESS</v>
          </cell>
        </row>
        <row r="6502">
          <cell r="A6502">
            <v>9680999</v>
          </cell>
          <cell r="B6502">
            <v>370524</v>
          </cell>
          <cell r="C6502" t="str">
            <v>MEALS, ENTERTAINMENT  - BUSINESS</v>
          </cell>
        </row>
        <row r="6503">
          <cell r="A6503">
            <v>9681700</v>
          </cell>
          <cell r="B6503">
            <v>370524</v>
          </cell>
          <cell r="C6503" t="str">
            <v>MEALS, ENTERTAINMENT  - BUSINESS</v>
          </cell>
        </row>
        <row r="6504">
          <cell r="A6504">
            <v>9681701</v>
          </cell>
          <cell r="B6504">
            <v>370524</v>
          </cell>
          <cell r="C6504" t="str">
            <v>MEALS, ENTERTAINMENT  - BUSINESS</v>
          </cell>
        </row>
        <row r="6505">
          <cell r="A6505">
            <v>9681702</v>
          </cell>
          <cell r="B6505">
            <v>370524</v>
          </cell>
          <cell r="C6505" t="str">
            <v>MEALS, ENTERTAINMENT  - BUSINESS</v>
          </cell>
        </row>
        <row r="6506">
          <cell r="A6506">
            <v>9681705</v>
          </cell>
          <cell r="B6506">
            <v>370524</v>
          </cell>
          <cell r="C6506" t="str">
            <v>MEALS, ENTERTAINMENT  - BUSINESS</v>
          </cell>
        </row>
        <row r="6507">
          <cell r="A6507">
            <v>9681706</v>
          </cell>
          <cell r="B6507">
            <v>370524</v>
          </cell>
          <cell r="C6507" t="str">
            <v>MEALS, ENTERTAINMENT  - BUSINESS</v>
          </cell>
        </row>
        <row r="6508">
          <cell r="A6508">
            <v>9681707</v>
          </cell>
          <cell r="B6508">
            <v>370524</v>
          </cell>
          <cell r="C6508" t="str">
            <v>MEALS, ENTERTAINMENT  - BUSINESS</v>
          </cell>
        </row>
        <row r="6509">
          <cell r="A6509">
            <v>9681710</v>
          </cell>
          <cell r="B6509">
            <v>370524</v>
          </cell>
          <cell r="C6509" t="str">
            <v>MEALS, ENTERTAINMENT  - BUSINESS</v>
          </cell>
        </row>
        <row r="6510">
          <cell r="A6510">
            <v>9681712</v>
          </cell>
          <cell r="B6510">
            <v>370524</v>
          </cell>
          <cell r="C6510" t="str">
            <v>MEALS, ENTERTAINMENT  - BUSINESS</v>
          </cell>
        </row>
        <row r="6511">
          <cell r="A6511">
            <v>9681727</v>
          </cell>
          <cell r="B6511">
            <v>370524</v>
          </cell>
          <cell r="C6511" t="str">
            <v>MEALS, ENTERTAINMENT  - BUSINESS</v>
          </cell>
        </row>
        <row r="6512">
          <cell r="A6512">
            <v>9681734</v>
          </cell>
          <cell r="B6512">
            <v>370524</v>
          </cell>
          <cell r="C6512" t="str">
            <v>MEALS, ENTERTAINMENT  - BUSINESS</v>
          </cell>
        </row>
        <row r="6513">
          <cell r="A6513">
            <v>9681748</v>
          </cell>
          <cell r="B6513">
            <v>370524</v>
          </cell>
          <cell r="C6513" t="str">
            <v>MEALS, ENTERTAINMENT  - BUSINESS</v>
          </cell>
        </row>
        <row r="6514">
          <cell r="A6514">
            <v>9681749</v>
          </cell>
          <cell r="B6514">
            <v>370524</v>
          </cell>
          <cell r="C6514" t="str">
            <v>MEALS, ENTERTAINMENT  - BUSINESS</v>
          </cell>
        </row>
        <row r="6515">
          <cell r="A6515">
            <v>9681894</v>
          </cell>
          <cell r="B6515">
            <v>370524</v>
          </cell>
          <cell r="C6515" t="str">
            <v>MEALS, ENTERTAINMENT  - BUSINESS</v>
          </cell>
        </row>
        <row r="6516">
          <cell r="A6516">
            <v>9681999</v>
          </cell>
          <cell r="B6516">
            <v>370524</v>
          </cell>
          <cell r="C6516" t="str">
            <v>MEALS, ENTERTAINMENT  - BUSINESS</v>
          </cell>
        </row>
        <row r="6517">
          <cell r="A6517">
            <v>9682715</v>
          </cell>
          <cell r="B6517">
            <v>370524</v>
          </cell>
          <cell r="C6517" t="str">
            <v>MEALS, ENTERTAINMENT  - BUSINESS</v>
          </cell>
        </row>
        <row r="6518">
          <cell r="A6518">
            <v>9682722</v>
          </cell>
          <cell r="B6518">
            <v>370524</v>
          </cell>
          <cell r="C6518" t="str">
            <v>MEALS, ENTERTAINMENT  - BUSINESS</v>
          </cell>
        </row>
        <row r="6519">
          <cell r="A6519">
            <v>9682999</v>
          </cell>
          <cell r="B6519">
            <v>370524</v>
          </cell>
          <cell r="C6519" t="str">
            <v>MEALS, ENTERTAINMENT  - BUSINESS</v>
          </cell>
        </row>
        <row r="6520">
          <cell r="A6520">
            <v>9683999</v>
          </cell>
          <cell r="B6520">
            <v>370524</v>
          </cell>
          <cell r="C6520" t="str">
            <v>MEALS, ENTERTAINMENT  - BUSINESS</v>
          </cell>
        </row>
        <row r="6521">
          <cell r="A6521">
            <v>9684999</v>
          </cell>
          <cell r="B6521">
            <v>370524</v>
          </cell>
          <cell r="C6521" t="str">
            <v>MEALS, ENTERTAINMENT  - BUSINESS</v>
          </cell>
        </row>
        <row r="6522">
          <cell r="A6522">
            <v>9689692</v>
          </cell>
          <cell r="B6522">
            <v>370524</v>
          </cell>
          <cell r="C6522" t="str">
            <v>MEALS, ENTERTAINMENT  - BUSINESS</v>
          </cell>
        </row>
        <row r="6523">
          <cell r="A6523">
            <v>9689747</v>
          </cell>
          <cell r="B6523">
            <v>370524</v>
          </cell>
          <cell r="C6523" t="str">
            <v>MEALS, ENTERTAINMENT  - BUSINESS</v>
          </cell>
        </row>
        <row r="6524">
          <cell r="A6524">
            <v>9689883</v>
          </cell>
          <cell r="B6524">
            <v>370524</v>
          </cell>
          <cell r="C6524" t="str">
            <v>MEALS, ENTERTAINMENT  - BUSINESS</v>
          </cell>
        </row>
        <row r="6525">
          <cell r="A6525">
            <v>9689890</v>
          </cell>
          <cell r="B6525">
            <v>370524</v>
          </cell>
          <cell r="C6525" t="str">
            <v>MEALS, ENTERTAINMENT  - BUSINESS</v>
          </cell>
        </row>
        <row r="6526">
          <cell r="A6526">
            <v>9689906</v>
          </cell>
          <cell r="B6526">
            <v>370524</v>
          </cell>
          <cell r="C6526" t="str">
            <v>MEALS, ENTERTAINMENT  - BUSINESS</v>
          </cell>
        </row>
        <row r="6527">
          <cell r="A6527">
            <v>9689925</v>
          </cell>
          <cell r="B6527">
            <v>370524</v>
          </cell>
          <cell r="C6527" t="str">
            <v>MEALS, ENTERTAINMENT  - BUSINESS</v>
          </cell>
        </row>
        <row r="6528">
          <cell r="A6528">
            <v>9689990</v>
          </cell>
          <cell r="B6528">
            <v>370524</v>
          </cell>
          <cell r="C6528" t="str">
            <v>MEALS, ENTERTAINMENT  - BUSINESS</v>
          </cell>
        </row>
        <row r="6529">
          <cell r="A6529">
            <v>9689991</v>
          </cell>
          <cell r="B6529">
            <v>370524</v>
          </cell>
          <cell r="C6529" t="str">
            <v>MEALS, ENTERTAINMENT  - BUSINESS</v>
          </cell>
        </row>
        <row r="6530">
          <cell r="A6530">
            <v>9689992</v>
          </cell>
          <cell r="B6530">
            <v>370524</v>
          </cell>
          <cell r="C6530" t="str">
            <v>MEALS, ENTERTAINMENT  - BUSINESS</v>
          </cell>
        </row>
        <row r="6531">
          <cell r="A6531">
            <v>9689993</v>
          </cell>
          <cell r="B6531">
            <v>370524</v>
          </cell>
          <cell r="C6531" t="str">
            <v>MEALS, ENTERTAINMENT  - BUSINESS</v>
          </cell>
        </row>
        <row r="6532">
          <cell r="A6532">
            <v>9689994</v>
          </cell>
          <cell r="B6532">
            <v>370524</v>
          </cell>
          <cell r="C6532" t="str">
            <v>MEALS, ENTERTAINMENT  - BUSINESS</v>
          </cell>
        </row>
        <row r="6533">
          <cell r="A6533">
            <v>9969681</v>
          </cell>
          <cell r="B6533">
            <v>370524</v>
          </cell>
          <cell r="C6533" t="str">
            <v>MEALS, ENTERTAINMENT  - BUSINESS</v>
          </cell>
        </row>
        <row r="6534">
          <cell r="A6534">
            <v>9969901</v>
          </cell>
          <cell r="B6534">
            <v>370524</v>
          </cell>
          <cell r="C6534" t="str">
            <v>MEALS, ENTERTAINMENT  - BUSINESS</v>
          </cell>
        </row>
        <row r="6535">
          <cell r="A6535" t="str">
            <v>ZONE-0105-POST</v>
          </cell>
          <cell r="B6535">
            <v>370524</v>
          </cell>
          <cell r="C6535" t="str">
            <v>MEALS, ENTERTAINMENT  - BUSINESS</v>
          </cell>
        </row>
        <row r="6536">
          <cell r="A6536" t="str">
            <v>ZONE-0112-POST</v>
          </cell>
          <cell r="B6536">
            <v>370524</v>
          </cell>
          <cell r="C6536" t="str">
            <v>MEALS, ENTERTAINMENT  - BUSINESS</v>
          </cell>
        </row>
        <row r="6537">
          <cell r="A6537">
            <v>8001054179</v>
          </cell>
          <cell r="B6537">
            <v>371123</v>
          </cell>
          <cell r="C6537" t="str">
            <v>MISC. OTHER INCOME</v>
          </cell>
        </row>
        <row r="6538">
          <cell r="A6538">
            <v>8001059542</v>
          </cell>
          <cell r="B6538">
            <v>371123</v>
          </cell>
          <cell r="C6538" t="str">
            <v>MISC. OTHER INCOME</v>
          </cell>
        </row>
        <row r="6539">
          <cell r="A6539">
            <v>8010512510</v>
          </cell>
          <cell r="B6539">
            <v>371123</v>
          </cell>
          <cell r="C6539" t="str">
            <v>MISC. OTHER INCOME</v>
          </cell>
        </row>
        <row r="6540">
          <cell r="A6540">
            <v>9080700</v>
          </cell>
          <cell r="B6540">
            <v>371123</v>
          </cell>
          <cell r="C6540" t="str">
            <v>MISC. OTHER INCOME</v>
          </cell>
        </row>
        <row r="6541">
          <cell r="A6541">
            <v>9080701</v>
          </cell>
          <cell r="B6541">
            <v>371123</v>
          </cell>
          <cell r="C6541" t="str">
            <v>MISC. OTHER INCOME</v>
          </cell>
        </row>
        <row r="6542">
          <cell r="A6542">
            <v>9080702</v>
          </cell>
          <cell r="B6542">
            <v>371123</v>
          </cell>
          <cell r="C6542" t="str">
            <v>MISC. OTHER INCOME</v>
          </cell>
        </row>
        <row r="6543">
          <cell r="A6543">
            <v>9080705</v>
          </cell>
          <cell r="B6543">
            <v>371123</v>
          </cell>
          <cell r="C6543" t="str">
            <v>MISC. OTHER INCOME</v>
          </cell>
        </row>
        <row r="6544">
          <cell r="A6544">
            <v>9080707</v>
          </cell>
          <cell r="B6544">
            <v>371123</v>
          </cell>
          <cell r="C6544" t="str">
            <v>MISC. OTHER INCOME</v>
          </cell>
        </row>
        <row r="6545">
          <cell r="A6545">
            <v>9080710</v>
          </cell>
          <cell r="B6545">
            <v>371123</v>
          </cell>
          <cell r="C6545" t="str">
            <v>MISC. OTHER INCOME</v>
          </cell>
        </row>
        <row r="6546">
          <cell r="A6546">
            <v>9090999</v>
          </cell>
          <cell r="B6546">
            <v>371123</v>
          </cell>
          <cell r="C6546" t="str">
            <v>MISC. OTHER INCOME</v>
          </cell>
        </row>
        <row r="6547">
          <cell r="A6547">
            <v>9100999</v>
          </cell>
          <cell r="B6547">
            <v>371123</v>
          </cell>
          <cell r="C6547" t="str">
            <v>MISC. OTHER INCOME</v>
          </cell>
        </row>
        <row r="6548">
          <cell r="A6548">
            <v>9110700</v>
          </cell>
          <cell r="B6548">
            <v>371123</v>
          </cell>
          <cell r="C6548" t="str">
            <v>MISC. OTHER INCOME</v>
          </cell>
        </row>
        <row r="6549">
          <cell r="A6549">
            <v>9110702</v>
          </cell>
          <cell r="B6549">
            <v>371123</v>
          </cell>
          <cell r="C6549" t="str">
            <v>MISC. OTHER INCOME</v>
          </cell>
        </row>
        <row r="6550">
          <cell r="A6550">
            <v>9110705</v>
          </cell>
          <cell r="B6550">
            <v>371123</v>
          </cell>
          <cell r="C6550" t="str">
            <v>MISC. OTHER INCOME</v>
          </cell>
        </row>
        <row r="6551">
          <cell r="A6551">
            <v>9110707</v>
          </cell>
          <cell r="B6551">
            <v>371123</v>
          </cell>
          <cell r="C6551" t="str">
            <v>MISC. OTHER INCOME</v>
          </cell>
        </row>
        <row r="6552">
          <cell r="A6552">
            <v>9681700</v>
          </cell>
          <cell r="B6552">
            <v>371123</v>
          </cell>
          <cell r="C6552" t="str">
            <v>MISC. OTHER INCOME</v>
          </cell>
        </row>
        <row r="6553">
          <cell r="A6553">
            <v>9681701</v>
          </cell>
          <cell r="B6553">
            <v>371123</v>
          </cell>
          <cell r="C6553" t="str">
            <v>MISC. OTHER INCOME</v>
          </cell>
        </row>
        <row r="6554">
          <cell r="A6554">
            <v>9681702</v>
          </cell>
          <cell r="B6554">
            <v>371123</v>
          </cell>
          <cell r="C6554" t="str">
            <v>MISC. OTHER INCOME</v>
          </cell>
        </row>
        <row r="6555">
          <cell r="A6555">
            <v>9681705</v>
          </cell>
          <cell r="B6555">
            <v>371123</v>
          </cell>
          <cell r="C6555" t="str">
            <v>MISC. OTHER INCOME</v>
          </cell>
        </row>
        <row r="6556">
          <cell r="A6556">
            <v>9681706</v>
          </cell>
          <cell r="B6556">
            <v>371123</v>
          </cell>
          <cell r="C6556" t="str">
            <v>MISC. OTHER INCOME</v>
          </cell>
        </row>
        <row r="6557">
          <cell r="A6557">
            <v>9681707</v>
          </cell>
          <cell r="B6557">
            <v>371123</v>
          </cell>
          <cell r="C6557" t="str">
            <v>MISC. OTHER INCOME</v>
          </cell>
        </row>
        <row r="6558">
          <cell r="A6558">
            <v>9681710</v>
          </cell>
          <cell r="B6558">
            <v>371123</v>
          </cell>
          <cell r="C6558" t="str">
            <v>MISC. OTHER INCOME</v>
          </cell>
        </row>
        <row r="6559">
          <cell r="A6559">
            <v>9681712</v>
          </cell>
          <cell r="B6559">
            <v>371123</v>
          </cell>
          <cell r="C6559" t="str">
            <v>MISC. OTHER INCOME</v>
          </cell>
        </row>
        <row r="6560">
          <cell r="A6560">
            <v>9681727</v>
          </cell>
          <cell r="B6560">
            <v>371123</v>
          </cell>
          <cell r="C6560" t="str">
            <v>MISC. OTHER INCOME</v>
          </cell>
        </row>
        <row r="6561">
          <cell r="A6561">
            <v>9681749</v>
          </cell>
          <cell r="B6561">
            <v>371123</v>
          </cell>
          <cell r="C6561" t="str">
            <v>MISC. OTHER INCOME</v>
          </cell>
        </row>
        <row r="6562">
          <cell r="A6562">
            <v>9681999</v>
          </cell>
          <cell r="B6562">
            <v>371123</v>
          </cell>
          <cell r="C6562" t="str">
            <v>MISC. OTHER INCOME</v>
          </cell>
        </row>
        <row r="6563">
          <cell r="A6563">
            <v>9689883</v>
          </cell>
          <cell r="B6563">
            <v>371123</v>
          </cell>
          <cell r="C6563" t="str">
            <v>MISC. OTHER INCOME</v>
          </cell>
        </row>
        <row r="6564">
          <cell r="A6564">
            <v>9689906</v>
          </cell>
          <cell r="B6564">
            <v>371123</v>
          </cell>
          <cell r="C6564" t="str">
            <v>MISC. OTHER INCOME</v>
          </cell>
        </row>
        <row r="6565">
          <cell r="A6565">
            <v>9689992</v>
          </cell>
          <cell r="B6565">
            <v>371123</v>
          </cell>
          <cell r="C6565" t="str">
            <v>MISC. OTHER INCOME</v>
          </cell>
        </row>
        <row r="6566">
          <cell r="A6566">
            <v>9722709</v>
          </cell>
          <cell r="B6566">
            <v>371123</v>
          </cell>
          <cell r="C6566" t="str">
            <v>MISC. OTHER INCOME</v>
          </cell>
        </row>
        <row r="6567">
          <cell r="A6567">
            <v>9722713</v>
          </cell>
          <cell r="B6567">
            <v>371123</v>
          </cell>
          <cell r="C6567" t="str">
            <v>MISC. OTHER INCOME</v>
          </cell>
        </row>
        <row r="6568">
          <cell r="A6568">
            <v>9723729</v>
          </cell>
          <cell r="B6568">
            <v>371123</v>
          </cell>
          <cell r="C6568" t="str">
            <v>MISC. OTHER INCOME</v>
          </cell>
        </row>
        <row r="6569">
          <cell r="A6569">
            <v>9968681</v>
          </cell>
          <cell r="B6569">
            <v>371123</v>
          </cell>
          <cell r="C6569" t="str">
            <v>MISC. OTHER INCOME</v>
          </cell>
        </row>
        <row r="6570">
          <cell r="A6570">
            <v>9969681</v>
          </cell>
          <cell r="B6570">
            <v>371123</v>
          </cell>
          <cell r="C6570" t="str">
            <v>MISC. OTHER INCOME</v>
          </cell>
        </row>
        <row r="6571">
          <cell r="A6571">
            <v>9969901</v>
          </cell>
          <cell r="B6571">
            <v>371123</v>
          </cell>
          <cell r="C6571" t="str">
            <v>MISC. OTHER INCOME</v>
          </cell>
        </row>
        <row r="6572">
          <cell r="A6572" t="str">
            <v>ZONE-0105-POST</v>
          </cell>
          <cell r="B6572">
            <v>371123</v>
          </cell>
          <cell r="C6572" t="str">
            <v>MISC. OTHER INCOME</v>
          </cell>
        </row>
        <row r="6573">
          <cell r="A6573" t="str">
            <v>ZONE-0112-POST</v>
          </cell>
          <cell r="B6573">
            <v>371123</v>
          </cell>
          <cell r="C6573" t="str">
            <v>MISC. OTHER INCOME</v>
          </cell>
        </row>
        <row r="6574">
          <cell r="A6574">
            <v>9090710</v>
          </cell>
          <cell r="B6574">
            <v>371140</v>
          </cell>
          <cell r="C6574" t="str">
            <v>ASP TRANSACTIONAL REVENUE</v>
          </cell>
        </row>
        <row r="6575">
          <cell r="A6575">
            <v>9100710</v>
          </cell>
          <cell r="B6575">
            <v>371140</v>
          </cell>
          <cell r="C6575" t="str">
            <v>ASP TRANSACTIONAL REVENUE</v>
          </cell>
        </row>
        <row r="6576">
          <cell r="A6576">
            <v>9090710</v>
          </cell>
          <cell r="B6576">
            <v>371141</v>
          </cell>
          <cell r="C6576" t="str">
            <v>LICENSE REVENUE</v>
          </cell>
        </row>
        <row r="6577">
          <cell r="A6577">
            <v>9100710</v>
          </cell>
          <cell r="B6577">
            <v>371141</v>
          </cell>
          <cell r="C6577" t="str">
            <v>LICENSE REVENUE</v>
          </cell>
        </row>
        <row r="6578">
          <cell r="A6578">
            <v>9090710</v>
          </cell>
          <cell r="B6578">
            <v>371142</v>
          </cell>
          <cell r="C6578" t="str">
            <v>USAGE FEE REVENUE</v>
          </cell>
        </row>
        <row r="6579">
          <cell r="A6579">
            <v>9100710</v>
          </cell>
          <cell r="B6579">
            <v>371142</v>
          </cell>
          <cell r="C6579" t="str">
            <v>USAGE FEE REVENUE</v>
          </cell>
        </row>
        <row r="6580">
          <cell r="A6580">
            <v>9080700</v>
          </cell>
          <cell r="B6580">
            <v>371660</v>
          </cell>
          <cell r="C6580" t="str">
            <v>CUSTOMER COMPLAINTS</v>
          </cell>
        </row>
        <row r="6581">
          <cell r="A6581">
            <v>9080701</v>
          </cell>
          <cell r="B6581">
            <v>371660</v>
          </cell>
          <cell r="C6581" t="str">
            <v>CUSTOMER COMPLAINTS</v>
          </cell>
        </row>
        <row r="6582">
          <cell r="A6582">
            <v>9080702</v>
          </cell>
          <cell r="B6582">
            <v>371660</v>
          </cell>
          <cell r="C6582" t="str">
            <v>CUSTOMER COMPLAINTS</v>
          </cell>
        </row>
        <row r="6583">
          <cell r="A6583">
            <v>9080705</v>
          </cell>
          <cell r="B6583">
            <v>371660</v>
          </cell>
          <cell r="C6583" t="str">
            <v>CUSTOMER COMPLAINTS</v>
          </cell>
        </row>
        <row r="6584">
          <cell r="A6584">
            <v>9080707</v>
          </cell>
          <cell r="B6584">
            <v>371660</v>
          </cell>
          <cell r="C6584" t="str">
            <v>CUSTOMER COMPLAINTS</v>
          </cell>
        </row>
        <row r="6585">
          <cell r="A6585">
            <v>9080710</v>
          </cell>
          <cell r="B6585">
            <v>371660</v>
          </cell>
          <cell r="C6585" t="str">
            <v>CUSTOMER COMPLAINTS</v>
          </cell>
        </row>
        <row r="6586">
          <cell r="A6586">
            <v>9090999</v>
          </cell>
          <cell r="B6586">
            <v>371660</v>
          </cell>
          <cell r="C6586" t="str">
            <v>CUSTOMER COMPLAINTS</v>
          </cell>
        </row>
        <row r="6587">
          <cell r="A6587">
            <v>9100999</v>
          </cell>
          <cell r="B6587">
            <v>371660</v>
          </cell>
          <cell r="C6587" t="str">
            <v>CUSTOMER COMPLAINTS</v>
          </cell>
        </row>
        <row r="6588">
          <cell r="A6588">
            <v>9110700</v>
          </cell>
          <cell r="B6588">
            <v>371660</v>
          </cell>
          <cell r="C6588" t="str">
            <v>CUSTOMER COMPLAINTS</v>
          </cell>
        </row>
        <row r="6589">
          <cell r="A6589">
            <v>9110702</v>
          </cell>
          <cell r="B6589">
            <v>371660</v>
          </cell>
          <cell r="C6589" t="str">
            <v>CUSTOMER COMPLAINTS</v>
          </cell>
        </row>
        <row r="6590">
          <cell r="A6590">
            <v>9110705</v>
          </cell>
          <cell r="B6590">
            <v>371660</v>
          </cell>
          <cell r="C6590" t="str">
            <v>CUSTOMER COMPLAINTS</v>
          </cell>
        </row>
        <row r="6591">
          <cell r="A6591">
            <v>9110707</v>
          </cell>
          <cell r="B6591">
            <v>371660</v>
          </cell>
          <cell r="C6591" t="str">
            <v>CUSTOMER COMPLAINTS</v>
          </cell>
        </row>
        <row r="6592">
          <cell r="A6592">
            <v>9680999</v>
          </cell>
          <cell r="B6592">
            <v>371660</v>
          </cell>
          <cell r="C6592" t="str">
            <v>CUSTOMER COMPLAINTS</v>
          </cell>
        </row>
        <row r="6593">
          <cell r="A6593">
            <v>9681700</v>
          </cell>
          <cell r="B6593">
            <v>371660</v>
          </cell>
          <cell r="C6593" t="str">
            <v>CUSTOMER COMPLAINTS</v>
          </cell>
        </row>
        <row r="6594">
          <cell r="A6594">
            <v>9681701</v>
          </cell>
          <cell r="B6594">
            <v>371660</v>
          </cell>
          <cell r="C6594" t="str">
            <v>CUSTOMER COMPLAINTS</v>
          </cell>
        </row>
        <row r="6595">
          <cell r="A6595">
            <v>9681702</v>
          </cell>
          <cell r="B6595">
            <v>371660</v>
          </cell>
          <cell r="C6595" t="str">
            <v>CUSTOMER COMPLAINTS</v>
          </cell>
        </row>
        <row r="6596">
          <cell r="A6596">
            <v>9681705</v>
          </cell>
          <cell r="B6596">
            <v>371660</v>
          </cell>
          <cell r="C6596" t="str">
            <v>CUSTOMER COMPLAINTS</v>
          </cell>
        </row>
        <row r="6597">
          <cell r="A6597">
            <v>9681706</v>
          </cell>
          <cell r="B6597">
            <v>371660</v>
          </cell>
          <cell r="C6597" t="str">
            <v>CUSTOMER COMPLAINTS</v>
          </cell>
        </row>
        <row r="6598">
          <cell r="A6598">
            <v>9681707</v>
          </cell>
          <cell r="B6598">
            <v>371660</v>
          </cell>
          <cell r="C6598" t="str">
            <v>CUSTOMER COMPLAINTS</v>
          </cell>
        </row>
        <row r="6599">
          <cell r="A6599">
            <v>9681712</v>
          </cell>
          <cell r="B6599">
            <v>371660</v>
          </cell>
          <cell r="C6599" t="str">
            <v>CUSTOMER COMPLAINTS</v>
          </cell>
        </row>
        <row r="6600">
          <cell r="A6600">
            <v>9681727</v>
          </cell>
          <cell r="B6600">
            <v>371660</v>
          </cell>
          <cell r="C6600" t="str">
            <v>CUSTOMER COMPLAINTS</v>
          </cell>
        </row>
        <row r="6601">
          <cell r="A6601">
            <v>9681749</v>
          </cell>
          <cell r="B6601">
            <v>371660</v>
          </cell>
          <cell r="C6601" t="str">
            <v>CUSTOMER COMPLAINTS</v>
          </cell>
        </row>
        <row r="6602">
          <cell r="A6602">
            <v>9681999</v>
          </cell>
          <cell r="B6602">
            <v>371660</v>
          </cell>
          <cell r="C6602" t="str">
            <v>CUSTOMER COMPLAINTS</v>
          </cell>
        </row>
        <row r="6603">
          <cell r="A6603">
            <v>9682715</v>
          </cell>
          <cell r="B6603">
            <v>371660</v>
          </cell>
          <cell r="C6603" t="str">
            <v>CUSTOMER COMPLAINTS</v>
          </cell>
        </row>
        <row r="6604">
          <cell r="A6604">
            <v>9720703</v>
          </cell>
          <cell r="B6604">
            <v>371889</v>
          </cell>
          <cell r="C6604" t="str">
            <v>AUTOMATIC TELLER MACHINES</v>
          </cell>
        </row>
        <row r="6605">
          <cell r="A6605">
            <v>9724718</v>
          </cell>
          <cell r="B6605">
            <v>371889</v>
          </cell>
          <cell r="C6605" t="str">
            <v>AUTOMATIC TELLER MACHINES</v>
          </cell>
        </row>
        <row r="6606">
          <cell r="A6606">
            <v>9724721</v>
          </cell>
          <cell r="B6606">
            <v>371889</v>
          </cell>
          <cell r="C6606" t="str">
            <v>AUTOMATIC TELLER MACHINES</v>
          </cell>
        </row>
        <row r="6607">
          <cell r="A6607">
            <v>9724724</v>
          </cell>
          <cell r="B6607">
            <v>371889</v>
          </cell>
          <cell r="C6607" t="str">
            <v>AUTOMATIC TELLER MACHINES</v>
          </cell>
        </row>
        <row r="6608">
          <cell r="A6608">
            <v>9725703</v>
          </cell>
          <cell r="B6608">
            <v>371889</v>
          </cell>
          <cell r="C6608" t="str">
            <v>AUTOMATIC TELLER MACHINES</v>
          </cell>
        </row>
        <row r="6609">
          <cell r="A6609">
            <v>9725704</v>
          </cell>
          <cell r="B6609">
            <v>371889</v>
          </cell>
          <cell r="C6609" t="str">
            <v>AUTOMATIC TELLER MACHINES</v>
          </cell>
        </row>
        <row r="6610">
          <cell r="A6610">
            <v>9725717</v>
          </cell>
          <cell r="B6610">
            <v>371889</v>
          </cell>
          <cell r="C6610" t="str">
            <v>AUTOMATIC TELLER MACHINES</v>
          </cell>
        </row>
        <row r="6611">
          <cell r="A6611">
            <v>9725725</v>
          </cell>
          <cell r="B6611">
            <v>371889</v>
          </cell>
          <cell r="C6611" t="str">
            <v>AUTOMATIC TELLER MACHINES</v>
          </cell>
        </row>
        <row r="6612">
          <cell r="A6612">
            <v>9080700</v>
          </cell>
          <cell r="B6612">
            <v>380101</v>
          </cell>
          <cell r="C6612" t="str">
            <v>STORE MARGIN PROGRAMS EXPENSE</v>
          </cell>
        </row>
        <row r="6613">
          <cell r="A6613">
            <v>9080701</v>
          </cell>
          <cell r="B6613">
            <v>380101</v>
          </cell>
          <cell r="C6613" t="str">
            <v>STORE MARGIN PROGRAMS EXPENSE</v>
          </cell>
        </row>
        <row r="6614">
          <cell r="A6614">
            <v>9080702</v>
          </cell>
          <cell r="B6614">
            <v>380101</v>
          </cell>
          <cell r="C6614" t="str">
            <v>STORE MARGIN PROGRAMS EXPENSE</v>
          </cell>
        </row>
        <row r="6615">
          <cell r="A6615">
            <v>9080705</v>
          </cell>
          <cell r="B6615">
            <v>380101</v>
          </cell>
          <cell r="C6615" t="str">
            <v>STORE MARGIN PROGRAMS EXPENSE</v>
          </cell>
        </row>
        <row r="6616">
          <cell r="A6616">
            <v>9080707</v>
          </cell>
          <cell r="B6616">
            <v>380101</v>
          </cell>
          <cell r="C6616" t="str">
            <v>STORE MARGIN PROGRAMS EXPENSE</v>
          </cell>
        </row>
        <row r="6617">
          <cell r="A6617">
            <v>9080710</v>
          </cell>
          <cell r="B6617">
            <v>380101</v>
          </cell>
          <cell r="C6617" t="str">
            <v>STORE MARGIN PROGRAMS EXPENSE</v>
          </cell>
        </row>
        <row r="6618">
          <cell r="A6618">
            <v>9090999</v>
          </cell>
          <cell r="B6618">
            <v>380101</v>
          </cell>
          <cell r="C6618" t="str">
            <v>STORE MARGIN PROGRAMS EXPENSE</v>
          </cell>
        </row>
        <row r="6619">
          <cell r="A6619">
            <v>9100999</v>
          </cell>
          <cell r="B6619">
            <v>380101</v>
          </cell>
          <cell r="C6619" t="str">
            <v>STORE MARGIN PROGRAMS EXPENSE</v>
          </cell>
        </row>
        <row r="6620">
          <cell r="A6620">
            <v>9110700</v>
          </cell>
          <cell r="B6620">
            <v>380101</v>
          </cell>
          <cell r="C6620" t="str">
            <v>STORE MARGIN PROGRAMS EXPENSE</v>
          </cell>
        </row>
        <row r="6621">
          <cell r="A6621">
            <v>9110702</v>
          </cell>
          <cell r="B6621">
            <v>380101</v>
          </cell>
          <cell r="C6621" t="str">
            <v>STORE MARGIN PROGRAMS EXPENSE</v>
          </cell>
        </row>
        <row r="6622">
          <cell r="A6622">
            <v>9110705</v>
          </cell>
          <cell r="B6622">
            <v>380101</v>
          </cell>
          <cell r="C6622" t="str">
            <v>STORE MARGIN PROGRAMS EXPENSE</v>
          </cell>
        </row>
        <row r="6623">
          <cell r="A6623">
            <v>9110707</v>
          </cell>
          <cell r="B6623">
            <v>380101</v>
          </cell>
          <cell r="C6623" t="str">
            <v>STORE MARGIN PROGRAMS EXPENSE</v>
          </cell>
        </row>
        <row r="6624">
          <cell r="A6624">
            <v>9680700</v>
          </cell>
          <cell r="B6624">
            <v>380101</v>
          </cell>
          <cell r="C6624" t="str">
            <v>STORE MARGIN PROGRAMS EXPENSE</v>
          </cell>
        </row>
        <row r="6625">
          <cell r="A6625">
            <v>9680701</v>
          </cell>
          <cell r="B6625">
            <v>380101</v>
          </cell>
          <cell r="C6625" t="str">
            <v>STORE MARGIN PROGRAMS EXPENSE</v>
          </cell>
        </row>
        <row r="6626">
          <cell r="A6626">
            <v>9680702</v>
          </cell>
          <cell r="B6626">
            <v>380101</v>
          </cell>
          <cell r="C6626" t="str">
            <v>STORE MARGIN PROGRAMS EXPENSE</v>
          </cell>
        </row>
        <row r="6627">
          <cell r="A6627">
            <v>9680705</v>
          </cell>
          <cell r="B6627">
            <v>380101</v>
          </cell>
          <cell r="C6627" t="str">
            <v>STORE MARGIN PROGRAMS EXPENSE</v>
          </cell>
        </row>
        <row r="6628">
          <cell r="A6628">
            <v>9680707</v>
          </cell>
          <cell r="B6628">
            <v>380101</v>
          </cell>
          <cell r="C6628" t="str">
            <v>STORE MARGIN PROGRAMS EXPENSE</v>
          </cell>
        </row>
        <row r="6629">
          <cell r="A6629">
            <v>9680710</v>
          </cell>
          <cell r="B6629">
            <v>380101</v>
          </cell>
          <cell r="C6629" t="str">
            <v>STORE MARGIN PROGRAMS EXPENSE</v>
          </cell>
        </row>
        <row r="6630">
          <cell r="A6630">
            <v>9680712</v>
          </cell>
          <cell r="B6630">
            <v>380101</v>
          </cell>
          <cell r="C6630" t="str">
            <v>STORE MARGIN PROGRAMS EXPENSE</v>
          </cell>
        </row>
        <row r="6631">
          <cell r="A6631">
            <v>9680714</v>
          </cell>
          <cell r="B6631">
            <v>380101</v>
          </cell>
          <cell r="C6631" t="str">
            <v>STORE MARGIN PROGRAMS EXPENSE</v>
          </cell>
        </row>
        <row r="6632">
          <cell r="A6632">
            <v>9680734</v>
          </cell>
          <cell r="B6632">
            <v>380101</v>
          </cell>
          <cell r="C6632" t="str">
            <v>STORE MARGIN PROGRAMS EXPENSE</v>
          </cell>
        </row>
        <row r="6633">
          <cell r="A6633">
            <v>9680748</v>
          </cell>
          <cell r="B6633">
            <v>380101</v>
          </cell>
          <cell r="C6633" t="str">
            <v>STORE MARGIN PROGRAMS EXPENSE</v>
          </cell>
        </row>
        <row r="6634">
          <cell r="A6634">
            <v>9680749</v>
          </cell>
          <cell r="B6634">
            <v>380101</v>
          </cell>
          <cell r="C6634" t="str">
            <v>STORE MARGIN PROGRAMS EXPENSE</v>
          </cell>
        </row>
        <row r="6635">
          <cell r="A6635">
            <v>9680894</v>
          </cell>
          <cell r="B6635">
            <v>380101</v>
          </cell>
          <cell r="C6635" t="str">
            <v>STORE MARGIN PROGRAMS EXPENSE</v>
          </cell>
        </row>
        <row r="6636">
          <cell r="A6636">
            <v>9680999</v>
          </cell>
          <cell r="B6636">
            <v>380101</v>
          </cell>
          <cell r="C6636" t="str">
            <v>STORE MARGIN PROGRAMS EXPENSE</v>
          </cell>
        </row>
        <row r="6637">
          <cell r="A6637">
            <v>9681700</v>
          </cell>
          <cell r="B6637">
            <v>380101</v>
          </cell>
          <cell r="C6637" t="str">
            <v>STORE MARGIN PROGRAMS EXPENSE</v>
          </cell>
        </row>
        <row r="6638">
          <cell r="A6638">
            <v>9681701</v>
          </cell>
          <cell r="B6638">
            <v>380101</v>
          </cell>
          <cell r="C6638" t="str">
            <v>STORE MARGIN PROGRAMS EXPENSE</v>
          </cell>
        </row>
        <row r="6639">
          <cell r="A6639">
            <v>9681702</v>
          </cell>
          <cell r="B6639">
            <v>380101</v>
          </cell>
          <cell r="C6639" t="str">
            <v>STORE MARGIN PROGRAMS EXPENSE</v>
          </cell>
        </row>
        <row r="6640">
          <cell r="A6640">
            <v>9681705</v>
          </cell>
          <cell r="B6640">
            <v>380101</v>
          </cell>
          <cell r="C6640" t="str">
            <v>STORE MARGIN PROGRAMS EXPENSE</v>
          </cell>
        </row>
        <row r="6641">
          <cell r="A6641">
            <v>9681706</v>
          </cell>
          <cell r="B6641">
            <v>380101</v>
          </cell>
          <cell r="C6641" t="str">
            <v>STORE MARGIN PROGRAMS EXPENSE</v>
          </cell>
        </row>
        <row r="6642">
          <cell r="A6642">
            <v>9681707</v>
          </cell>
          <cell r="B6642">
            <v>380101</v>
          </cell>
          <cell r="C6642" t="str">
            <v>STORE MARGIN PROGRAMS EXPENSE</v>
          </cell>
        </row>
        <row r="6643">
          <cell r="A6643">
            <v>9681710</v>
          </cell>
          <cell r="B6643">
            <v>380101</v>
          </cell>
          <cell r="C6643" t="str">
            <v>STORE MARGIN PROGRAMS EXPENSE</v>
          </cell>
        </row>
        <row r="6644">
          <cell r="A6644">
            <v>9681712</v>
          </cell>
          <cell r="B6644">
            <v>380101</v>
          </cell>
          <cell r="C6644" t="str">
            <v>STORE MARGIN PROGRAMS EXPENSE</v>
          </cell>
        </row>
        <row r="6645">
          <cell r="A6645">
            <v>9681727</v>
          </cell>
          <cell r="B6645">
            <v>380101</v>
          </cell>
          <cell r="C6645" t="str">
            <v>STORE MARGIN PROGRAMS EXPENSE</v>
          </cell>
        </row>
        <row r="6646">
          <cell r="A6646">
            <v>9681734</v>
          </cell>
          <cell r="B6646">
            <v>380101</v>
          </cell>
          <cell r="C6646" t="str">
            <v>STORE MARGIN PROGRAMS EXPENSE</v>
          </cell>
        </row>
        <row r="6647">
          <cell r="A6647">
            <v>9681748</v>
          </cell>
          <cell r="B6647">
            <v>380101</v>
          </cell>
          <cell r="C6647" t="str">
            <v>STORE MARGIN PROGRAMS EXPENSE</v>
          </cell>
        </row>
        <row r="6648">
          <cell r="A6648">
            <v>9681749</v>
          </cell>
          <cell r="B6648">
            <v>380101</v>
          </cell>
          <cell r="C6648" t="str">
            <v>STORE MARGIN PROGRAMS EXPENSE</v>
          </cell>
        </row>
        <row r="6649">
          <cell r="A6649">
            <v>9681894</v>
          </cell>
          <cell r="B6649">
            <v>380101</v>
          </cell>
          <cell r="C6649" t="str">
            <v>STORE MARGIN PROGRAMS EXPENSE</v>
          </cell>
        </row>
        <row r="6650">
          <cell r="A6650">
            <v>9681999</v>
          </cell>
          <cell r="B6650">
            <v>380101</v>
          </cell>
          <cell r="C6650" t="str">
            <v>STORE MARGIN PROGRAMS EXPENSE</v>
          </cell>
        </row>
        <row r="6651">
          <cell r="A6651">
            <v>9682715</v>
          </cell>
          <cell r="B6651">
            <v>380101</v>
          </cell>
          <cell r="C6651" t="str">
            <v>STORE MARGIN PROGRAMS EXPENSE</v>
          </cell>
        </row>
        <row r="6652">
          <cell r="A6652">
            <v>9682722</v>
          </cell>
          <cell r="B6652">
            <v>380101</v>
          </cell>
          <cell r="C6652" t="str">
            <v>STORE MARGIN PROGRAMS EXPENSE</v>
          </cell>
        </row>
        <row r="6653">
          <cell r="A6653">
            <v>9682999</v>
          </cell>
          <cell r="B6653">
            <v>380101</v>
          </cell>
          <cell r="C6653" t="str">
            <v>STORE MARGIN PROGRAMS EXPENSE</v>
          </cell>
        </row>
        <row r="6654">
          <cell r="A6654">
            <v>9722709</v>
          </cell>
          <cell r="B6654">
            <v>380101</v>
          </cell>
          <cell r="C6654" t="str">
            <v>STORE MARGIN PROGRAMS EXPENSE</v>
          </cell>
        </row>
        <row r="6655">
          <cell r="A6655">
            <v>9722713</v>
          </cell>
          <cell r="B6655">
            <v>380101</v>
          </cell>
          <cell r="C6655" t="str">
            <v>STORE MARGIN PROGRAMS EXPENSE</v>
          </cell>
        </row>
        <row r="6656">
          <cell r="A6656">
            <v>9724721</v>
          </cell>
          <cell r="B6656">
            <v>380101</v>
          </cell>
          <cell r="C6656" t="str">
            <v>STORE MARGIN PROGRAMS EXPENSE</v>
          </cell>
        </row>
        <row r="6657">
          <cell r="A6657">
            <v>9682715</v>
          </cell>
          <cell r="B6657">
            <v>380111</v>
          </cell>
          <cell r="C6657" t="str">
            <v>VALUED CONNECTION EXPENSE</v>
          </cell>
        </row>
        <row r="6658">
          <cell r="A6658">
            <v>9682722</v>
          </cell>
          <cell r="B6658">
            <v>380111</v>
          </cell>
          <cell r="C6658" t="str">
            <v>VALUED CONNECTION EXPENSE</v>
          </cell>
        </row>
        <row r="6659">
          <cell r="A6659">
            <v>9682999</v>
          </cell>
          <cell r="B6659">
            <v>380111</v>
          </cell>
          <cell r="C6659" t="str">
            <v>VALUED CONNECTION EXPENSE</v>
          </cell>
        </row>
        <row r="6660">
          <cell r="A6660">
            <v>9720703</v>
          </cell>
          <cell r="B6660">
            <v>380111</v>
          </cell>
          <cell r="C6660" t="str">
            <v>VALUED CONNECTION EXPENSE</v>
          </cell>
        </row>
        <row r="6661">
          <cell r="A6661">
            <v>9722709</v>
          </cell>
          <cell r="B6661">
            <v>380111</v>
          </cell>
          <cell r="C6661" t="str">
            <v>VALUED CONNECTION EXPENSE</v>
          </cell>
        </row>
        <row r="6662">
          <cell r="A6662">
            <v>9722713</v>
          </cell>
          <cell r="B6662">
            <v>380111</v>
          </cell>
          <cell r="C6662" t="str">
            <v>VALUED CONNECTION EXPENSE</v>
          </cell>
        </row>
        <row r="6663">
          <cell r="A6663">
            <v>9724718</v>
          </cell>
          <cell r="B6663">
            <v>380111</v>
          </cell>
          <cell r="C6663" t="str">
            <v>VALUED CONNECTION EXPENSE</v>
          </cell>
        </row>
        <row r="6664">
          <cell r="A6664">
            <v>9724721</v>
          </cell>
          <cell r="B6664">
            <v>380111</v>
          </cell>
          <cell r="C6664" t="str">
            <v>VALUED CONNECTION EXPENSE</v>
          </cell>
        </row>
        <row r="6665">
          <cell r="A6665">
            <v>9724724</v>
          </cell>
          <cell r="B6665">
            <v>380111</v>
          </cell>
          <cell r="C6665" t="str">
            <v>VALUED CONNECTION EXPENSE</v>
          </cell>
        </row>
        <row r="6666">
          <cell r="A6666">
            <v>9725703</v>
          </cell>
          <cell r="B6666">
            <v>380111</v>
          </cell>
          <cell r="C6666" t="str">
            <v>VALUED CONNECTION EXPENSE</v>
          </cell>
        </row>
        <row r="6667">
          <cell r="A6667">
            <v>9725704</v>
          </cell>
          <cell r="B6667">
            <v>380111</v>
          </cell>
          <cell r="C6667" t="str">
            <v>VALUED CONNECTION EXPENSE</v>
          </cell>
        </row>
        <row r="6668">
          <cell r="A6668">
            <v>9725711</v>
          </cell>
          <cell r="B6668">
            <v>380111</v>
          </cell>
          <cell r="C6668" t="str">
            <v>VALUED CONNECTION EXPENSE</v>
          </cell>
        </row>
        <row r="6669">
          <cell r="A6669">
            <v>9725717</v>
          </cell>
          <cell r="B6669">
            <v>380111</v>
          </cell>
          <cell r="C6669" t="str">
            <v>VALUED CONNECTION EXPENSE</v>
          </cell>
        </row>
        <row r="6670">
          <cell r="A6670">
            <v>9725725</v>
          </cell>
          <cell r="B6670">
            <v>380111</v>
          </cell>
          <cell r="C6670" t="str">
            <v>VALUED CONNECTION EXPENSE</v>
          </cell>
        </row>
        <row r="6671">
          <cell r="A6671">
            <v>9683999</v>
          </cell>
          <cell r="B6671">
            <v>380549</v>
          </cell>
          <cell r="C6671" t="str">
            <v>TRANSIT PASSES-EMPLOYEE BENEFI</v>
          </cell>
        </row>
        <row r="6672">
          <cell r="A6672">
            <v>9090999</v>
          </cell>
          <cell r="B6672">
            <v>380930</v>
          </cell>
          <cell r="C6672" t="str">
            <v>ROYALTY REVENUE</v>
          </cell>
        </row>
        <row r="6673">
          <cell r="A6673">
            <v>9100999</v>
          </cell>
          <cell r="B6673">
            <v>380930</v>
          </cell>
          <cell r="C6673" t="str">
            <v>ROYALTY REVENUE</v>
          </cell>
        </row>
        <row r="6674">
          <cell r="A6674">
            <v>8001054179</v>
          </cell>
          <cell r="B6674">
            <v>380935</v>
          </cell>
          <cell r="C6674" t="str">
            <v>UNCLAIMED DRAFTS/CHECKS</v>
          </cell>
        </row>
        <row r="6675">
          <cell r="A6675">
            <v>8001059542</v>
          </cell>
          <cell r="B6675">
            <v>380935</v>
          </cell>
          <cell r="C6675" t="str">
            <v>UNCLAIMED DRAFTS/CHECKS</v>
          </cell>
        </row>
        <row r="6676">
          <cell r="A6676">
            <v>8010512510</v>
          </cell>
          <cell r="B6676">
            <v>380935</v>
          </cell>
          <cell r="C6676" t="str">
            <v>UNCLAIMED DRAFTS/CHECKS</v>
          </cell>
        </row>
        <row r="6677">
          <cell r="A6677">
            <v>9969681</v>
          </cell>
          <cell r="B6677">
            <v>380935</v>
          </cell>
          <cell r="C6677" t="str">
            <v>UNCLAIMED DRAFTS/CHECKS</v>
          </cell>
        </row>
        <row r="6678">
          <cell r="A6678">
            <v>9969901</v>
          </cell>
          <cell r="B6678">
            <v>380935</v>
          </cell>
          <cell r="C6678" t="str">
            <v>UNCLAIMED DRAFTS/CHECKS</v>
          </cell>
        </row>
        <row r="6679">
          <cell r="A6679" t="str">
            <v>ZONE-0105-POST</v>
          </cell>
          <cell r="B6679">
            <v>380935</v>
          </cell>
          <cell r="C6679" t="str">
            <v>UNCLAIMED DRAFTS/CHECKS</v>
          </cell>
        </row>
        <row r="6680">
          <cell r="A6680" t="str">
            <v>ZONE-0112-POST</v>
          </cell>
          <cell r="B6680">
            <v>380935</v>
          </cell>
          <cell r="C6680" t="str">
            <v>UNCLAIMED DRAFTS/CHECKS</v>
          </cell>
        </row>
        <row r="6681">
          <cell r="A6681">
            <v>9080700</v>
          </cell>
          <cell r="B6681">
            <v>380998</v>
          </cell>
          <cell r="C6681" t="str">
            <v>CENTS ADJUSTMENT</v>
          </cell>
        </row>
        <row r="6682">
          <cell r="A6682">
            <v>9080701</v>
          </cell>
          <cell r="B6682">
            <v>380998</v>
          </cell>
          <cell r="C6682" t="str">
            <v>CENTS ADJUSTMENT</v>
          </cell>
        </row>
        <row r="6683">
          <cell r="A6683">
            <v>9080702</v>
          </cell>
          <cell r="B6683">
            <v>380998</v>
          </cell>
          <cell r="C6683" t="str">
            <v>CENTS ADJUSTMENT</v>
          </cell>
        </row>
        <row r="6684">
          <cell r="A6684">
            <v>9080705</v>
          </cell>
          <cell r="B6684">
            <v>380998</v>
          </cell>
          <cell r="C6684" t="str">
            <v>CENTS ADJUSTMENT</v>
          </cell>
        </row>
        <row r="6685">
          <cell r="A6685">
            <v>9080707</v>
          </cell>
          <cell r="B6685">
            <v>380998</v>
          </cell>
          <cell r="C6685" t="str">
            <v>CENTS ADJUSTMENT</v>
          </cell>
        </row>
        <row r="6686">
          <cell r="A6686">
            <v>9080710</v>
          </cell>
          <cell r="B6686">
            <v>380998</v>
          </cell>
          <cell r="C6686" t="str">
            <v>CENTS ADJUSTMENT</v>
          </cell>
        </row>
        <row r="6687">
          <cell r="A6687">
            <v>9090999</v>
          </cell>
          <cell r="B6687">
            <v>380998</v>
          </cell>
          <cell r="C6687" t="str">
            <v>CENTS ADJUSTMENT</v>
          </cell>
        </row>
        <row r="6688">
          <cell r="A6688">
            <v>9110700</v>
          </cell>
          <cell r="B6688">
            <v>380998</v>
          </cell>
          <cell r="C6688" t="str">
            <v>CENTS ADJUSTMENT</v>
          </cell>
        </row>
        <row r="6689">
          <cell r="A6689">
            <v>9110702</v>
          </cell>
          <cell r="B6689">
            <v>380998</v>
          </cell>
          <cell r="C6689" t="str">
            <v>CENTS ADJUSTMENT</v>
          </cell>
        </row>
        <row r="6690">
          <cell r="A6690">
            <v>9110705</v>
          </cell>
          <cell r="B6690">
            <v>380998</v>
          </cell>
          <cell r="C6690" t="str">
            <v>CENTS ADJUSTMENT</v>
          </cell>
        </row>
        <row r="6691">
          <cell r="A6691">
            <v>9110707</v>
          </cell>
          <cell r="B6691">
            <v>380998</v>
          </cell>
          <cell r="C6691" t="str">
            <v>CENTS ADJUSTMENT</v>
          </cell>
        </row>
        <row r="6692">
          <cell r="A6692">
            <v>9681700</v>
          </cell>
          <cell r="B6692">
            <v>380998</v>
          </cell>
          <cell r="C6692" t="str">
            <v>CENTS ADJUSTMENT</v>
          </cell>
        </row>
        <row r="6693">
          <cell r="A6693">
            <v>9682999</v>
          </cell>
          <cell r="B6693">
            <v>380998</v>
          </cell>
          <cell r="C6693" t="str">
            <v>CENTS ADJUSTMENT</v>
          </cell>
        </row>
        <row r="6694">
          <cell r="A6694">
            <v>9689883</v>
          </cell>
          <cell r="B6694">
            <v>380998</v>
          </cell>
          <cell r="C6694" t="str">
            <v>CENTS ADJUSTMENT</v>
          </cell>
        </row>
        <row r="6695">
          <cell r="A6695">
            <v>9689906</v>
          </cell>
          <cell r="B6695">
            <v>380998</v>
          </cell>
          <cell r="C6695" t="str">
            <v>CENTS ADJUSTMENT</v>
          </cell>
        </row>
        <row r="6696">
          <cell r="A6696">
            <v>9689992</v>
          </cell>
          <cell r="B6696">
            <v>380998</v>
          </cell>
          <cell r="C6696" t="str">
            <v>CENTS ADJUSTMENT</v>
          </cell>
        </row>
        <row r="6697">
          <cell r="A6697">
            <v>8001054179</v>
          </cell>
          <cell r="B6697">
            <v>381980</v>
          </cell>
          <cell r="C6697" t="str">
            <v>GAIN/LOSS-MONEY EXCHANGE-NET</v>
          </cell>
        </row>
        <row r="6698">
          <cell r="A6698">
            <v>8001059542</v>
          </cell>
          <cell r="B6698">
            <v>381980</v>
          </cell>
          <cell r="C6698" t="str">
            <v>GAIN/LOSS-MONEY EXCHANGE-NET</v>
          </cell>
        </row>
        <row r="6699">
          <cell r="A6699">
            <v>8010512510</v>
          </cell>
          <cell r="B6699">
            <v>381980</v>
          </cell>
          <cell r="C6699" t="str">
            <v>GAIN/LOSS-MONEY EXCHANGE-NET</v>
          </cell>
        </row>
        <row r="6700">
          <cell r="A6700">
            <v>9080999</v>
          </cell>
          <cell r="B6700">
            <v>381980</v>
          </cell>
          <cell r="C6700" t="str">
            <v>GAIN/LOSS-MONEY EXCHANGE-NET</v>
          </cell>
        </row>
        <row r="6701">
          <cell r="A6701">
            <v>9110999</v>
          </cell>
          <cell r="B6701">
            <v>381980</v>
          </cell>
          <cell r="C6701" t="str">
            <v>GAIN/LOSS-MONEY EXCHANGE-NET</v>
          </cell>
        </row>
        <row r="6702">
          <cell r="A6702">
            <v>9969681</v>
          </cell>
          <cell r="B6702">
            <v>381980</v>
          </cell>
          <cell r="C6702" t="str">
            <v>GAIN/LOSS-MONEY EXCHANGE-NET</v>
          </cell>
        </row>
        <row r="6703">
          <cell r="A6703">
            <v>9969901</v>
          </cell>
          <cell r="B6703">
            <v>381980</v>
          </cell>
          <cell r="C6703" t="str">
            <v>GAIN/LOSS-MONEY EXCHANGE-NET</v>
          </cell>
        </row>
        <row r="6704">
          <cell r="A6704" t="str">
            <v>I/C-1510-POST</v>
          </cell>
          <cell r="B6704">
            <v>381980</v>
          </cell>
          <cell r="C6704" t="str">
            <v>GAIN/LOSS-MONEY EXCHANGE-NET</v>
          </cell>
        </row>
        <row r="6705">
          <cell r="A6705" t="str">
            <v>ZONE-0068-POST</v>
          </cell>
          <cell r="B6705">
            <v>381980</v>
          </cell>
          <cell r="C6705" t="str">
            <v>GAIN/LOSS-MONEY EXCHANGE-NET</v>
          </cell>
        </row>
        <row r="6706">
          <cell r="A6706" t="str">
            <v>ZONE-0072-POST</v>
          </cell>
          <cell r="B6706">
            <v>381980</v>
          </cell>
          <cell r="C6706" t="str">
            <v>GAIN/LOSS-MONEY EXCHANGE-NET</v>
          </cell>
        </row>
        <row r="6707">
          <cell r="A6707" t="str">
            <v>ZONE-0102-POST</v>
          </cell>
          <cell r="B6707">
            <v>381980</v>
          </cell>
          <cell r="C6707" t="str">
            <v>GAIN/LOSS-MONEY EXCHANGE-NET</v>
          </cell>
        </row>
        <row r="6708">
          <cell r="A6708" t="str">
            <v>ZONE-0103-POST</v>
          </cell>
          <cell r="B6708">
            <v>381980</v>
          </cell>
          <cell r="C6708" t="str">
            <v>GAIN/LOSS-MONEY EXCHANGE-NET</v>
          </cell>
        </row>
        <row r="6709">
          <cell r="A6709" t="str">
            <v>ZONE-0104-POST</v>
          </cell>
          <cell r="B6709">
            <v>381980</v>
          </cell>
          <cell r="C6709" t="str">
            <v>GAIN/LOSS-MONEY EXCHANGE-NET</v>
          </cell>
        </row>
        <row r="6710">
          <cell r="A6710" t="str">
            <v>ZONE-0105-POST</v>
          </cell>
          <cell r="B6710">
            <v>381980</v>
          </cell>
          <cell r="C6710" t="str">
            <v>GAIN/LOSS-MONEY EXCHANGE-NET</v>
          </cell>
        </row>
        <row r="6711">
          <cell r="A6711" t="str">
            <v>ZONE-0108-POST</v>
          </cell>
          <cell r="B6711">
            <v>381980</v>
          </cell>
          <cell r="C6711" t="str">
            <v>GAIN/LOSS-MONEY EXCHANGE-NET</v>
          </cell>
        </row>
        <row r="6712">
          <cell r="A6712" t="str">
            <v>ZONE-0109-POST</v>
          </cell>
          <cell r="B6712">
            <v>381980</v>
          </cell>
          <cell r="C6712" t="str">
            <v>GAIN/LOSS-MONEY EXCHANGE-NET</v>
          </cell>
        </row>
        <row r="6713">
          <cell r="A6713" t="str">
            <v>ZONE-0110-POST</v>
          </cell>
          <cell r="B6713">
            <v>381980</v>
          </cell>
          <cell r="C6713" t="str">
            <v>GAIN/LOSS-MONEY EXCHANGE-NET</v>
          </cell>
        </row>
        <row r="6714">
          <cell r="A6714" t="str">
            <v>ZONE-0111-POST</v>
          </cell>
          <cell r="B6714">
            <v>381980</v>
          </cell>
          <cell r="C6714" t="str">
            <v>GAIN/LOSS-MONEY EXCHANGE-NET</v>
          </cell>
        </row>
        <row r="6715">
          <cell r="A6715" t="str">
            <v>ZONE-0112-POST</v>
          </cell>
          <cell r="B6715">
            <v>381980</v>
          </cell>
          <cell r="C6715" t="str">
            <v>GAIN/LOSS-MONEY EXCHANGE-NET</v>
          </cell>
        </row>
        <row r="6716">
          <cell r="A6716" t="str">
            <v>ZONE-9998-POST</v>
          </cell>
          <cell r="B6716">
            <v>381980</v>
          </cell>
          <cell r="C6716" t="str">
            <v>GAIN/LOSS-MONEY EXCHANGE-NET</v>
          </cell>
        </row>
        <row r="6717">
          <cell r="A6717" t="str">
            <v>ZONE-9999-POST</v>
          </cell>
          <cell r="B6717">
            <v>381980</v>
          </cell>
          <cell r="C6717" t="str">
            <v>GAIN/LOSS-MONEY EXCHANGE-NET</v>
          </cell>
        </row>
        <row r="6718">
          <cell r="A6718">
            <v>9080999</v>
          </cell>
          <cell r="B6718">
            <v>381985</v>
          </cell>
          <cell r="C6718" t="str">
            <v>GAIN/LOSS-UNREALIZED REVALUATI</v>
          </cell>
        </row>
        <row r="6719">
          <cell r="A6719">
            <v>9110999</v>
          </cell>
          <cell r="B6719">
            <v>381985</v>
          </cell>
          <cell r="C6719" t="str">
            <v>GAIN/LOSS-UNREALIZED REVALUATI</v>
          </cell>
        </row>
        <row r="6720">
          <cell r="A6720">
            <v>9967681</v>
          </cell>
          <cell r="B6720">
            <v>381985</v>
          </cell>
          <cell r="C6720" t="str">
            <v>GAIN/LOSS-UNREALIZED REVALUATI</v>
          </cell>
        </row>
        <row r="6721">
          <cell r="A6721">
            <v>9968681</v>
          </cell>
          <cell r="B6721">
            <v>381985</v>
          </cell>
          <cell r="C6721" t="str">
            <v>GAIN/LOSS-UNREALIZED REVALUATI</v>
          </cell>
        </row>
        <row r="6722">
          <cell r="A6722" t="str">
            <v>ZONE-0068-POST</v>
          </cell>
          <cell r="B6722">
            <v>381985</v>
          </cell>
          <cell r="C6722" t="str">
            <v>GAIN/LOSS-UNREALIZED REVALUATI</v>
          </cell>
        </row>
        <row r="6723">
          <cell r="A6723" t="str">
            <v>ZONE-0108-POST</v>
          </cell>
          <cell r="B6723">
            <v>381985</v>
          </cell>
          <cell r="C6723" t="str">
            <v>GAIN/LOSS-UNREALIZED REVALUATI</v>
          </cell>
        </row>
        <row r="6724">
          <cell r="A6724" t="str">
            <v>ZONE-9999-POST</v>
          </cell>
          <cell r="B6724">
            <v>381985</v>
          </cell>
          <cell r="C6724" t="str">
            <v>GAIN/LOSS-UNREALIZED REVALUATI</v>
          </cell>
        </row>
        <row r="6725">
          <cell r="A6725">
            <v>9080999</v>
          </cell>
          <cell r="B6725">
            <v>382901</v>
          </cell>
          <cell r="C6725" t="str">
            <v>GAIN/LOSS TRANSFERRED</v>
          </cell>
        </row>
        <row r="6726">
          <cell r="A6726">
            <v>9090999</v>
          </cell>
          <cell r="B6726">
            <v>382901</v>
          </cell>
          <cell r="C6726" t="str">
            <v>GAIN/LOSS TRANSFERRED</v>
          </cell>
        </row>
        <row r="6727">
          <cell r="A6727">
            <v>9100999</v>
          </cell>
          <cell r="B6727">
            <v>382901</v>
          </cell>
          <cell r="C6727" t="str">
            <v>GAIN/LOSS TRANSFERRED</v>
          </cell>
        </row>
        <row r="6728">
          <cell r="A6728">
            <v>9110999</v>
          </cell>
          <cell r="B6728">
            <v>382901</v>
          </cell>
          <cell r="C6728" t="str">
            <v>GAIN/LOSS TRANSFERRED</v>
          </cell>
        </row>
        <row r="6729">
          <cell r="A6729">
            <v>9120999</v>
          </cell>
          <cell r="B6729">
            <v>382901</v>
          </cell>
          <cell r="C6729" t="str">
            <v>GAIN/LOSS TRANSFERRED</v>
          </cell>
        </row>
        <row r="6730">
          <cell r="A6730">
            <v>9689999</v>
          </cell>
          <cell r="B6730">
            <v>382901</v>
          </cell>
          <cell r="C6730" t="str">
            <v>GAIN/LOSS TRANSFERRED</v>
          </cell>
        </row>
        <row r="6731">
          <cell r="A6731">
            <v>9966681</v>
          </cell>
          <cell r="B6731">
            <v>382901</v>
          </cell>
          <cell r="C6731" t="str">
            <v>GAIN/LOSS TRANSFERRED</v>
          </cell>
        </row>
        <row r="6732">
          <cell r="A6732">
            <v>9090999</v>
          </cell>
          <cell r="B6732">
            <v>382910</v>
          </cell>
          <cell r="C6732" t="str">
            <v>GAIN/LOSS-SALE OF SURPLUS REAL</v>
          </cell>
        </row>
        <row r="6733">
          <cell r="A6733">
            <v>9100999</v>
          </cell>
          <cell r="B6733">
            <v>382910</v>
          </cell>
          <cell r="C6733" t="str">
            <v>GAIN/LOSS-SALE OF SURPLUS REAL</v>
          </cell>
        </row>
        <row r="6734">
          <cell r="A6734">
            <v>9680999</v>
          </cell>
          <cell r="B6734">
            <v>382910</v>
          </cell>
          <cell r="C6734" t="str">
            <v>GAIN/LOSS-SALE OF SURPLUS REAL</v>
          </cell>
        </row>
        <row r="6735">
          <cell r="A6735">
            <v>9684999</v>
          </cell>
          <cell r="B6735">
            <v>382910</v>
          </cell>
          <cell r="C6735" t="str">
            <v>GAIN/LOSS-SALE OF SURPLUS REAL</v>
          </cell>
        </row>
        <row r="6736">
          <cell r="A6736">
            <v>9689883</v>
          </cell>
          <cell r="B6736">
            <v>382910</v>
          </cell>
          <cell r="C6736" t="str">
            <v>GAIN/LOSS-SALE OF SURPLUS REAL</v>
          </cell>
        </row>
        <row r="6737">
          <cell r="A6737">
            <v>9689906</v>
          </cell>
          <cell r="B6737">
            <v>382910</v>
          </cell>
          <cell r="C6737" t="str">
            <v>GAIN/LOSS-SALE OF SURPLUS REAL</v>
          </cell>
        </row>
        <row r="6738">
          <cell r="A6738">
            <v>9689990</v>
          </cell>
          <cell r="B6738">
            <v>382910</v>
          </cell>
          <cell r="C6738" t="str">
            <v>GAIN/LOSS-SALE OF SURPLUS REAL</v>
          </cell>
        </row>
        <row r="6739">
          <cell r="A6739">
            <v>9689992</v>
          </cell>
          <cell r="B6739">
            <v>382910</v>
          </cell>
          <cell r="C6739" t="str">
            <v>GAIN/LOSS-SALE OF SURPLUS REAL</v>
          </cell>
        </row>
        <row r="6740">
          <cell r="A6740">
            <v>9080700</v>
          </cell>
          <cell r="B6740">
            <v>383930</v>
          </cell>
          <cell r="C6740" t="str">
            <v>GAIN/LOSS DISP OF EQUIPMENT</v>
          </cell>
        </row>
        <row r="6741">
          <cell r="A6741">
            <v>9080701</v>
          </cell>
          <cell r="B6741">
            <v>383930</v>
          </cell>
          <cell r="C6741" t="str">
            <v>GAIN/LOSS DISP OF EQUIPMENT</v>
          </cell>
        </row>
        <row r="6742">
          <cell r="A6742">
            <v>9080702</v>
          </cell>
          <cell r="B6742">
            <v>383930</v>
          </cell>
          <cell r="C6742" t="str">
            <v>GAIN/LOSS DISP OF EQUIPMENT</v>
          </cell>
        </row>
        <row r="6743">
          <cell r="A6743">
            <v>9080705</v>
          </cell>
          <cell r="B6743">
            <v>383930</v>
          </cell>
          <cell r="C6743" t="str">
            <v>GAIN/LOSS DISP OF EQUIPMENT</v>
          </cell>
        </row>
        <row r="6744">
          <cell r="A6744">
            <v>9080707</v>
          </cell>
          <cell r="B6744">
            <v>383930</v>
          </cell>
          <cell r="C6744" t="str">
            <v>GAIN/LOSS DISP OF EQUIPMENT</v>
          </cell>
        </row>
        <row r="6745">
          <cell r="A6745">
            <v>9080710</v>
          </cell>
          <cell r="B6745">
            <v>383930</v>
          </cell>
          <cell r="C6745" t="str">
            <v>GAIN/LOSS DISP OF EQUIPMENT</v>
          </cell>
        </row>
        <row r="6746">
          <cell r="A6746">
            <v>9080712</v>
          </cell>
          <cell r="B6746">
            <v>383930</v>
          </cell>
          <cell r="C6746" t="str">
            <v>GAIN/LOSS DISP OF EQUIPMENT</v>
          </cell>
        </row>
        <row r="6747">
          <cell r="A6747">
            <v>9080999</v>
          </cell>
          <cell r="B6747">
            <v>383930</v>
          </cell>
          <cell r="C6747" t="str">
            <v>GAIN/LOSS DISP OF EQUIPMENT</v>
          </cell>
        </row>
        <row r="6748">
          <cell r="A6748">
            <v>9090999</v>
          </cell>
          <cell r="B6748">
            <v>383930</v>
          </cell>
          <cell r="C6748" t="str">
            <v>GAIN/LOSS DISP OF EQUIPMENT</v>
          </cell>
        </row>
        <row r="6749">
          <cell r="A6749">
            <v>9100999</v>
          </cell>
          <cell r="B6749">
            <v>383930</v>
          </cell>
          <cell r="C6749" t="str">
            <v>GAIN/LOSS DISP OF EQUIPMENT</v>
          </cell>
        </row>
        <row r="6750">
          <cell r="A6750">
            <v>9110700</v>
          </cell>
          <cell r="B6750">
            <v>383930</v>
          </cell>
          <cell r="C6750" t="str">
            <v>GAIN/LOSS DISP OF EQUIPMENT</v>
          </cell>
        </row>
        <row r="6751">
          <cell r="A6751">
            <v>9110702</v>
          </cell>
          <cell r="B6751">
            <v>383930</v>
          </cell>
          <cell r="C6751" t="str">
            <v>GAIN/LOSS DISP OF EQUIPMENT</v>
          </cell>
        </row>
        <row r="6752">
          <cell r="A6752">
            <v>9110705</v>
          </cell>
          <cell r="B6752">
            <v>383930</v>
          </cell>
          <cell r="C6752" t="str">
            <v>GAIN/LOSS DISP OF EQUIPMENT</v>
          </cell>
        </row>
        <row r="6753">
          <cell r="A6753">
            <v>9110707</v>
          </cell>
          <cell r="B6753">
            <v>383930</v>
          </cell>
          <cell r="C6753" t="str">
            <v>GAIN/LOSS DISP OF EQUIPMENT</v>
          </cell>
        </row>
        <row r="6754">
          <cell r="A6754">
            <v>9110712</v>
          </cell>
          <cell r="B6754">
            <v>383930</v>
          </cell>
          <cell r="C6754" t="str">
            <v>GAIN/LOSS DISP OF EQUIPMENT</v>
          </cell>
        </row>
        <row r="6755">
          <cell r="A6755">
            <v>9110999</v>
          </cell>
          <cell r="B6755">
            <v>383930</v>
          </cell>
          <cell r="C6755" t="str">
            <v>GAIN/LOSS DISP OF EQUIPMENT</v>
          </cell>
        </row>
        <row r="6756">
          <cell r="A6756">
            <v>9680999</v>
          </cell>
          <cell r="B6756">
            <v>383930</v>
          </cell>
          <cell r="C6756" t="str">
            <v>GAIN/LOSS DISP OF EQUIPMENT</v>
          </cell>
        </row>
        <row r="6757">
          <cell r="A6757">
            <v>9681700</v>
          </cell>
          <cell r="B6757">
            <v>383930</v>
          </cell>
          <cell r="C6757" t="str">
            <v>GAIN/LOSS DISP OF EQUIPMENT</v>
          </cell>
        </row>
        <row r="6758">
          <cell r="A6758">
            <v>9681701</v>
          </cell>
          <cell r="B6758">
            <v>383930</v>
          </cell>
          <cell r="C6758" t="str">
            <v>GAIN/LOSS DISP OF EQUIPMENT</v>
          </cell>
        </row>
        <row r="6759">
          <cell r="A6759">
            <v>9681702</v>
          </cell>
          <cell r="B6759">
            <v>383930</v>
          </cell>
          <cell r="C6759" t="str">
            <v>GAIN/LOSS DISP OF EQUIPMENT</v>
          </cell>
        </row>
        <row r="6760">
          <cell r="A6760">
            <v>9681705</v>
          </cell>
          <cell r="B6760">
            <v>383930</v>
          </cell>
          <cell r="C6760" t="str">
            <v>GAIN/LOSS DISP OF EQUIPMENT</v>
          </cell>
        </row>
        <row r="6761">
          <cell r="A6761">
            <v>9681706</v>
          </cell>
          <cell r="B6761">
            <v>383930</v>
          </cell>
          <cell r="C6761" t="str">
            <v>GAIN/LOSS DISP OF EQUIPMENT</v>
          </cell>
        </row>
        <row r="6762">
          <cell r="A6762">
            <v>9681707</v>
          </cell>
          <cell r="B6762">
            <v>383930</v>
          </cell>
          <cell r="C6762" t="str">
            <v>GAIN/LOSS DISP OF EQUIPMENT</v>
          </cell>
        </row>
        <row r="6763">
          <cell r="A6763">
            <v>9681712</v>
          </cell>
          <cell r="B6763">
            <v>383930</v>
          </cell>
          <cell r="C6763" t="str">
            <v>GAIN/LOSS DISP OF EQUIPMENT</v>
          </cell>
        </row>
        <row r="6764">
          <cell r="A6764">
            <v>9681714</v>
          </cell>
          <cell r="B6764">
            <v>383930</v>
          </cell>
          <cell r="C6764" t="str">
            <v>GAIN/LOSS DISP OF EQUIPMENT</v>
          </cell>
        </row>
        <row r="6765">
          <cell r="A6765">
            <v>9681727</v>
          </cell>
          <cell r="B6765">
            <v>383930</v>
          </cell>
          <cell r="C6765" t="str">
            <v>GAIN/LOSS DISP OF EQUIPMENT</v>
          </cell>
        </row>
        <row r="6766">
          <cell r="A6766">
            <v>9681749</v>
          </cell>
          <cell r="B6766">
            <v>383930</v>
          </cell>
          <cell r="C6766" t="str">
            <v>GAIN/LOSS DISP OF EQUIPMENT</v>
          </cell>
        </row>
        <row r="6767">
          <cell r="A6767">
            <v>9681999</v>
          </cell>
          <cell r="B6767">
            <v>383930</v>
          </cell>
          <cell r="C6767" t="str">
            <v>GAIN/LOSS DISP OF EQUIPMENT</v>
          </cell>
        </row>
        <row r="6768">
          <cell r="A6768">
            <v>9682715</v>
          </cell>
          <cell r="B6768">
            <v>383930</v>
          </cell>
          <cell r="C6768" t="str">
            <v>GAIN/LOSS DISP OF EQUIPMENT</v>
          </cell>
        </row>
        <row r="6769">
          <cell r="A6769">
            <v>9682722</v>
          </cell>
          <cell r="B6769">
            <v>383930</v>
          </cell>
          <cell r="C6769" t="str">
            <v>GAIN/LOSS DISP OF EQUIPMENT</v>
          </cell>
        </row>
        <row r="6770">
          <cell r="A6770">
            <v>9682999</v>
          </cell>
          <cell r="B6770">
            <v>383930</v>
          </cell>
          <cell r="C6770" t="str">
            <v>GAIN/LOSS DISP OF EQUIPMENT</v>
          </cell>
        </row>
        <row r="6771">
          <cell r="A6771">
            <v>9689883</v>
          </cell>
          <cell r="B6771">
            <v>383930</v>
          </cell>
          <cell r="C6771" t="str">
            <v>GAIN/LOSS DISP OF EQUIPMENT</v>
          </cell>
        </row>
        <row r="6772">
          <cell r="A6772">
            <v>9689906</v>
          </cell>
          <cell r="B6772">
            <v>383930</v>
          </cell>
          <cell r="C6772" t="str">
            <v>GAIN/LOSS DISP OF EQUIPMENT</v>
          </cell>
        </row>
        <row r="6773">
          <cell r="A6773">
            <v>9689991</v>
          </cell>
          <cell r="B6773">
            <v>383930</v>
          </cell>
          <cell r="C6773" t="str">
            <v>GAIN/LOSS DISP OF EQUIPMENT</v>
          </cell>
        </row>
        <row r="6774">
          <cell r="A6774">
            <v>9689992</v>
          </cell>
          <cell r="B6774">
            <v>383930</v>
          </cell>
          <cell r="C6774" t="str">
            <v>GAIN/LOSS DISP OF EQUIPMENT</v>
          </cell>
        </row>
        <row r="6775">
          <cell r="A6775">
            <v>9689993</v>
          </cell>
          <cell r="B6775">
            <v>383930</v>
          </cell>
          <cell r="C6775" t="str">
            <v>GAIN/LOSS DISP OF EQUIPMENT</v>
          </cell>
        </row>
        <row r="6776">
          <cell r="A6776">
            <v>9689994</v>
          </cell>
          <cell r="B6776">
            <v>383930</v>
          </cell>
          <cell r="C6776" t="str">
            <v>GAIN/LOSS DISP OF EQUIPMENT</v>
          </cell>
        </row>
        <row r="6777">
          <cell r="A6777">
            <v>9720703</v>
          </cell>
          <cell r="B6777">
            <v>383930</v>
          </cell>
          <cell r="C6777" t="str">
            <v>GAIN/LOSS DISP OF EQUIPMENT</v>
          </cell>
        </row>
        <row r="6778">
          <cell r="A6778">
            <v>9724718</v>
          </cell>
          <cell r="B6778">
            <v>383930</v>
          </cell>
          <cell r="C6778" t="str">
            <v>GAIN/LOSS DISP OF EQUIPMENT</v>
          </cell>
        </row>
        <row r="6779">
          <cell r="A6779">
            <v>9724721</v>
          </cell>
          <cell r="B6779">
            <v>383930</v>
          </cell>
          <cell r="C6779" t="str">
            <v>GAIN/LOSS DISP OF EQUIPMENT</v>
          </cell>
        </row>
        <row r="6780">
          <cell r="A6780">
            <v>9724724</v>
          </cell>
          <cell r="B6780">
            <v>383930</v>
          </cell>
          <cell r="C6780" t="str">
            <v>GAIN/LOSS DISP OF EQUIPMENT</v>
          </cell>
        </row>
        <row r="6781">
          <cell r="A6781">
            <v>9725703</v>
          </cell>
          <cell r="B6781">
            <v>383930</v>
          </cell>
          <cell r="C6781" t="str">
            <v>GAIN/LOSS DISP OF EQUIPMENT</v>
          </cell>
        </row>
        <row r="6782">
          <cell r="A6782">
            <v>9725704</v>
          </cell>
          <cell r="B6782">
            <v>383930</v>
          </cell>
          <cell r="C6782" t="str">
            <v>GAIN/LOSS DISP OF EQUIPMENT</v>
          </cell>
        </row>
        <row r="6783">
          <cell r="A6783">
            <v>9725711</v>
          </cell>
          <cell r="B6783">
            <v>383930</v>
          </cell>
          <cell r="C6783" t="str">
            <v>GAIN/LOSS DISP OF EQUIPMENT</v>
          </cell>
        </row>
        <row r="6784">
          <cell r="A6784">
            <v>9725717</v>
          </cell>
          <cell r="B6784">
            <v>383930</v>
          </cell>
          <cell r="C6784" t="str">
            <v>GAIN/LOSS DISP OF EQUIPMENT</v>
          </cell>
        </row>
        <row r="6785">
          <cell r="A6785">
            <v>9725725</v>
          </cell>
          <cell r="B6785">
            <v>383930</v>
          </cell>
          <cell r="C6785" t="str">
            <v>GAIN/LOSS DISP OF EQUIPMENT</v>
          </cell>
        </row>
        <row r="6786">
          <cell r="A6786">
            <v>9080999</v>
          </cell>
          <cell r="B6786">
            <v>384100</v>
          </cell>
          <cell r="C6786" t="str">
            <v>INTERCOMPANY INTEREST INCOME</v>
          </cell>
        </row>
        <row r="6787">
          <cell r="A6787">
            <v>9110999</v>
          </cell>
          <cell r="B6787">
            <v>384100</v>
          </cell>
          <cell r="C6787" t="str">
            <v>INTERCOMPANY INTEREST INCOME</v>
          </cell>
        </row>
        <row r="6788">
          <cell r="A6788">
            <v>9681706</v>
          </cell>
          <cell r="B6788">
            <v>384100</v>
          </cell>
          <cell r="C6788" t="str">
            <v>INTERCOMPANY INTEREST INCOME</v>
          </cell>
        </row>
        <row r="6789">
          <cell r="A6789">
            <v>9681999</v>
          </cell>
          <cell r="B6789">
            <v>384100</v>
          </cell>
          <cell r="C6789" t="str">
            <v>INTERCOMPANY INTEREST INCOME</v>
          </cell>
        </row>
        <row r="6790">
          <cell r="A6790">
            <v>9689992</v>
          </cell>
          <cell r="B6790">
            <v>384100</v>
          </cell>
          <cell r="C6790" t="str">
            <v>INTERCOMPANY INTEREST INCOME</v>
          </cell>
        </row>
        <row r="6791">
          <cell r="A6791">
            <v>9689999</v>
          </cell>
          <cell r="B6791">
            <v>384100</v>
          </cell>
          <cell r="C6791" t="str">
            <v>INTERCOMPANY INTEREST INCOME</v>
          </cell>
        </row>
        <row r="6792">
          <cell r="A6792">
            <v>9681706</v>
          </cell>
          <cell r="B6792">
            <v>384151</v>
          </cell>
          <cell r="C6792" t="str">
            <v>SHORT TERM INVESTMENTS-CASH</v>
          </cell>
        </row>
        <row r="6793">
          <cell r="A6793">
            <v>9681999</v>
          </cell>
          <cell r="B6793">
            <v>384151</v>
          </cell>
          <cell r="C6793" t="str">
            <v>SHORT TERM INVESTMENTS-CASH</v>
          </cell>
        </row>
        <row r="6794">
          <cell r="A6794">
            <v>9689883</v>
          </cell>
          <cell r="B6794">
            <v>384151</v>
          </cell>
          <cell r="C6794" t="str">
            <v>SHORT TERM INVESTMENTS-CASH</v>
          </cell>
        </row>
        <row r="6795">
          <cell r="A6795">
            <v>9689992</v>
          </cell>
          <cell r="B6795">
            <v>384151</v>
          </cell>
          <cell r="C6795" t="str">
            <v>SHORT TERM INVESTMENTS-CASH</v>
          </cell>
        </row>
        <row r="6796">
          <cell r="A6796">
            <v>8001054179</v>
          </cell>
          <cell r="B6796">
            <v>384220</v>
          </cell>
          <cell r="C6796" t="str">
            <v>INTEREST RECEIVED-OUTSIDE</v>
          </cell>
        </row>
        <row r="6797">
          <cell r="A6797">
            <v>8001059542</v>
          </cell>
          <cell r="B6797">
            <v>384220</v>
          </cell>
          <cell r="C6797" t="str">
            <v>INTEREST RECEIVED-OUTSIDE</v>
          </cell>
        </row>
        <row r="6798">
          <cell r="A6798">
            <v>8010512510</v>
          </cell>
          <cell r="B6798">
            <v>384220</v>
          </cell>
          <cell r="C6798" t="str">
            <v>INTEREST RECEIVED-OUTSIDE</v>
          </cell>
        </row>
        <row r="6799">
          <cell r="A6799">
            <v>9050999</v>
          </cell>
          <cell r="B6799">
            <v>384220</v>
          </cell>
          <cell r="C6799" t="str">
            <v>INTEREST RECEIVED-OUTSIDE</v>
          </cell>
        </row>
        <row r="6800">
          <cell r="A6800">
            <v>9080999</v>
          </cell>
          <cell r="B6800">
            <v>384220</v>
          </cell>
          <cell r="C6800" t="str">
            <v>INTEREST RECEIVED-OUTSIDE</v>
          </cell>
        </row>
        <row r="6801">
          <cell r="A6801">
            <v>9090999</v>
          </cell>
          <cell r="B6801">
            <v>384220</v>
          </cell>
          <cell r="C6801" t="str">
            <v>INTEREST RECEIVED-OUTSIDE</v>
          </cell>
        </row>
        <row r="6802">
          <cell r="A6802">
            <v>9100999</v>
          </cell>
          <cell r="B6802">
            <v>384220</v>
          </cell>
          <cell r="C6802" t="str">
            <v>INTEREST RECEIVED-OUTSIDE</v>
          </cell>
        </row>
        <row r="6803">
          <cell r="A6803">
            <v>9110999</v>
          </cell>
          <cell r="B6803">
            <v>384220</v>
          </cell>
          <cell r="C6803" t="str">
            <v>INTEREST RECEIVED-OUTSIDE</v>
          </cell>
        </row>
        <row r="6804">
          <cell r="A6804">
            <v>9682715</v>
          </cell>
          <cell r="B6804">
            <v>384220</v>
          </cell>
          <cell r="C6804" t="str">
            <v>INTEREST RECEIVED-OUTSIDE</v>
          </cell>
        </row>
        <row r="6805">
          <cell r="A6805">
            <v>9682722</v>
          </cell>
          <cell r="B6805">
            <v>384220</v>
          </cell>
          <cell r="C6805" t="str">
            <v>INTEREST RECEIVED-OUTSIDE</v>
          </cell>
        </row>
        <row r="6806">
          <cell r="A6806">
            <v>9682999</v>
          </cell>
          <cell r="B6806">
            <v>384220</v>
          </cell>
          <cell r="C6806" t="str">
            <v>INTEREST RECEIVED-OUTSIDE</v>
          </cell>
        </row>
        <row r="6807">
          <cell r="A6807">
            <v>9689692</v>
          </cell>
          <cell r="B6807">
            <v>384220</v>
          </cell>
          <cell r="C6807" t="str">
            <v>INTEREST RECEIVED-OUTSIDE</v>
          </cell>
        </row>
        <row r="6808">
          <cell r="A6808">
            <v>9689747</v>
          </cell>
          <cell r="B6808">
            <v>384220</v>
          </cell>
          <cell r="C6808" t="str">
            <v>INTEREST RECEIVED-OUTSIDE</v>
          </cell>
        </row>
        <row r="6809">
          <cell r="A6809">
            <v>9689890</v>
          </cell>
          <cell r="B6809">
            <v>384220</v>
          </cell>
          <cell r="C6809" t="str">
            <v>INTEREST RECEIVED-OUTSIDE</v>
          </cell>
        </row>
        <row r="6810">
          <cell r="A6810">
            <v>9689925</v>
          </cell>
          <cell r="B6810">
            <v>384220</v>
          </cell>
          <cell r="C6810" t="str">
            <v>INTEREST RECEIVED-OUTSIDE</v>
          </cell>
        </row>
        <row r="6811">
          <cell r="A6811">
            <v>9689990</v>
          </cell>
          <cell r="B6811">
            <v>384220</v>
          </cell>
          <cell r="C6811" t="str">
            <v>INTEREST RECEIVED-OUTSIDE</v>
          </cell>
        </row>
        <row r="6812">
          <cell r="A6812">
            <v>9722709</v>
          </cell>
          <cell r="B6812">
            <v>384220</v>
          </cell>
          <cell r="C6812" t="str">
            <v>INTEREST RECEIVED-OUTSIDE</v>
          </cell>
        </row>
        <row r="6813">
          <cell r="A6813">
            <v>9722713</v>
          </cell>
          <cell r="B6813">
            <v>384220</v>
          </cell>
          <cell r="C6813" t="str">
            <v>INTEREST RECEIVED-OUTSIDE</v>
          </cell>
        </row>
        <row r="6814">
          <cell r="A6814">
            <v>9968681</v>
          </cell>
          <cell r="B6814">
            <v>384220</v>
          </cell>
          <cell r="C6814" t="str">
            <v>INTEREST RECEIVED-OUTSIDE</v>
          </cell>
        </row>
        <row r="6815">
          <cell r="A6815">
            <v>9969681</v>
          </cell>
          <cell r="B6815">
            <v>384220</v>
          </cell>
          <cell r="C6815" t="str">
            <v>INTEREST RECEIVED-OUTSIDE</v>
          </cell>
        </row>
        <row r="6816">
          <cell r="A6816">
            <v>9969901</v>
          </cell>
          <cell r="B6816">
            <v>384220</v>
          </cell>
          <cell r="C6816" t="str">
            <v>INTEREST RECEIVED-OUTSIDE</v>
          </cell>
        </row>
        <row r="6817">
          <cell r="A6817" t="str">
            <v>ZONE-0105-POST</v>
          </cell>
          <cell r="B6817">
            <v>384220</v>
          </cell>
          <cell r="C6817" t="str">
            <v>INTEREST RECEIVED-OUTSIDE</v>
          </cell>
        </row>
        <row r="6818">
          <cell r="A6818" t="str">
            <v>ZONE-0112-POST</v>
          </cell>
          <cell r="B6818">
            <v>384220</v>
          </cell>
          <cell r="C6818" t="str">
            <v>INTEREST RECEIVED-OUTSIDE</v>
          </cell>
        </row>
        <row r="6819">
          <cell r="A6819">
            <v>9681999</v>
          </cell>
          <cell r="B6819">
            <v>386202</v>
          </cell>
          <cell r="C6819" t="str">
            <v>AMORTIZATION - DOMAIN NAMES</v>
          </cell>
        </row>
        <row r="6820">
          <cell r="A6820">
            <v>9080999</v>
          </cell>
          <cell r="B6820">
            <v>387004</v>
          </cell>
          <cell r="C6820" t="str">
            <v>EQUITY IN EARNINGS OF SUBS</v>
          </cell>
        </row>
        <row r="6821">
          <cell r="A6821">
            <v>9090999</v>
          </cell>
          <cell r="B6821">
            <v>387004</v>
          </cell>
          <cell r="C6821" t="str">
            <v>EQUITY IN EARNINGS OF SUBS</v>
          </cell>
        </row>
        <row r="6822">
          <cell r="A6822">
            <v>9110999</v>
          </cell>
          <cell r="B6822">
            <v>387004</v>
          </cell>
          <cell r="C6822" t="str">
            <v>EQUITY IN EARNINGS OF SUBS</v>
          </cell>
        </row>
        <row r="6823">
          <cell r="A6823">
            <v>9120999</v>
          </cell>
          <cell r="B6823">
            <v>387004</v>
          </cell>
          <cell r="C6823" t="str">
            <v>EQUITY IN EARNINGS OF SUBS</v>
          </cell>
        </row>
        <row r="6824">
          <cell r="A6824">
            <v>9689999</v>
          </cell>
          <cell r="B6824">
            <v>387004</v>
          </cell>
          <cell r="C6824" t="str">
            <v>EQUITY IN EARNINGS OF SUBS</v>
          </cell>
        </row>
        <row r="6825">
          <cell r="A6825">
            <v>9966681</v>
          </cell>
          <cell r="B6825">
            <v>387004</v>
          </cell>
          <cell r="C6825" t="str">
            <v>EQUITY IN EARNINGS OF SUBS</v>
          </cell>
        </row>
        <row r="6826">
          <cell r="A6826">
            <v>8001054179</v>
          </cell>
          <cell r="B6826">
            <v>388002</v>
          </cell>
          <cell r="C6826" t="str">
            <v>INCOME TAX-FEDERAL/DOMINION</v>
          </cell>
        </row>
        <row r="6827">
          <cell r="A6827">
            <v>8001059542</v>
          </cell>
          <cell r="B6827">
            <v>388002</v>
          </cell>
          <cell r="C6827" t="str">
            <v>INCOME TAX-FEDERAL/DOMINION</v>
          </cell>
        </row>
        <row r="6828">
          <cell r="A6828">
            <v>8010512510</v>
          </cell>
          <cell r="B6828">
            <v>388002</v>
          </cell>
          <cell r="C6828" t="str">
            <v>INCOME TAX-FEDERAL/DOMINION</v>
          </cell>
        </row>
        <row r="6829">
          <cell r="A6829">
            <v>9090999</v>
          </cell>
          <cell r="B6829">
            <v>388002</v>
          </cell>
          <cell r="C6829" t="str">
            <v>INCOME TAX-FEDERAL/DOMINION</v>
          </cell>
        </row>
        <row r="6830">
          <cell r="A6830">
            <v>9100999</v>
          </cell>
          <cell r="B6830">
            <v>388002</v>
          </cell>
          <cell r="C6830" t="str">
            <v>INCOME TAX-FEDERAL/DOMINION</v>
          </cell>
        </row>
        <row r="6831">
          <cell r="A6831">
            <v>9969681</v>
          </cell>
          <cell r="B6831">
            <v>388002</v>
          </cell>
          <cell r="C6831" t="str">
            <v>INCOME TAX-FEDERAL/DOMINION</v>
          </cell>
        </row>
        <row r="6832">
          <cell r="A6832">
            <v>9969901</v>
          </cell>
          <cell r="B6832">
            <v>388002</v>
          </cell>
          <cell r="C6832" t="str">
            <v>INCOME TAX-FEDERAL/DOMINION</v>
          </cell>
        </row>
        <row r="6833">
          <cell r="A6833" t="str">
            <v>ZONE-0105-POST</v>
          </cell>
          <cell r="B6833">
            <v>388002</v>
          </cell>
          <cell r="C6833" t="str">
            <v>INCOME TAX-FEDERAL/DOMINION</v>
          </cell>
        </row>
        <row r="6834">
          <cell r="A6834" t="str">
            <v>ZONE-0112-POST</v>
          </cell>
          <cell r="B6834">
            <v>388002</v>
          </cell>
          <cell r="C6834" t="str">
            <v>INCOME TAX-FEDERAL/DOMINION</v>
          </cell>
        </row>
        <row r="6835">
          <cell r="A6835">
            <v>9724721</v>
          </cell>
          <cell r="B6835">
            <v>391939</v>
          </cell>
          <cell r="C6835" t="str">
            <v>INTRA CORP CREDIT - OTHER</v>
          </cell>
        </row>
        <row r="6836">
          <cell r="A6836">
            <v>8001054179</v>
          </cell>
          <cell r="B6836">
            <v>391950</v>
          </cell>
          <cell r="C6836" t="str">
            <v>I/C CHARGES BRANCHES SAME CORP</v>
          </cell>
        </row>
        <row r="6837">
          <cell r="A6837">
            <v>8001059542</v>
          </cell>
          <cell r="B6837">
            <v>391950</v>
          </cell>
          <cell r="C6837" t="str">
            <v>I/C CHARGES BRANCHES SAME CORP</v>
          </cell>
        </row>
        <row r="6838">
          <cell r="A6838">
            <v>8010512510</v>
          </cell>
          <cell r="B6838">
            <v>391950</v>
          </cell>
          <cell r="C6838" t="str">
            <v>I/C CHARGES BRANCHES SAME CORP</v>
          </cell>
        </row>
        <row r="6839">
          <cell r="A6839">
            <v>9080700</v>
          </cell>
          <cell r="B6839">
            <v>391950</v>
          </cell>
          <cell r="C6839" t="str">
            <v>I/C CHARGES BRANCHES SAME CORP</v>
          </cell>
        </row>
        <row r="6840">
          <cell r="A6840">
            <v>9080701</v>
          </cell>
          <cell r="B6840">
            <v>391950</v>
          </cell>
          <cell r="C6840" t="str">
            <v>I/C CHARGES BRANCHES SAME CORP</v>
          </cell>
        </row>
        <row r="6841">
          <cell r="A6841">
            <v>9080702</v>
          </cell>
          <cell r="B6841">
            <v>391950</v>
          </cell>
          <cell r="C6841" t="str">
            <v>I/C CHARGES BRANCHES SAME CORP</v>
          </cell>
        </row>
        <row r="6842">
          <cell r="A6842">
            <v>9080705</v>
          </cell>
          <cell r="B6842">
            <v>391950</v>
          </cell>
          <cell r="C6842" t="str">
            <v>I/C CHARGES BRANCHES SAME CORP</v>
          </cell>
        </row>
        <row r="6843">
          <cell r="A6843">
            <v>9080707</v>
          </cell>
          <cell r="B6843">
            <v>391950</v>
          </cell>
          <cell r="C6843" t="str">
            <v>I/C CHARGES BRANCHES SAME CORP</v>
          </cell>
        </row>
        <row r="6844">
          <cell r="A6844">
            <v>9080710</v>
          </cell>
          <cell r="B6844">
            <v>391950</v>
          </cell>
          <cell r="C6844" t="str">
            <v>I/C CHARGES BRANCHES SAME CORP</v>
          </cell>
        </row>
        <row r="6845">
          <cell r="A6845">
            <v>9110700</v>
          </cell>
          <cell r="B6845">
            <v>391950</v>
          </cell>
          <cell r="C6845" t="str">
            <v>I/C CHARGES BRANCHES SAME CORP</v>
          </cell>
        </row>
        <row r="6846">
          <cell r="A6846">
            <v>9110702</v>
          </cell>
          <cell r="B6846">
            <v>391950</v>
          </cell>
          <cell r="C6846" t="str">
            <v>I/C CHARGES BRANCHES SAME CORP</v>
          </cell>
        </row>
        <row r="6847">
          <cell r="A6847">
            <v>9110705</v>
          </cell>
          <cell r="B6847">
            <v>391950</v>
          </cell>
          <cell r="C6847" t="str">
            <v>I/C CHARGES BRANCHES SAME CORP</v>
          </cell>
        </row>
        <row r="6848">
          <cell r="A6848">
            <v>9110707</v>
          </cell>
          <cell r="B6848">
            <v>391950</v>
          </cell>
          <cell r="C6848" t="str">
            <v>I/C CHARGES BRANCHES SAME CORP</v>
          </cell>
        </row>
        <row r="6849">
          <cell r="A6849">
            <v>9680700</v>
          </cell>
          <cell r="B6849">
            <v>391950</v>
          </cell>
          <cell r="C6849" t="str">
            <v>I/C CHARGES BRANCHES SAME CORP</v>
          </cell>
        </row>
        <row r="6850">
          <cell r="A6850">
            <v>9680710</v>
          </cell>
          <cell r="B6850">
            <v>391950</v>
          </cell>
          <cell r="C6850" t="str">
            <v>I/C CHARGES BRANCHES SAME CORP</v>
          </cell>
        </row>
        <row r="6851">
          <cell r="A6851">
            <v>9681700</v>
          </cell>
          <cell r="B6851">
            <v>391950</v>
          </cell>
          <cell r="C6851" t="str">
            <v>I/C CHARGES BRANCHES SAME CORP</v>
          </cell>
        </row>
        <row r="6852">
          <cell r="A6852">
            <v>9681701</v>
          </cell>
          <cell r="B6852">
            <v>391950</v>
          </cell>
          <cell r="C6852" t="str">
            <v>I/C CHARGES BRANCHES SAME CORP</v>
          </cell>
        </row>
        <row r="6853">
          <cell r="A6853">
            <v>9681702</v>
          </cell>
          <cell r="B6853">
            <v>391950</v>
          </cell>
          <cell r="C6853" t="str">
            <v>I/C CHARGES BRANCHES SAME CORP</v>
          </cell>
        </row>
        <row r="6854">
          <cell r="A6854">
            <v>9681705</v>
          </cell>
          <cell r="B6854">
            <v>391950</v>
          </cell>
          <cell r="C6854" t="str">
            <v>I/C CHARGES BRANCHES SAME CORP</v>
          </cell>
        </row>
        <row r="6855">
          <cell r="A6855">
            <v>9681706</v>
          </cell>
          <cell r="B6855">
            <v>391950</v>
          </cell>
          <cell r="C6855" t="str">
            <v>I/C CHARGES BRANCHES SAME CORP</v>
          </cell>
        </row>
        <row r="6856">
          <cell r="A6856">
            <v>9681707</v>
          </cell>
          <cell r="B6856">
            <v>391950</v>
          </cell>
          <cell r="C6856" t="str">
            <v>I/C CHARGES BRANCHES SAME CORP</v>
          </cell>
        </row>
        <row r="6857">
          <cell r="A6857">
            <v>9681710</v>
          </cell>
          <cell r="B6857">
            <v>391950</v>
          </cell>
          <cell r="C6857" t="str">
            <v>I/C CHARGES BRANCHES SAME CORP</v>
          </cell>
        </row>
        <row r="6858">
          <cell r="A6858">
            <v>9681712</v>
          </cell>
          <cell r="B6858">
            <v>391950</v>
          </cell>
          <cell r="C6858" t="str">
            <v>I/C CHARGES BRANCHES SAME CORP</v>
          </cell>
        </row>
        <row r="6859">
          <cell r="A6859">
            <v>9681727</v>
          </cell>
          <cell r="B6859">
            <v>391950</v>
          </cell>
          <cell r="C6859" t="str">
            <v>I/C CHARGES BRANCHES SAME CORP</v>
          </cell>
        </row>
        <row r="6860">
          <cell r="A6860">
            <v>9681749</v>
          </cell>
          <cell r="B6860">
            <v>391950</v>
          </cell>
          <cell r="C6860" t="str">
            <v>I/C CHARGES BRANCHES SAME CORP</v>
          </cell>
        </row>
        <row r="6861">
          <cell r="A6861">
            <v>9681999</v>
          </cell>
          <cell r="B6861">
            <v>391950</v>
          </cell>
          <cell r="C6861" t="str">
            <v>I/C CHARGES BRANCHES SAME CORP</v>
          </cell>
        </row>
        <row r="6862">
          <cell r="A6862">
            <v>9682715</v>
          </cell>
          <cell r="B6862">
            <v>391950</v>
          </cell>
          <cell r="C6862" t="str">
            <v>I/C CHARGES BRANCHES SAME CORP</v>
          </cell>
        </row>
        <row r="6863">
          <cell r="A6863">
            <v>9683999</v>
          </cell>
          <cell r="B6863">
            <v>391950</v>
          </cell>
          <cell r="C6863" t="str">
            <v>I/C CHARGES BRANCHES SAME CORP</v>
          </cell>
        </row>
        <row r="6864">
          <cell r="A6864">
            <v>9689883</v>
          </cell>
          <cell r="B6864">
            <v>391950</v>
          </cell>
          <cell r="C6864" t="str">
            <v>I/C CHARGES BRANCHES SAME CORP</v>
          </cell>
        </row>
        <row r="6865">
          <cell r="A6865">
            <v>9689906</v>
          </cell>
          <cell r="B6865">
            <v>391950</v>
          </cell>
          <cell r="C6865" t="str">
            <v>I/C CHARGES BRANCHES SAME CORP</v>
          </cell>
        </row>
        <row r="6866">
          <cell r="A6866">
            <v>9689992</v>
          </cell>
          <cell r="B6866">
            <v>391950</v>
          </cell>
          <cell r="C6866" t="str">
            <v>I/C CHARGES BRANCHES SAME CORP</v>
          </cell>
        </row>
        <row r="6867">
          <cell r="A6867">
            <v>9720703</v>
          </cell>
          <cell r="B6867">
            <v>391950</v>
          </cell>
          <cell r="C6867" t="str">
            <v>I/C CHARGES BRANCHES SAME CORP</v>
          </cell>
        </row>
        <row r="6868">
          <cell r="A6868">
            <v>9724718</v>
          </cell>
          <cell r="B6868">
            <v>391950</v>
          </cell>
          <cell r="C6868" t="str">
            <v>I/C CHARGES BRANCHES SAME CORP</v>
          </cell>
        </row>
        <row r="6869">
          <cell r="A6869">
            <v>9724721</v>
          </cell>
          <cell r="B6869">
            <v>391950</v>
          </cell>
          <cell r="C6869" t="str">
            <v>I/C CHARGES BRANCHES SAME CORP</v>
          </cell>
        </row>
        <row r="6870">
          <cell r="A6870">
            <v>9724724</v>
          </cell>
          <cell r="B6870">
            <v>391950</v>
          </cell>
          <cell r="C6870" t="str">
            <v>I/C CHARGES BRANCHES SAME CORP</v>
          </cell>
        </row>
        <row r="6871">
          <cell r="A6871">
            <v>9725703</v>
          </cell>
          <cell r="B6871">
            <v>391950</v>
          </cell>
          <cell r="C6871" t="str">
            <v>I/C CHARGES BRANCHES SAME CORP</v>
          </cell>
        </row>
        <row r="6872">
          <cell r="A6872">
            <v>9725704</v>
          </cell>
          <cell r="B6872">
            <v>391950</v>
          </cell>
          <cell r="C6872" t="str">
            <v>I/C CHARGES BRANCHES SAME CORP</v>
          </cell>
        </row>
        <row r="6873">
          <cell r="A6873">
            <v>9725711</v>
          </cell>
          <cell r="B6873">
            <v>391950</v>
          </cell>
          <cell r="C6873" t="str">
            <v>I/C CHARGES BRANCHES SAME CORP</v>
          </cell>
        </row>
        <row r="6874">
          <cell r="A6874">
            <v>9725717</v>
          </cell>
          <cell r="B6874">
            <v>391950</v>
          </cell>
          <cell r="C6874" t="str">
            <v>I/C CHARGES BRANCHES SAME CORP</v>
          </cell>
        </row>
        <row r="6875">
          <cell r="A6875">
            <v>9725725</v>
          </cell>
          <cell r="B6875">
            <v>391950</v>
          </cell>
          <cell r="C6875" t="str">
            <v>I/C CHARGES BRANCHES SAME CORP</v>
          </cell>
        </row>
        <row r="6876">
          <cell r="A6876">
            <v>9969681</v>
          </cell>
          <cell r="B6876">
            <v>391950</v>
          </cell>
          <cell r="C6876" t="str">
            <v>I/C CHARGES BRANCHES SAME CORP</v>
          </cell>
        </row>
        <row r="6877">
          <cell r="A6877">
            <v>9969901</v>
          </cell>
          <cell r="B6877">
            <v>391950</v>
          </cell>
          <cell r="C6877" t="str">
            <v>I/C CHARGES BRANCHES SAME CORP</v>
          </cell>
        </row>
        <row r="6878">
          <cell r="A6878" t="str">
            <v>ZONE-0105-POST</v>
          </cell>
          <cell r="B6878">
            <v>391950</v>
          </cell>
          <cell r="C6878" t="str">
            <v>I/C CHARGES BRANCHES SAME CORP</v>
          </cell>
        </row>
        <row r="6879">
          <cell r="A6879" t="str">
            <v>ZONE-0112-POST</v>
          </cell>
          <cell r="B6879">
            <v>391950</v>
          </cell>
          <cell r="C6879" t="str">
            <v>I/C CHARGES BRANCHES SAME CORP</v>
          </cell>
        </row>
        <row r="6880">
          <cell r="A6880">
            <v>9080700</v>
          </cell>
          <cell r="B6880">
            <v>391969</v>
          </cell>
          <cell r="C6880" t="str">
            <v>I/C PRINTING CHARGE</v>
          </cell>
        </row>
        <row r="6881">
          <cell r="A6881">
            <v>9080701</v>
          </cell>
          <cell r="B6881">
            <v>391969</v>
          </cell>
          <cell r="C6881" t="str">
            <v>I/C PRINTING CHARGE</v>
          </cell>
        </row>
        <row r="6882">
          <cell r="A6882">
            <v>9080702</v>
          </cell>
          <cell r="B6882">
            <v>391969</v>
          </cell>
          <cell r="C6882" t="str">
            <v>I/C PRINTING CHARGE</v>
          </cell>
        </row>
        <row r="6883">
          <cell r="A6883">
            <v>9080705</v>
          </cell>
          <cell r="B6883">
            <v>391969</v>
          </cell>
          <cell r="C6883" t="str">
            <v>I/C PRINTING CHARGE</v>
          </cell>
        </row>
        <row r="6884">
          <cell r="A6884">
            <v>9080707</v>
          </cell>
          <cell r="B6884">
            <v>391969</v>
          </cell>
          <cell r="C6884" t="str">
            <v>I/C PRINTING CHARGE</v>
          </cell>
        </row>
        <row r="6885">
          <cell r="A6885">
            <v>9080710</v>
          </cell>
          <cell r="B6885">
            <v>391969</v>
          </cell>
          <cell r="C6885" t="str">
            <v>I/C PRINTING CHARGE</v>
          </cell>
        </row>
        <row r="6886">
          <cell r="A6886">
            <v>9090999</v>
          </cell>
          <cell r="B6886">
            <v>391969</v>
          </cell>
          <cell r="C6886" t="str">
            <v>I/C PRINTING CHARGE</v>
          </cell>
        </row>
        <row r="6887">
          <cell r="A6887">
            <v>9100999</v>
          </cell>
          <cell r="B6887">
            <v>391969</v>
          </cell>
          <cell r="C6887" t="str">
            <v>I/C PRINTING CHARGE</v>
          </cell>
        </row>
        <row r="6888">
          <cell r="A6888">
            <v>9110700</v>
          </cell>
          <cell r="B6888">
            <v>391969</v>
          </cell>
          <cell r="C6888" t="str">
            <v>I/C PRINTING CHARGE</v>
          </cell>
        </row>
        <row r="6889">
          <cell r="A6889">
            <v>9110702</v>
          </cell>
          <cell r="B6889">
            <v>391969</v>
          </cell>
          <cell r="C6889" t="str">
            <v>I/C PRINTING CHARGE</v>
          </cell>
        </row>
        <row r="6890">
          <cell r="A6890">
            <v>9110705</v>
          </cell>
          <cell r="B6890">
            <v>391969</v>
          </cell>
          <cell r="C6890" t="str">
            <v>I/C PRINTING CHARGE</v>
          </cell>
        </row>
        <row r="6891">
          <cell r="A6891">
            <v>9110707</v>
          </cell>
          <cell r="B6891">
            <v>391969</v>
          </cell>
          <cell r="C6891" t="str">
            <v>I/C PRINTING CHARGE</v>
          </cell>
        </row>
        <row r="6892">
          <cell r="A6892">
            <v>9680700</v>
          </cell>
          <cell r="B6892">
            <v>391969</v>
          </cell>
          <cell r="C6892" t="str">
            <v>I/C PRINTING CHARGE</v>
          </cell>
        </row>
        <row r="6893">
          <cell r="A6893">
            <v>9680701</v>
          </cell>
          <cell r="B6893">
            <v>391969</v>
          </cell>
          <cell r="C6893" t="str">
            <v>I/C PRINTING CHARGE</v>
          </cell>
        </row>
        <row r="6894">
          <cell r="A6894">
            <v>9680702</v>
          </cell>
          <cell r="B6894">
            <v>391969</v>
          </cell>
          <cell r="C6894" t="str">
            <v>I/C PRINTING CHARGE</v>
          </cell>
        </row>
        <row r="6895">
          <cell r="A6895">
            <v>9680705</v>
          </cell>
          <cell r="B6895">
            <v>391969</v>
          </cell>
          <cell r="C6895" t="str">
            <v>I/C PRINTING CHARGE</v>
          </cell>
        </row>
        <row r="6896">
          <cell r="A6896">
            <v>9680707</v>
          </cell>
          <cell r="B6896">
            <v>391969</v>
          </cell>
          <cell r="C6896" t="str">
            <v>I/C PRINTING CHARGE</v>
          </cell>
        </row>
        <row r="6897">
          <cell r="A6897">
            <v>9680710</v>
          </cell>
          <cell r="B6897">
            <v>391969</v>
          </cell>
          <cell r="C6897" t="str">
            <v>I/C PRINTING CHARGE</v>
          </cell>
        </row>
        <row r="6898">
          <cell r="A6898">
            <v>9680712</v>
          </cell>
          <cell r="B6898">
            <v>391969</v>
          </cell>
          <cell r="C6898" t="str">
            <v>I/C PRINTING CHARGE</v>
          </cell>
        </row>
        <row r="6899">
          <cell r="A6899">
            <v>9680714</v>
          </cell>
          <cell r="B6899">
            <v>391969</v>
          </cell>
          <cell r="C6899" t="str">
            <v>I/C PRINTING CHARGE</v>
          </cell>
        </row>
        <row r="6900">
          <cell r="A6900">
            <v>9680734</v>
          </cell>
          <cell r="B6900">
            <v>391969</v>
          </cell>
          <cell r="C6900" t="str">
            <v>I/C PRINTING CHARGE</v>
          </cell>
        </row>
        <row r="6901">
          <cell r="A6901">
            <v>9680748</v>
          </cell>
          <cell r="B6901">
            <v>391969</v>
          </cell>
          <cell r="C6901" t="str">
            <v>I/C PRINTING CHARGE</v>
          </cell>
        </row>
        <row r="6902">
          <cell r="A6902">
            <v>9680749</v>
          </cell>
          <cell r="B6902">
            <v>391969</v>
          </cell>
          <cell r="C6902" t="str">
            <v>I/C PRINTING CHARGE</v>
          </cell>
        </row>
        <row r="6903">
          <cell r="A6903">
            <v>9680894</v>
          </cell>
          <cell r="B6903">
            <v>391969</v>
          </cell>
          <cell r="C6903" t="str">
            <v>I/C PRINTING CHARGE</v>
          </cell>
        </row>
        <row r="6904">
          <cell r="A6904">
            <v>9680999</v>
          </cell>
          <cell r="B6904">
            <v>391969</v>
          </cell>
          <cell r="C6904" t="str">
            <v>I/C PRINTING CHARGE</v>
          </cell>
        </row>
        <row r="6905">
          <cell r="A6905">
            <v>9681700</v>
          </cell>
          <cell r="B6905">
            <v>391969</v>
          </cell>
          <cell r="C6905" t="str">
            <v>I/C PRINTING CHARGE</v>
          </cell>
        </row>
        <row r="6906">
          <cell r="A6906">
            <v>9681701</v>
          </cell>
          <cell r="B6906">
            <v>391969</v>
          </cell>
          <cell r="C6906" t="str">
            <v>I/C PRINTING CHARGE</v>
          </cell>
        </row>
        <row r="6907">
          <cell r="A6907">
            <v>9681702</v>
          </cell>
          <cell r="B6907">
            <v>391969</v>
          </cell>
          <cell r="C6907" t="str">
            <v>I/C PRINTING CHARGE</v>
          </cell>
        </row>
        <row r="6908">
          <cell r="A6908">
            <v>9681705</v>
          </cell>
          <cell r="B6908">
            <v>391969</v>
          </cell>
          <cell r="C6908" t="str">
            <v>I/C PRINTING CHARGE</v>
          </cell>
        </row>
        <row r="6909">
          <cell r="A6909">
            <v>9681706</v>
          </cell>
          <cell r="B6909">
            <v>391969</v>
          </cell>
          <cell r="C6909" t="str">
            <v>I/C PRINTING CHARGE</v>
          </cell>
        </row>
        <row r="6910">
          <cell r="A6910">
            <v>9681707</v>
          </cell>
          <cell r="B6910">
            <v>391969</v>
          </cell>
          <cell r="C6910" t="str">
            <v>I/C PRINTING CHARGE</v>
          </cell>
        </row>
        <row r="6911">
          <cell r="A6911">
            <v>9681710</v>
          </cell>
          <cell r="B6911">
            <v>391969</v>
          </cell>
          <cell r="C6911" t="str">
            <v>I/C PRINTING CHARGE</v>
          </cell>
        </row>
        <row r="6912">
          <cell r="A6912">
            <v>9681712</v>
          </cell>
          <cell r="B6912">
            <v>391969</v>
          </cell>
          <cell r="C6912" t="str">
            <v>I/C PRINTING CHARGE</v>
          </cell>
        </row>
        <row r="6913">
          <cell r="A6913">
            <v>9681727</v>
          </cell>
          <cell r="B6913">
            <v>391969</v>
          </cell>
          <cell r="C6913" t="str">
            <v>I/C PRINTING CHARGE</v>
          </cell>
        </row>
        <row r="6914">
          <cell r="A6914">
            <v>9681734</v>
          </cell>
          <cell r="B6914">
            <v>391969</v>
          </cell>
          <cell r="C6914" t="str">
            <v>I/C PRINTING CHARGE</v>
          </cell>
        </row>
        <row r="6915">
          <cell r="A6915">
            <v>9681748</v>
          </cell>
          <cell r="B6915">
            <v>391969</v>
          </cell>
          <cell r="C6915" t="str">
            <v>I/C PRINTING CHARGE</v>
          </cell>
        </row>
        <row r="6916">
          <cell r="A6916">
            <v>9681749</v>
          </cell>
          <cell r="B6916">
            <v>391969</v>
          </cell>
          <cell r="C6916" t="str">
            <v>I/C PRINTING CHARGE</v>
          </cell>
        </row>
        <row r="6917">
          <cell r="A6917">
            <v>9681894</v>
          </cell>
          <cell r="B6917">
            <v>391969</v>
          </cell>
          <cell r="C6917" t="str">
            <v>I/C PRINTING CHARGE</v>
          </cell>
        </row>
        <row r="6918">
          <cell r="A6918">
            <v>9681999</v>
          </cell>
          <cell r="B6918">
            <v>391969</v>
          </cell>
          <cell r="C6918" t="str">
            <v>I/C PRINTING CHARGE</v>
          </cell>
        </row>
        <row r="6919">
          <cell r="A6919">
            <v>9682715</v>
          </cell>
          <cell r="B6919">
            <v>391969</v>
          </cell>
          <cell r="C6919" t="str">
            <v>I/C PRINTING CHARGE</v>
          </cell>
        </row>
        <row r="6920">
          <cell r="A6920">
            <v>9682722</v>
          </cell>
          <cell r="B6920">
            <v>391969</v>
          </cell>
          <cell r="C6920" t="str">
            <v>I/C PRINTING CHARGE</v>
          </cell>
        </row>
        <row r="6921">
          <cell r="A6921">
            <v>9682999</v>
          </cell>
          <cell r="B6921">
            <v>391969</v>
          </cell>
          <cell r="C6921" t="str">
            <v>I/C PRINTING CHARGE</v>
          </cell>
        </row>
        <row r="6922">
          <cell r="A6922">
            <v>9683999</v>
          </cell>
          <cell r="B6922">
            <v>391969</v>
          </cell>
          <cell r="C6922" t="str">
            <v>I/C PRINTING CHARGE</v>
          </cell>
        </row>
        <row r="6923">
          <cell r="A6923">
            <v>9684999</v>
          </cell>
          <cell r="B6923">
            <v>391969</v>
          </cell>
          <cell r="C6923" t="str">
            <v>I/C PRINTING CHARGE</v>
          </cell>
        </row>
        <row r="6924">
          <cell r="A6924">
            <v>9689692</v>
          </cell>
          <cell r="B6924">
            <v>391969</v>
          </cell>
          <cell r="C6924" t="str">
            <v>I/C PRINTING CHARGE</v>
          </cell>
        </row>
        <row r="6925">
          <cell r="A6925">
            <v>9689747</v>
          </cell>
          <cell r="B6925">
            <v>391969</v>
          </cell>
          <cell r="C6925" t="str">
            <v>I/C PRINTING CHARGE</v>
          </cell>
        </row>
        <row r="6926">
          <cell r="A6926">
            <v>9689883</v>
          </cell>
          <cell r="B6926">
            <v>391969</v>
          </cell>
          <cell r="C6926" t="str">
            <v>I/C PRINTING CHARGE</v>
          </cell>
        </row>
        <row r="6927">
          <cell r="A6927">
            <v>9689890</v>
          </cell>
          <cell r="B6927">
            <v>391969</v>
          </cell>
          <cell r="C6927" t="str">
            <v>I/C PRINTING CHARGE</v>
          </cell>
        </row>
        <row r="6928">
          <cell r="A6928">
            <v>9689906</v>
          </cell>
          <cell r="B6928">
            <v>391969</v>
          </cell>
          <cell r="C6928" t="str">
            <v>I/C PRINTING CHARGE</v>
          </cell>
        </row>
        <row r="6929">
          <cell r="A6929">
            <v>9689925</v>
          </cell>
          <cell r="B6929">
            <v>391969</v>
          </cell>
          <cell r="C6929" t="str">
            <v>I/C PRINTING CHARGE</v>
          </cell>
        </row>
        <row r="6930">
          <cell r="A6930">
            <v>9689990</v>
          </cell>
          <cell r="B6930">
            <v>391969</v>
          </cell>
          <cell r="C6930" t="str">
            <v>I/C PRINTING CHARGE</v>
          </cell>
        </row>
        <row r="6931">
          <cell r="A6931">
            <v>9689992</v>
          </cell>
          <cell r="B6931">
            <v>391969</v>
          </cell>
          <cell r="C6931" t="str">
            <v>I/C PRINTING CHARGE</v>
          </cell>
        </row>
        <row r="6932">
          <cell r="A6932">
            <v>9080700</v>
          </cell>
          <cell r="B6932">
            <v>391975</v>
          </cell>
          <cell r="C6932" t="str">
            <v>INTRA CORP CHRG/CR-RTL TO CORP</v>
          </cell>
        </row>
        <row r="6933">
          <cell r="A6933">
            <v>9080701</v>
          </cell>
          <cell r="B6933">
            <v>391975</v>
          </cell>
          <cell r="C6933" t="str">
            <v>INTRA CORP CHRG/CR-RTL TO CORP</v>
          </cell>
        </row>
        <row r="6934">
          <cell r="A6934">
            <v>9080702</v>
          </cell>
          <cell r="B6934">
            <v>391975</v>
          </cell>
          <cell r="C6934" t="str">
            <v>INTRA CORP CHRG/CR-RTL TO CORP</v>
          </cell>
        </row>
        <row r="6935">
          <cell r="A6935">
            <v>9080705</v>
          </cell>
          <cell r="B6935">
            <v>391975</v>
          </cell>
          <cell r="C6935" t="str">
            <v>INTRA CORP CHRG/CR-RTL TO CORP</v>
          </cell>
        </row>
        <row r="6936">
          <cell r="A6936">
            <v>9080707</v>
          </cell>
          <cell r="B6936">
            <v>391975</v>
          </cell>
          <cell r="C6936" t="str">
            <v>INTRA CORP CHRG/CR-RTL TO CORP</v>
          </cell>
        </row>
        <row r="6937">
          <cell r="A6937">
            <v>9080710</v>
          </cell>
          <cell r="B6937">
            <v>391975</v>
          </cell>
          <cell r="C6937" t="str">
            <v>INTRA CORP CHRG/CR-RTL TO CORP</v>
          </cell>
        </row>
        <row r="6938">
          <cell r="A6938">
            <v>9090999</v>
          </cell>
          <cell r="B6938">
            <v>391975</v>
          </cell>
          <cell r="C6938" t="str">
            <v>INTRA CORP CHRG/CR-RTL TO CORP</v>
          </cell>
        </row>
        <row r="6939">
          <cell r="A6939">
            <v>9100999</v>
          </cell>
          <cell r="B6939">
            <v>391975</v>
          </cell>
          <cell r="C6939" t="str">
            <v>INTRA CORP CHRG/CR-RTL TO CORP</v>
          </cell>
        </row>
        <row r="6940">
          <cell r="A6940">
            <v>9110700</v>
          </cell>
          <cell r="B6940">
            <v>391975</v>
          </cell>
          <cell r="C6940" t="str">
            <v>INTRA CORP CHRG/CR-RTL TO CORP</v>
          </cell>
        </row>
        <row r="6941">
          <cell r="A6941">
            <v>9110702</v>
          </cell>
          <cell r="B6941">
            <v>391975</v>
          </cell>
          <cell r="C6941" t="str">
            <v>INTRA CORP CHRG/CR-RTL TO CORP</v>
          </cell>
        </row>
        <row r="6942">
          <cell r="A6942">
            <v>9110705</v>
          </cell>
          <cell r="B6942">
            <v>391975</v>
          </cell>
          <cell r="C6942" t="str">
            <v>INTRA CORP CHRG/CR-RTL TO CORP</v>
          </cell>
        </row>
        <row r="6943">
          <cell r="A6943">
            <v>9110707</v>
          </cell>
          <cell r="B6943">
            <v>391975</v>
          </cell>
          <cell r="C6943" t="str">
            <v>INTRA CORP CHRG/CR-RTL TO CORP</v>
          </cell>
        </row>
        <row r="6944">
          <cell r="A6944">
            <v>9680700</v>
          </cell>
          <cell r="B6944">
            <v>391975</v>
          </cell>
          <cell r="C6944" t="str">
            <v>INTRA CORP CHRG/CR-RTL TO CORP</v>
          </cell>
        </row>
        <row r="6945">
          <cell r="A6945">
            <v>9680701</v>
          </cell>
          <cell r="B6945">
            <v>391975</v>
          </cell>
          <cell r="C6945" t="str">
            <v>INTRA CORP CHRG/CR-RTL TO CORP</v>
          </cell>
        </row>
        <row r="6946">
          <cell r="A6946">
            <v>9680702</v>
          </cell>
          <cell r="B6946">
            <v>391975</v>
          </cell>
          <cell r="C6946" t="str">
            <v>INTRA CORP CHRG/CR-RTL TO CORP</v>
          </cell>
        </row>
        <row r="6947">
          <cell r="A6947">
            <v>9680705</v>
          </cell>
          <cell r="B6947">
            <v>391975</v>
          </cell>
          <cell r="C6947" t="str">
            <v>INTRA CORP CHRG/CR-RTL TO CORP</v>
          </cell>
        </row>
        <row r="6948">
          <cell r="A6948">
            <v>9680707</v>
          </cell>
          <cell r="B6948">
            <v>391975</v>
          </cell>
          <cell r="C6948" t="str">
            <v>INTRA CORP CHRG/CR-RTL TO CORP</v>
          </cell>
        </row>
        <row r="6949">
          <cell r="A6949">
            <v>9680710</v>
          </cell>
          <cell r="B6949">
            <v>391975</v>
          </cell>
          <cell r="C6949" t="str">
            <v>INTRA CORP CHRG/CR-RTL TO CORP</v>
          </cell>
        </row>
        <row r="6950">
          <cell r="A6950">
            <v>9680712</v>
          </cell>
          <cell r="B6950">
            <v>391975</v>
          </cell>
          <cell r="C6950" t="str">
            <v>INTRA CORP CHRG/CR-RTL TO CORP</v>
          </cell>
        </row>
        <row r="6951">
          <cell r="A6951">
            <v>9680714</v>
          </cell>
          <cell r="B6951">
            <v>391975</v>
          </cell>
          <cell r="C6951" t="str">
            <v>INTRA CORP CHRG/CR-RTL TO CORP</v>
          </cell>
        </row>
        <row r="6952">
          <cell r="A6952">
            <v>9680734</v>
          </cell>
          <cell r="B6952">
            <v>391975</v>
          </cell>
          <cell r="C6952" t="str">
            <v>INTRA CORP CHRG/CR-RTL TO CORP</v>
          </cell>
        </row>
        <row r="6953">
          <cell r="A6953">
            <v>9680748</v>
          </cell>
          <cell r="B6953">
            <v>391975</v>
          </cell>
          <cell r="C6953" t="str">
            <v>INTRA CORP CHRG/CR-RTL TO CORP</v>
          </cell>
        </row>
        <row r="6954">
          <cell r="A6954">
            <v>9680749</v>
          </cell>
          <cell r="B6954">
            <v>391975</v>
          </cell>
          <cell r="C6954" t="str">
            <v>INTRA CORP CHRG/CR-RTL TO CORP</v>
          </cell>
        </row>
        <row r="6955">
          <cell r="A6955">
            <v>9680894</v>
          </cell>
          <cell r="B6955">
            <v>391975</v>
          </cell>
          <cell r="C6955" t="str">
            <v>INTRA CORP CHRG/CR-RTL TO CORP</v>
          </cell>
        </row>
        <row r="6956">
          <cell r="A6956">
            <v>9680999</v>
          </cell>
          <cell r="B6956">
            <v>391975</v>
          </cell>
          <cell r="C6956" t="str">
            <v>INTRA CORP CHRG/CR-RTL TO CORP</v>
          </cell>
        </row>
        <row r="6957">
          <cell r="A6957">
            <v>9681700</v>
          </cell>
          <cell r="B6957">
            <v>391975</v>
          </cell>
          <cell r="C6957" t="str">
            <v>INTRA CORP CHRG/CR-RTL TO CORP</v>
          </cell>
        </row>
        <row r="6958">
          <cell r="A6958">
            <v>9681701</v>
          </cell>
          <cell r="B6958">
            <v>391975</v>
          </cell>
          <cell r="C6958" t="str">
            <v>INTRA CORP CHRG/CR-RTL TO CORP</v>
          </cell>
        </row>
        <row r="6959">
          <cell r="A6959">
            <v>9681702</v>
          </cell>
          <cell r="B6959">
            <v>391975</v>
          </cell>
          <cell r="C6959" t="str">
            <v>INTRA CORP CHRG/CR-RTL TO CORP</v>
          </cell>
        </row>
        <row r="6960">
          <cell r="A6960">
            <v>9681705</v>
          </cell>
          <cell r="B6960">
            <v>391975</v>
          </cell>
          <cell r="C6960" t="str">
            <v>INTRA CORP CHRG/CR-RTL TO CORP</v>
          </cell>
        </row>
        <row r="6961">
          <cell r="A6961">
            <v>9681706</v>
          </cell>
          <cell r="B6961">
            <v>391975</v>
          </cell>
          <cell r="C6961" t="str">
            <v>INTRA CORP CHRG/CR-RTL TO CORP</v>
          </cell>
        </row>
        <row r="6962">
          <cell r="A6962">
            <v>9681707</v>
          </cell>
          <cell r="B6962">
            <v>391975</v>
          </cell>
          <cell r="C6962" t="str">
            <v>INTRA CORP CHRG/CR-RTL TO CORP</v>
          </cell>
        </row>
        <row r="6963">
          <cell r="A6963">
            <v>9681710</v>
          </cell>
          <cell r="B6963">
            <v>391975</v>
          </cell>
          <cell r="C6963" t="str">
            <v>INTRA CORP CHRG/CR-RTL TO CORP</v>
          </cell>
        </row>
        <row r="6964">
          <cell r="A6964">
            <v>9681712</v>
          </cell>
          <cell r="B6964">
            <v>391975</v>
          </cell>
          <cell r="C6964" t="str">
            <v>INTRA CORP CHRG/CR-RTL TO CORP</v>
          </cell>
        </row>
        <row r="6965">
          <cell r="A6965">
            <v>9681727</v>
          </cell>
          <cell r="B6965">
            <v>391975</v>
          </cell>
          <cell r="C6965" t="str">
            <v>INTRA CORP CHRG/CR-RTL TO CORP</v>
          </cell>
        </row>
        <row r="6966">
          <cell r="A6966">
            <v>9681734</v>
          </cell>
          <cell r="B6966">
            <v>391975</v>
          </cell>
          <cell r="C6966" t="str">
            <v>INTRA CORP CHRG/CR-RTL TO CORP</v>
          </cell>
        </row>
        <row r="6967">
          <cell r="A6967">
            <v>9681748</v>
          </cell>
          <cell r="B6967">
            <v>391975</v>
          </cell>
          <cell r="C6967" t="str">
            <v>INTRA CORP CHRG/CR-RTL TO CORP</v>
          </cell>
        </row>
        <row r="6968">
          <cell r="A6968">
            <v>9681749</v>
          </cell>
          <cell r="B6968">
            <v>391975</v>
          </cell>
          <cell r="C6968" t="str">
            <v>INTRA CORP CHRG/CR-RTL TO CORP</v>
          </cell>
        </row>
        <row r="6969">
          <cell r="A6969">
            <v>9681894</v>
          </cell>
          <cell r="B6969">
            <v>391975</v>
          </cell>
          <cell r="C6969" t="str">
            <v>INTRA CORP CHRG/CR-RTL TO CORP</v>
          </cell>
        </row>
        <row r="6970">
          <cell r="A6970">
            <v>9681999</v>
          </cell>
          <cell r="B6970">
            <v>391975</v>
          </cell>
          <cell r="C6970" t="str">
            <v>INTRA CORP CHRG/CR-RTL TO CORP</v>
          </cell>
        </row>
        <row r="6971">
          <cell r="A6971">
            <v>9682715</v>
          </cell>
          <cell r="B6971">
            <v>391975</v>
          </cell>
          <cell r="C6971" t="str">
            <v>INTRA CORP CHRG/CR-RTL TO CORP</v>
          </cell>
        </row>
        <row r="6972">
          <cell r="A6972">
            <v>9682722</v>
          </cell>
          <cell r="B6972">
            <v>391975</v>
          </cell>
          <cell r="C6972" t="str">
            <v>INTRA CORP CHRG/CR-RTL TO CORP</v>
          </cell>
        </row>
        <row r="6973">
          <cell r="A6973">
            <v>9682999</v>
          </cell>
          <cell r="B6973">
            <v>391975</v>
          </cell>
          <cell r="C6973" t="str">
            <v>INTRA CORP CHRG/CR-RTL TO CORP</v>
          </cell>
        </row>
        <row r="6974">
          <cell r="A6974">
            <v>9683999</v>
          </cell>
          <cell r="B6974">
            <v>391975</v>
          </cell>
          <cell r="C6974" t="str">
            <v>INTRA CORP CHRG/CR-RTL TO CORP</v>
          </cell>
        </row>
        <row r="6975">
          <cell r="A6975">
            <v>9684999</v>
          </cell>
          <cell r="B6975">
            <v>391975</v>
          </cell>
          <cell r="C6975" t="str">
            <v>INTRA CORP CHRG/CR-RTL TO CORP</v>
          </cell>
        </row>
        <row r="6976">
          <cell r="A6976">
            <v>9689692</v>
          </cell>
          <cell r="B6976">
            <v>391975</v>
          </cell>
          <cell r="C6976" t="str">
            <v>INTRA CORP CHRG/CR-RTL TO CORP</v>
          </cell>
        </row>
        <row r="6977">
          <cell r="A6977">
            <v>9689747</v>
          </cell>
          <cell r="B6977">
            <v>391975</v>
          </cell>
          <cell r="C6977" t="str">
            <v>INTRA CORP CHRG/CR-RTL TO CORP</v>
          </cell>
        </row>
        <row r="6978">
          <cell r="A6978">
            <v>9689883</v>
          </cell>
          <cell r="B6978">
            <v>391975</v>
          </cell>
          <cell r="C6978" t="str">
            <v>INTRA CORP CHRG/CR-RTL TO CORP</v>
          </cell>
        </row>
        <row r="6979">
          <cell r="A6979">
            <v>9689890</v>
          </cell>
          <cell r="B6979">
            <v>391975</v>
          </cell>
          <cell r="C6979" t="str">
            <v>INTRA CORP CHRG/CR-RTL TO CORP</v>
          </cell>
        </row>
        <row r="6980">
          <cell r="A6980">
            <v>9689906</v>
          </cell>
          <cell r="B6980">
            <v>391975</v>
          </cell>
          <cell r="C6980" t="str">
            <v>INTRA CORP CHRG/CR-RTL TO CORP</v>
          </cell>
        </row>
        <row r="6981">
          <cell r="A6981">
            <v>9689925</v>
          </cell>
          <cell r="B6981">
            <v>391975</v>
          </cell>
          <cell r="C6981" t="str">
            <v>INTRA CORP CHRG/CR-RTL TO CORP</v>
          </cell>
        </row>
        <row r="6982">
          <cell r="A6982">
            <v>9689990</v>
          </cell>
          <cell r="B6982">
            <v>391975</v>
          </cell>
          <cell r="C6982" t="str">
            <v>INTRA CORP CHRG/CR-RTL TO CORP</v>
          </cell>
        </row>
        <row r="6983">
          <cell r="A6983">
            <v>9689992</v>
          </cell>
          <cell r="B6983">
            <v>391975</v>
          </cell>
          <cell r="C6983" t="str">
            <v>INTRA CORP CHRG/CR-RTL TO CORP</v>
          </cell>
        </row>
        <row r="6984">
          <cell r="A6984">
            <v>9689993</v>
          </cell>
          <cell r="B6984">
            <v>391975</v>
          </cell>
          <cell r="C6984" t="str">
            <v>INTRA CORP CHRG/CR-RTL TO CORP</v>
          </cell>
        </row>
        <row r="6985">
          <cell r="A6985">
            <v>9720703</v>
          </cell>
          <cell r="B6985">
            <v>391975</v>
          </cell>
          <cell r="C6985" t="str">
            <v>INTRA CORP CHRG/CR-RTL TO CORP</v>
          </cell>
        </row>
        <row r="6986">
          <cell r="A6986">
            <v>9722709</v>
          </cell>
          <cell r="B6986">
            <v>391975</v>
          </cell>
          <cell r="C6986" t="str">
            <v>INTRA CORP CHRG/CR-RTL TO CORP</v>
          </cell>
        </row>
        <row r="6987">
          <cell r="A6987">
            <v>9722713</v>
          </cell>
          <cell r="B6987">
            <v>391975</v>
          </cell>
          <cell r="C6987" t="str">
            <v>INTRA CORP CHRG/CR-RTL TO CORP</v>
          </cell>
        </row>
        <row r="6988">
          <cell r="A6988">
            <v>9723723</v>
          </cell>
          <cell r="B6988">
            <v>391975</v>
          </cell>
          <cell r="C6988" t="str">
            <v>INTRA CORP CHRG/CR-RTL TO CORP</v>
          </cell>
        </row>
        <row r="6989">
          <cell r="A6989">
            <v>9723729</v>
          </cell>
          <cell r="B6989">
            <v>391975</v>
          </cell>
          <cell r="C6989" t="str">
            <v>INTRA CORP CHRG/CR-RTL TO CORP</v>
          </cell>
        </row>
        <row r="6990">
          <cell r="A6990">
            <v>9724718</v>
          </cell>
          <cell r="B6990">
            <v>391975</v>
          </cell>
          <cell r="C6990" t="str">
            <v>INTRA CORP CHRG/CR-RTL TO CORP</v>
          </cell>
        </row>
        <row r="6991">
          <cell r="A6991">
            <v>9724721</v>
          </cell>
          <cell r="B6991">
            <v>391975</v>
          </cell>
          <cell r="C6991" t="str">
            <v>INTRA CORP CHRG/CR-RTL TO CORP</v>
          </cell>
        </row>
        <row r="6992">
          <cell r="A6992">
            <v>9724724</v>
          </cell>
          <cell r="B6992">
            <v>391975</v>
          </cell>
          <cell r="C6992" t="str">
            <v>INTRA CORP CHRG/CR-RTL TO CORP</v>
          </cell>
        </row>
        <row r="6993">
          <cell r="A6993">
            <v>9725703</v>
          </cell>
          <cell r="B6993">
            <v>391975</v>
          </cell>
          <cell r="C6993" t="str">
            <v>INTRA CORP CHRG/CR-RTL TO CORP</v>
          </cell>
        </row>
        <row r="6994">
          <cell r="A6994">
            <v>9725704</v>
          </cell>
          <cell r="B6994">
            <v>391975</v>
          </cell>
          <cell r="C6994" t="str">
            <v>INTRA CORP CHRG/CR-RTL TO CORP</v>
          </cell>
        </row>
        <row r="6995">
          <cell r="A6995">
            <v>9725711</v>
          </cell>
          <cell r="B6995">
            <v>391975</v>
          </cell>
          <cell r="C6995" t="str">
            <v>INTRA CORP CHRG/CR-RTL TO CORP</v>
          </cell>
        </row>
        <row r="6996">
          <cell r="A6996">
            <v>9725717</v>
          </cell>
          <cell r="B6996">
            <v>391975</v>
          </cell>
          <cell r="C6996" t="str">
            <v>INTRA CORP CHRG/CR-RTL TO CORP</v>
          </cell>
        </row>
        <row r="6997">
          <cell r="A6997">
            <v>9725725</v>
          </cell>
          <cell r="B6997">
            <v>391975</v>
          </cell>
          <cell r="C6997" t="str">
            <v>INTRA CORP CHRG/CR-RTL TO CORP</v>
          </cell>
        </row>
        <row r="6998">
          <cell r="A6998">
            <v>9090999</v>
          </cell>
          <cell r="B6998">
            <v>391976</v>
          </cell>
          <cell r="C6998" t="str">
            <v>EMPLOYEE BENEFITS- INTRA CO</v>
          </cell>
        </row>
        <row r="6999">
          <cell r="A6999">
            <v>9100999</v>
          </cell>
          <cell r="B6999">
            <v>391976</v>
          </cell>
          <cell r="C6999" t="str">
            <v>EMPLOYEE BENEFITS- INTRA CO</v>
          </cell>
        </row>
        <row r="7000">
          <cell r="A7000">
            <v>9680700</v>
          </cell>
          <cell r="B7000">
            <v>391976</v>
          </cell>
          <cell r="C7000" t="str">
            <v>EMPLOYEE BENEFITS- INTRA CO</v>
          </cell>
        </row>
        <row r="7001">
          <cell r="A7001">
            <v>9680701</v>
          </cell>
          <cell r="B7001">
            <v>391976</v>
          </cell>
          <cell r="C7001" t="str">
            <v>EMPLOYEE BENEFITS- INTRA CO</v>
          </cell>
        </row>
        <row r="7002">
          <cell r="A7002">
            <v>9680702</v>
          </cell>
          <cell r="B7002">
            <v>391976</v>
          </cell>
          <cell r="C7002" t="str">
            <v>EMPLOYEE BENEFITS- INTRA CO</v>
          </cell>
        </row>
        <row r="7003">
          <cell r="A7003">
            <v>9680705</v>
          </cell>
          <cell r="B7003">
            <v>391976</v>
          </cell>
          <cell r="C7003" t="str">
            <v>EMPLOYEE BENEFITS- INTRA CO</v>
          </cell>
        </row>
        <row r="7004">
          <cell r="A7004">
            <v>9680707</v>
          </cell>
          <cell r="B7004">
            <v>391976</v>
          </cell>
          <cell r="C7004" t="str">
            <v>EMPLOYEE BENEFITS- INTRA CO</v>
          </cell>
        </row>
        <row r="7005">
          <cell r="A7005">
            <v>9680710</v>
          </cell>
          <cell r="B7005">
            <v>391976</v>
          </cell>
          <cell r="C7005" t="str">
            <v>EMPLOYEE BENEFITS- INTRA CO</v>
          </cell>
        </row>
        <row r="7006">
          <cell r="A7006">
            <v>9680712</v>
          </cell>
          <cell r="B7006">
            <v>391976</v>
          </cell>
          <cell r="C7006" t="str">
            <v>EMPLOYEE BENEFITS- INTRA CO</v>
          </cell>
        </row>
        <row r="7007">
          <cell r="A7007">
            <v>9680714</v>
          </cell>
          <cell r="B7007">
            <v>391976</v>
          </cell>
          <cell r="C7007" t="str">
            <v>EMPLOYEE BENEFITS- INTRA CO</v>
          </cell>
        </row>
        <row r="7008">
          <cell r="A7008">
            <v>9680734</v>
          </cell>
          <cell r="B7008">
            <v>391976</v>
          </cell>
          <cell r="C7008" t="str">
            <v>EMPLOYEE BENEFITS- INTRA CO</v>
          </cell>
        </row>
        <row r="7009">
          <cell r="A7009">
            <v>9680748</v>
          </cell>
          <cell r="B7009">
            <v>391976</v>
          </cell>
          <cell r="C7009" t="str">
            <v>EMPLOYEE BENEFITS- INTRA CO</v>
          </cell>
        </row>
        <row r="7010">
          <cell r="A7010">
            <v>9680749</v>
          </cell>
          <cell r="B7010">
            <v>391976</v>
          </cell>
          <cell r="C7010" t="str">
            <v>EMPLOYEE BENEFITS- INTRA CO</v>
          </cell>
        </row>
        <row r="7011">
          <cell r="A7011">
            <v>9680894</v>
          </cell>
          <cell r="B7011">
            <v>391976</v>
          </cell>
          <cell r="C7011" t="str">
            <v>EMPLOYEE BENEFITS- INTRA CO</v>
          </cell>
        </row>
        <row r="7012">
          <cell r="A7012">
            <v>9680999</v>
          </cell>
          <cell r="B7012">
            <v>391976</v>
          </cell>
          <cell r="C7012" t="str">
            <v>EMPLOYEE BENEFITS- INTRA CO</v>
          </cell>
        </row>
        <row r="7013">
          <cell r="A7013">
            <v>9681710</v>
          </cell>
          <cell r="B7013">
            <v>391976</v>
          </cell>
          <cell r="C7013" t="str">
            <v>EMPLOYEE BENEFITS- INTRA CO</v>
          </cell>
        </row>
        <row r="7014">
          <cell r="A7014">
            <v>9681734</v>
          </cell>
          <cell r="B7014">
            <v>391976</v>
          </cell>
          <cell r="C7014" t="str">
            <v>EMPLOYEE BENEFITS- INTRA CO</v>
          </cell>
        </row>
        <row r="7015">
          <cell r="A7015">
            <v>9681748</v>
          </cell>
          <cell r="B7015">
            <v>391976</v>
          </cell>
          <cell r="C7015" t="str">
            <v>EMPLOYEE BENEFITS- INTRA CO</v>
          </cell>
        </row>
        <row r="7016">
          <cell r="A7016">
            <v>9681894</v>
          </cell>
          <cell r="B7016">
            <v>391976</v>
          </cell>
          <cell r="C7016" t="str">
            <v>EMPLOYEE BENEFITS- INTRA CO</v>
          </cell>
        </row>
        <row r="7017">
          <cell r="A7017">
            <v>9683999</v>
          </cell>
          <cell r="B7017">
            <v>391976</v>
          </cell>
          <cell r="C7017" t="str">
            <v>EMPLOYEE BENEFITS- INTRA CO</v>
          </cell>
        </row>
        <row r="7018">
          <cell r="A7018">
            <v>9684999</v>
          </cell>
          <cell r="B7018">
            <v>391976</v>
          </cell>
          <cell r="C7018" t="str">
            <v>EMPLOYEE BENEFITS- INTRA CO</v>
          </cell>
        </row>
        <row r="7019">
          <cell r="A7019">
            <v>9689692</v>
          </cell>
          <cell r="B7019">
            <v>391976</v>
          </cell>
          <cell r="C7019" t="str">
            <v>EMPLOYEE BENEFITS- INTRA CO</v>
          </cell>
        </row>
        <row r="7020">
          <cell r="A7020">
            <v>9689747</v>
          </cell>
          <cell r="B7020">
            <v>391976</v>
          </cell>
          <cell r="C7020" t="str">
            <v>EMPLOYEE BENEFITS- INTRA CO</v>
          </cell>
        </row>
        <row r="7021">
          <cell r="A7021">
            <v>9689883</v>
          </cell>
          <cell r="B7021">
            <v>391976</v>
          </cell>
          <cell r="C7021" t="str">
            <v>EMPLOYEE BENEFITS- INTRA CO</v>
          </cell>
        </row>
        <row r="7022">
          <cell r="A7022">
            <v>9689890</v>
          </cell>
          <cell r="B7022">
            <v>391976</v>
          </cell>
          <cell r="C7022" t="str">
            <v>EMPLOYEE BENEFITS- INTRA CO</v>
          </cell>
        </row>
        <row r="7023">
          <cell r="A7023">
            <v>9689906</v>
          </cell>
          <cell r="B7023">
            <v>391976</v>
          </cell>
          <cell r="C7023" t="str">
            <v>EMPLOYEE BENEFITS- INTRA CO</v>
          </cell>
        </row>
        <row r="7024">
          <cell r="A7024">
            <v>9689925</v>
          </cell>
          <cell r="B7024">
            <v>391976</v>
          </cell>
          <cell r="C7024" t="str">
            <v>EMPLOYEE BENEFITS- INTRA CO</v>
          </cell>
        </row>
        <row r="7025">
          <cell r="A7025">
            <v>9689990</v>
          </cell>
          <cell r="B7025">
            <v>391976</v>
          </cell>
          <cell r="C7025" t="str">
            <v>EMPLOYEE BENEFITS- INTRA CO</v>
          </cell>
        </row>
        <row r="7026">
          <cell r="A7026">
            <v>9689992</v>
          </cell>
          <cell r="B7026">
            <v>391976</v>
          </cell>
          <cell r="C7026" t="str">
            <v>EMPLOYEE BENEFITS- INTRA CO</v>
          </cell>
        </row>
        <row r="7027">
          <cell r="A7027">
            <v>9689993</v>
          </cell>
          <cell r="B7027">
            <v>391976</v>
          </cell>
          <cell r="C7027" t="str">
            <v>EMPLOYEE BENEFITS- INTRA CO</v>
          </cell>
        </row>
        <row r="7028">
          <cell r="A7028">
            <v>9720703</v>
          </cell>
          <cell r="B7028">
            <v>391976</v>
          </cell>
          <cell r="C7028" t="str">
            <v>EMPLOYEE BENEFITS- INTRA CO</v>
          </cell>
        </row>
        <row r="7029">
          <cell r="A7029">
            <v>9723723</v>
          </cell>
          <cell r="B7029">
            <v>391976</v>
          </cell>
          <cell r="C7029" t="str">
            <v>EMPLOYEE BENEFITS- INTRA CO</v>
          </cell>
        </row>
        <row r="7030">
          <cell r="A7030">
            <v>9723729</v>
          </cell>
          <cell r="B7030">
            <v>391976</v>
          </cell>
          <cell r="C7030" t="str">
            <v>EMPLOYEE BENEFITS- INTRA CO</v>
          </cell>
        </row>
        <row r="7031">
          <cell r="A7031">
            <v>9724718</v>
          </cell>
          <cell r="B7031">
            <v>391976</v>
          </cell>
          <cell r="C7031" t="str">
            <v>EMPLOYEE BENEFITS- INTRA CO</v>
          </cell>
        </row>
        <row r="7032">
          <cell r="A7032">
            <v>9724721</v>
          </cell>
          <cell r="B7032">
            <v>391976</v>
          </cell>
          <cell r="C7032" t="str">
            <v>EMPLOYEE BENEFITS- INTRA CO</v>
          </cell>
        </row>
        <row r="7033">
          <cell r="A7033">
            <v>9724724</v>
          </cell>
          <cell r="B7033">
            <v>391976</v>
          </cell>
          <cell r="C7033" t="str">
            <v>EMPLOYEE BENEFITS- INTRA CO</v>
          </cell>
        </row>
        <row r="7034">
          <cell r="A7034">
            <v>9725703</v>
          </cell>
          <cell r="B7034">
            <v>391976</v>
          </cell>
          <cell r="C7034" t="str">
            <v>EMPLOYEE BENEFITS- INTRA CO</v>
          </cell>
        </row>
        <row r="7035">
          <cell r="A7035">
            <v>9725704</v>
          </cell>
          <cell r="B7035">
            <v>391976</v>
          </cell>
          <cell r="C7035" t="str">
            <v>EMPLOYEE BENEFITS- INTRA CO</v>
          </cell>
        </row>
        <row r="7036">
          <cell r="A7036">
            <v>9725711</v>
          </cell>
          <cell r="B7036">
            <v>391976</v>
          </cell>
          <cell r="C7036" t="str">
            <v>EMPLOYEE BENEFITS- INTRA CO</v>
          </cell>
        </row>
        <row r="7037">
          <cell r="A7037">
            <v>9725717</v>
          </cell>
          <cell r="B7037">
            <v>391976</v>
          </cell>
          <cell r="C7037" t="str">
            <v>EMPLOYEE BENEFITS- INTRA CO</v>
          </cell>
        </row>
        <row r="7038">
          <cell r="A7038">
            <v>9725725</v>
          </cell>
          <cell r="B7038">
            <v>391976</v>
          </cell>
          <cell r="C7038" t="str">
            <v>EMPLOYEE BENEFITS- INTRA CO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BDC50-658E-0C44-B1B6-4EE125463694}">
  <sheetPr>
    <tabColor rgb="FFFFFF00"/>
    <pageSetUpPr fitToPage="1"/>
  </sheetPr>
  <dimension ref="A1:EJ10"/>
  <sheetViews>
    <sheetView tabSelected="1" topLeftCell="A3" zoomScale="80" zoomScaleNormal="80" workbookViewId="0">
      <selection activeCell="T15" sqref="T15"/>
    </sheetView>
  </sheetViews>
  <sheetFormatPr baseColWidth="10" defaultColWidth="8.83203125" defaultRowHeight="15" outlineLevelCol="1" x14ac:dyDescent="0.2"/>
  <cols>
    <col min="1" max="1" width="49.5" bestFit="1" customWidth="1"/>
    <col min="2" max="4" width="22.6640625" hidden="1" customWidth="1" outlineLevel="1"/>
    <col min="5" max="5" width="1.5" customWidth="1" collapsed="1"/>
    <col min="6" max="6" width="12.6640625" customWidth="1" outlineLevel="1" collapsed="1"/>
    <col min="7" max="7" width="11.5" customWidth="1" outlineLevel="1"/>
    <col min="8" max="8" width="12.6640625" customWidth="1"/>
    <col min="9" max="9" width="12.6640625" hidden="1" customWidth="1" outlineLevel="1" collapsed="1"/>
    <col min="10" max="10" width="12.6640625" hidden="1" customWidth="1" outlineLevel="1"/>
    <col min="11" max="11" width="19.5" customWidth="1" collapsed="1"/>
    <col min="12" max="12" width="12.6640625" hidden="1" customWidth="1" outlineLevel="1" collapsed="1"/>
    <col min="13" max="14" width="12.6640625" hidden="1" customWidth="1" outlineLevel="1"/>
    <col min="15" max="15" width="12.6640625" customWidth="1" collapsed="1"/>
    <col min="16" max="17" width="12.6640625" customWidth="1"/>
    <col min="18" max="18" width="1.83203125" customWidth="1"/>
    <col min="19" max="20" width="12.6640625" customWidth="1" outlineLevel="1"/>
    <col min="21" max="21" width="2.1640625" customWidth="1"/>
    <col min="22" max="22" width="1.5" customWidth="1" collapsed="1"/>
    <col min="23" max="23" width="12.6640625" customWidth="1" outlineLevel="1" collapsed="1"/>
    <col min="24" max="24" width="12.6640625" customWidth="1" outlineLevel="1"/>
    <col min="25" max="25" width="12.6640625" customWidth="1"/>
    <col min="26" max="26" width="12.6640625" hidden="1" customWidth="1" outlineLevel="1" collapsed="1"/>
    <col min="27" max="27" width="12.6640625" hidden="1" customWidth="1" outlineLevel="1"/>
    <col min="28" max="28" width="19.5" customWidth="1" collapsed="1"/>
    <col min="29" max="29" width="12.6640625" hidden="1" customWidth="1" outlineLevel="1" collapsed="1"/>
    <col min="30" max="31" width="12.6640625" hidden="1" customWidth="1" outlineLevel="1"/>
    <col min="32" max="32" width="12.6640625" customWidth="1" collapsed="1"/>
    <col min="33" max="34" width="12.6640625" customWidth="1"/>
    <col min="35" max="35" width="1.83203125" customWidth="1" outlineLevel="1"/>
    <col min="36" max="37" width="12.6640625" customWidth="1" outlineLevel="1"/>
    <col min="38" max="38" width="2.1640625" customWidth="1"/>
    <col min="39" max="39" width="1.5" customWidth="1" collapsed="1"/>
    <col min="40" max="40" width="12.6640625" customWidth="1" outlineLevel="1" collapsed="1"/>
    <col min="41" max="41" width="12.6640625" customWidth="1" outlineLevel="1"/>
    <col min="42" max="42" width="12.6640625" customWidth="1"/>
    <col min="43" max="43" width="12.6640625" hidden="1" customWidth="1" outlineLevel="1" collapsed="1"/>
    <col min="44" max="44" width="12.6640625" hidden="1" customWidth="1" outlineLevel="1"/>
    <col min="45" max="45" width="19.5" customWidth="1" collapsed="1"/>
    <col min="46" max="46" width="12.6640625" hidden="1" customWidth="1" outlineLevel="1" collapsed="1"/>
    <col min="47" max="48" width="12.6640625" hidden="1" customWidth="1" outlineLevel="1"/>
    <col min="49" max="49" width="12.6640625" customWidth="1" collapsed="1"/>
    <col min="50" max="51" width="12.6640625" customWidth="1"/>
    <col min="52" max="52" width="1.83203125" customWidth="1"/>
    <col min="53" max="54" width="12.6640625" customWidth="1" outlineLevel="1"/>
    <col min="55" max="55" width="2.1640625" customWidth="1"/>
    <col min="56" max="56" width="1.5" customWidth="1" collapsed="1"/>
    <col min="57" max="57" width="12.6640625" customWidth="1" outlineLevel="1" collapsed="1"/>
    <col min="58" max="58" width="12.6640625" customWidth="1" outlineLevel="1"/>
    <col min="59" max="59" width="15.6640625" customWidth="1"/>
    <col min="60" max="60" width="12.6640625" customWidth="1" outlineLevel="1" collapsed="1"/>
    <col min="61" max="61" width="12.6640625" customWidth="1" outlineLevel="1"/>
    <col min="62" max="62" width="15.6640625" customWidth="1"/>
    <col min="63" max="63" width="12.6640625" customWidth="1" outlineLevel="1" collapsed="1"/>
    <col min="64" max="65" width="12.6640625" customWidth="1" outlineLevel="1"/>
    <col min="66" max="66" width="15.6640625" customWidth="1"/>
    <col min="67" max="67" width="12.6640625" customWidth="1"/>
    <col min="68" max="68" width="15.6640625" customWidth="1"/>
    <col min="69" max="69" width="1.83203125" customWidth="1"/>
    <col min="70" max="71" width="12.6640625" customWidth="1" outlineLevel="1"/>
    <col min="72" max="72" width="2.1640625" customWidth="1"/>
    <col min="73" max="73" width="1.5" customWidth="1" collapsed="1"/>
    <col min="74" max="74" width="12.6640625" hidden="1" customWidth="1" outlineLevel="1" collapsed="1"/>
    <col min="75" max="75" width="12.6640625" hidden="1" customWidth="1" outlineLevel="1"/>
    <col min="76" max="76" width="15.6640625" customWidth="1" collapsed="1"/>
    <col min="77" max="77" width="12.6640625" hidden="1" customWidth="1" outlineLevel="1" collapsed="1"/>
    <col min="78" max="78" width="12.6640625" hidden="1" customWidth="1" outlineLevel="1"/>
    <col min="79" max="79" width="15.6640625" customWidth="1" collapsed="1"/>
    <col min="80" max="80" width="12.6640625" hidden="1" customWidth="1" outlineLevel="1" collapsed="1"/>
    <col min="81" max="82" width="12.6640625" hidden="1" customWidth="1" outlineLevel="1"/>
    <col min="83" max="83" width="15.6640625" customWidth="1" collapsed="1"/>
    <col min="84" max="84" width="12.6640625" customWidth="1"/>
    <col min="85" max="85" width="15.6640625" customWidth="1"/>
    <col min="86" max="86" width="1.83203125" customWidth="1"/>
    <col min="87" max="88" width="12.6640625" customWidth="1" outlineLevel="1"/>
    <col min="89" max="89" width="2.1640625" customWidth="1"/>
    <col min="90" max="90" width="1.5" customWidth="1" collapsed="1"/>
    <col min="91" max="91" width="12.6640625" customWidth="1" outlineLevel="1" collapsed="1"/>
    <col min="92" max="92" width="12.6640625" customWidth="1" outlineLevel="1"/>
    <col min="93" max="93" width="12.6640625" customWidth="1"/>
    <col min="94" max="94" width="12.6640625" customWidth="1" outlineLevel="1" collapsed="1"/>
    <col min="95" max="95" width="12.6640625" customWidth="1" outlineLevel="1"/>
    <col min="96" max="96" width="19.5" customWidth="1"/>
    <col min="97" max="97" width="12.6640625" customWidth="1" outlineLevel="1" collapsed="1"/>
    <col min="98" max="99" width="12.6640625" customWidth="1" outlineLevel="1"/>
    <col min="100" max="102" width="12.6640625" customWidth="1"/>
    <col min="103" max="103" width="1.83203125" customWidth="1"/>
    <col min="104" max="105" width="12.6640625" customWidth="1" outlineLevel="1"/>
    <col min="106" max="106" width="2.1640625" customWidth="1"/>
    <col min="107" max="107" width="1.5" customWidth="1" collapsed="1"/>
    <col min="108" max="108" width="12.6640625" customWidth="1" outlineLevel="1" collapsed="1"/>
    <col min="109" max="109" width="12.6640625" customWidth="1" outlineLevel="1"/>
    <col min="110" max="110" width="12.6640625" customWidth="1"/>
    <col min="111" max="111" width="12.6640625" customWidth="1" outlineLevel="1" collapsed="1"/>
    <col min="112" max="112" width="12.6640625" customWidth="1" outlineLevel="1"/>
    <col min="113" max="113" width="19.5" customWidth="1"/>
    <col min="114" max="114" width="12.6640625" customWidth="1" outlineLevel="1" collapsed="1"/>
    <col min="115" max="116" width="12.6640625" customWidth="1" outlineLevel="1"/>
    <col min="117" max="119" width="12.6640625" customWidth="1"/>
    <col min="120" max="120" width="1.83203125" customWidth="1" outlineLevel="1"/>
    <col min="121" max="122" width="12.6640625" customWidth="1" outlineLevel="1"/>
    <col min="123" max="123" width="2.1640625" customWidth="1"/>
    <col min="124" max="124" width="1.5" customWidth="1" collapsed="1"/>
    <col min="125" max="125" width="12.6640625" hidden="1" customWidth="1" outlineLevel="1" collapsed="1"/>
    <col min="126" max="126" width="12.6640625" hidden="1" customWidth="1" outlineLevel="1"/>
    <col min="127" max="127" width="15.6640625" customWidth="1" collapsed="1"/>
    <col min="128" max="128" width="12.6640625" hidden="1" customWidth="1" outlineLevel="1" collapsed="1"/>
    <col min="129" max="129" width="12.6640625" hidden="1" customWidth="1" outlineLevel="1"/>
    <col min="130" max="130" width="15.6640625" customWidth="1" collapsed="1"/>
    <col min="131" max="131" width="12.6640625" hidden="1" customWidth="1" outlineLevel="1" collapsed="1"/>
    <col min="132" max="133" width="12.6640625" hidden="1" customWidth="1" outlineLevel="1"/>
    <col min="134" max="134" width="15.6640625" customWidth="1" collapsed="1"/>
    <col min="135" max="135" width="12.6640625" customWidth="1"/>
    <col min="136" max="136" width="15.6640625" customWidth="1"/>
    <col min="137" max="137" width="1.83203125" customWidth="1"/>
    <col min="138" max="139" width="12.6640625" hidden="1" customWidth="1" outlineLevel="1"/>
    <col min="140" max="140" width="8.83203125" collapsed="1"/>
  </cols>
  <sheetData>
    <row r="1" spans="1:139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</row>
    <row r="2" spans="1:139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</row>
    <row r="3" spans="1:139" x14ac:dyDescent="0.2">
      <c r="A3" s="2" t="s">
        <v>0</v>
      </c>
      <c r="B3" s="21" t="s">
        <v>28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</row>
    <row r="4" spans="1:139" x14ac:dyDescent="0.2">
      <c r="A4" s="2" t="s">
        <v>1</v>
      </c>
      <c r="B4" s="21" t="s">
        <v>29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3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3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3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3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3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3"/>
      <c r="EI4" s="1"/>
    </row>
    <row r="5" spans="1:139" x14ac:dyDescent="0.2">
      <c r="A5" s="2" t="s">
        <v>2</v>
      </c>
      <c r="B5" s="21" t="s">
        <v>30</v>
      </c>
      <c r="C5" s="1"/>
      <c r="D5" s="1"/>
      <c r="E5" s="1"/>
      <c r="F5" s="2"/>
      <c r="G5" s="1"/>
      <c r="H5" s="1"/>
      <c r="I5" s="1"/>
      <c r="J5" s="1"/>
      <c r="K5" s="4" t="s">
        <v>3</v>
      </c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2"/>
      <c r="X5" s="1"/>
      <c r="Y5" s="1"/>
      <c r="Z5" s="1"/>
      <c r="AA5" s="1"/>
      <c r="AB5" s="4" t="s">
        <v>3</v>
      </c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2"/>
      <c r="AO5" s="1"/>
      <c r="AP5" s="1"/>
      <c r="AQ5" s="1"/>
      <c r="AR5" s="1"/>
      <c r="AS5" s="4" t="s">
        <v>3</v>
      </c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2"/>
      <c r="BF5" s="1"/>
      <c r="BG5" s="1"/>
      <c r="BH5" s="1"/>
      <c r="BI5" s="1"/>
      <c r="BJ5" s="4" t="s">
        <v>3</v>
      </c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2"/>
      <c r="BW5" s="1"/>
      <c r="BX5" s="1"/>
      <c r="BY5" s="1"/>
      <c r="BZ5" s="1"/>
      <c r="CA5" s="4" t="s">
        <v>3</v>
      </c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2"/>
      <c r="CN5" s="1"/>
      <c r="CO5" s="1"/>
      <c r="CP5" s="1"/>
      <c r="CQ5" s="1"/>
      <c r="CR5" s="4" t="s">
        <v>4</v>
      </c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2"/>
      <c r="DE5" s="1"/>
      <c r="DF5" s="1"/>
      <c r="DG5" s="1"/>
      <c r="DH5" s="1"/>
      <c r="DI5" s="4" t="s">
        <v>5</v>
      </c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2"/>
      <c r="DV5" s="1"/>
      <c r="DW5" s="1"/>
      <c r="DX5" s="1"/>
      <c r="DY5" s="1"/>
      <c r="DZ5" s="4" t="s">
        <v>6</v>
      </c>
      <c r="EA5" s="1"/>
      <c r="EB5" s="1"/>
      <c r="EC5" s="1"/>
      <c r="ED5" s="1"/>
      <c r="EE5" s="1"/>
      <c r="EF5" s="1"/>
      <c r="EG5" s="1"/>
      <c r="EH5" s="1"/>
      <c r="EI5" s="1"/>
    </row>
    <row r="6" spans="1:139" s="10" customFormat="1" x14ac:dyDescent="0.2">
      <c r="A6" s="2" t="s">
        <v>7</v>
      </c>
      <c r="B6" s="2"/>
      <c r="C6" s="2"/>
      <c r="D6" s="2"/>
      <c r="E6" s="2"/>
      <c r="F6" s="2"/>
      <c r="G6" s="5"/>
      <c r="H6" s="2"/>
      <c r="I6" s="2"/>
      <c r="J6" s="5"/>
      <c r="K6" s="23" t="str">
        <f>B3</f>
        <v>2020 P05</v>
      </c>
      <c r="L6" s="2"/>
      <c r="M6" s="2"/>
      <c r="N6" s="6"/>
      <c r="O6" s="2"/>
      <c r="P6" s="6"/>
      <c r="Q6" s="7"/>
      <c r="R6" s="2"/>
      <c r="S6" s="8"/>
      <c r="T6" s="22" t="str">
        <f>B3</f>
        <v>2020 P05</v>
      </c>
      <c r="U6" s="1"/>
      <c r="V6" s="1"/>
      <c r="W6" s="2"/>
      <c r="X6" s="5"/>
      <c r="Y6" s="2"/>
      <c r="Z6" s="2"/>
      <c r="AA6" s="5"/>
      <c r="AB6" s="23" t="str">
        <f>B4</f>
        <v>2019 P05</v>
      </c>
      <c r="AC6" s="2"/>
      <c r="AD6" s="2"/>
      <c r="AE6" s="6"/>
      <c r="AF6" s="2"/>
      <c r="AG6" s="6"/>
      <c r="AH6" s="7"/>
      <c r="AI6" s="2"/>
      <c r="AJ6" s="7"/>
      <c r="AK6" s="22" t="str">
        <f>B4</f>
        <v>2019 P05</v>
      </c>
      <c r="AL6" s="1"/>
      <c r="AM6" s="1"/>
      <c r="AN6" s="2"/>
      <c r="AO6" s="5"/>
      <c r="AP6" s="2"/>
      <c r="AQ6" s="2"/>
      <c r="AR6" s="5"/>
      <c r="AS6" s="4" t="str">
        <f>LEFT(BB6,4)&amp;" P"&amp;RIGHT(BB6,2)</f>
        <v>2019 P13</v>
      </c>
      <c r="AT6" s="2"/>
      <c r="AU6" s="2"/>
      <c r="AV6" s="6"/>
      <c r="AW6" s="2"/>
      <c r="AX6" s="6"/>
      <c r="AY6" s="7"/>
      <c r="AZ6" s="2"/>
      <c r="BA6" s="8"/>
      <c r="BB6" s="22" t="str">
        <f>B5</f>
        <v>2019 P13</v>
      </c>
      <c r="BC6" s="1"/>
      <c r="BD6" s="1"/>
      <c r="BE6" s="2"/>
      <c r="BF6" s="5"/>
      <c r="BG6" s="2"/>
      <c r="BH6" s="2"/>
      <c r="BI6" s="5"/>
      <c r="BJ6" s="4" t="s">
        <v>8</v>
      </c>
      <c r="BK6" s="2"/>
      <c r="BL6" s="2"/>
      <c r="BM6" s="6"/>
      <c r="BN6" s="2"/>
      <c r="BO6" s="6"/>
      <c r="BP6" s="7"/>
      <c r="BQ6" s="2"/>
      <c r="BR6" s="8"/>
      <c r="BS6" s="9">
        <v>202005</v>
      </c>
      <c r="BT6" s="1"/>
      <c r="BU6" s="1"/>
      <c r="BV6" s="2"/>
      <c r="BW6" s="6"/>
      <c r="BX6" s="2"/>
      <c r="BY6" s="2"/>
      <c r="BZ6" s="6"/>
      <c r="CA6" s="4" t="s">
        <v>9</v>
      </c>
      <c r="CB6" s="2"/>
      <c r="CC6" s="2"/>
      <c r="CD6" s="6"/>
      <c r="CE6" s="2"/>
      <c r="CF6" s="6"/>
      <c r="CG6" s="7"/>
      <c r="CH6" s="2"/>
      <c r="CI6" s="8"/>
      <c r="CJ6" s="22" t="str">
        <f>B3</f>
        <v>2020 P05</v>
      </c>
      <c r="CK6" s="1"/>
      <c r="CL6" s="1"/>
      <c r="CM6" s="2"/>
      <c r="CN6" s="5"/>
      <c r="CO6" s="2"/>
      <c r="CP6" s="2"/>
      <c r="CQ6" s="5"/>
      <c r="CR6" s="23" t="str">
        <f>B4</f>
        <v>2019 P05</v>
      </c>
      <c r="CS6" s="2"/>
      <c r="CT6" s="2"/>
      <c r="CU6" s="6"/>
      <c r="CV6" s="2"/>
      <c r="CW6" s="6"/>
      <c r="CX6" s="7"/>
      <c r="CY6" s="2"/>
      <c r="CZ6" s="8"/>
      <c r="DA6" s="22" t="str">
        <f>B3</f>
        <v>2020 P05</v>
      </c>
      <c r="DB6" s="1"/>
      <c r="DC6" s="1"/>
      <c r="DD6" s="2"/>
      <c r="DE6" s="5"/>
      <c r="DF6" s="2"/>
      <c r="DG6" s="2"/>
      <c r="DH6" s="5"/>
      <c r="DI6" s="23" t="str">
        <f>B4</f>
        <v>2019 P05</v>
      </c>
      <c r="DJ6" s="2"/>
      <c r="DK6" s="2"/>
      <c r="DL6" s="6"/>
      <c r="DM6" s="2"/>
      <c r="DN6" s="6"/>
      <c r="DO6" s="7"/>
      <c r="DP6" s="2"/>
      <c r="DQ6" s="7"/>
      <c r="DR6" s="22" t="str">
        <f>B4</f>
        <v>2019 P05</v>
      </c>
      <c r="DS6" s="1"/>
      <c r="DT6" s="1"/>
      <c r="DU6" s="2"/>
      <c r="DV6" s="6"/>
      <c r="DW6" s="2"/>
      <c r="DX6" s="2"/>
      <c r="DY6" s="6"/>
      <c r="DZ6" s="4" t="s">
        <v>9</v>
      </c>
      <c r="EA6" s="2"/>
      <c r="EB6" s="2"/>
      <c r="EC6" s="6"/>
      <c r="ED6" s="2"/>
      <c r="EE6" s="6"/>
      <c r="EF6" s="7"/>
      <c r="EG6" s="2"/>
      <c r="EH6" s="8"/>
      <c r="EI6" s="9">
        <v>202005</v>
      </c>
    </row>
    <row r="7" spans="1:139" x14ac:dyDescent="0.2">
      <c r="A7" s="1"/>
      <c r="B7" s="1"/>
      <c r="C7" s="1"/>
      <c r="D7" s="1"/>
      <c r="E7" s="1"/>
      <c r="F7" s="11" t="s">
        <v>10</v>
      </c>
      <c r="G7" s="12"/>
      <c r="H7" s="11" t="s">
        <v>11</v>
      </c>
      <c r="I7" s="11" t="s">
        <v>10</v>
      </c>
      <c r="J7" s="12"/>
      <c r="K7" s="11" t="s">
        <v>11</v>
      </c>
      <c r="L7" s="11" t="s">
        <v>12</v>
      </c>
      <c r="M7" s="12"/>
      <c r="N7" s="12"/>
      <c r="O7" s="11" t="s">
        <v>11</v>
      </c>
      <c r="P7" s="12"/>
      <c r="Q7" s="11" t="s">
        <v>11</v>
      </c>
      <c r="R7" s="1"/>
      <c r="S7" s="11" t="s">
        <v>11</v>
      </c>
      <c r="T7" s="11" t="s">
        <v>13</v>
      </c>
      <c r="U7" s="1"/>
      <c r="V7" s="1"/>
      <c r="W7" s="11" t="s">
        <v>10</v>
      </c>
      <c r="X7" s="12"/>
      <c r="Y7" s="11" t="s">
        <v>11</v>
      </c>
      <c r="Z7" s="11" t="s">
        <v>10</v>
      </c>
      <c r="AA7" s="12"/>
      <c r="AB7" s="11" t="s">
        <v>11</v>
      </c>
      <c r="AC7" s="11" t="s">
        <v>12</v>
      </c>
      <c r="AD7" s="12"/>
      <c r="AE7" s="12"/>
      <c r="AF7" s="11" t="s">
        <v>11</v>
      </c>
      <c r="AG7" s="12"/>
      <c r="AH7" s="11" t="s">
        <v>11</v>
      </c>
      <c r="AI7" s="1"/>
      <c r="AJ7" s="11" t="s">
        <v>11</v>
      </c>
      <c r="AK7" s="11" t="s">
        <v>13</v>
      </c>
      <c r="AL7" s="1"/>
      <c r="AM7" s="1"/>
      <c r="AN7" s="11" t="s">
        <v>10</v>
      </c>
      <c r="AO7" s="12"/>
      <c r="AP7" s="11" t="s">
        <v>11</v>
      </c>
      <c r="AQ7" s="11" t="s">
        <v>10</v>
      </c>
      <c r="AR7" s="12"/>
      <c r="AS7" s="11" t="s">
        <v>11</v>
      </c>
      <c r="AT7" s="11" t="s">
        <v>12</v>
      </c>
      <c r="AU7" s="12"/>
      <c r="AV7" s="12"/>
      <c r="AW7" s="11" t="s">
        <v>11</v>
      </c>
      <c r="AX7" s="12"/>
      <c r="AY7" s="11" t="s">
        <v>11</v>
      </c>
      <c r="AZ7" s="1"/>
      <c r="BA7" s="11" t="s">
        <v>11</v>
      </c>
      <c r="BB7" s="13" t="s">
        <v>13</v>
      </c>
      <c r="BC7" s="1"/>
      <c r="BD7" s="1"/>
      <c r="BE7" s="14" t="s">
        <v>10</v>
      </c>
      <c r="BF7" s="15"/>
      <c r="BG7" s="14" t="s">
        <v>11</v>
      </c>
      <c r="BH7" s="14" t="s">
        <v>10</v>
      </c>
      <c r="BI7" s="15"/>
      <c r="BJ7" s="14" t="s">
        <v>11</v>
      </c>
      <c r="BK7" s="14" t="s">
        <v>12</v>
      </c>
      <c r="BL7" s="15"/>
      <c r="BM7" s="15"/>
      <c r="BN7" s="14" t="s">
        <v>11</v>
      </c>
      <c r="BO7" s="15"/>
      <c r="BP7" s="14" t="s">
        <v>11</v>
      </c>
      <c r="BQ7" s="1"/>
      <c r="BR7" s="14" t="s">
        <v>11</v>
      </c>
      <c r="BS7" s="14" t="s">
        <v>13</v>
      </c>
      <c r="BT7" s="1"/>
      <c r="BU7" s="1"/>
      <c r="BV7" s="14" t="s">
        <v>10</v>
      </c>
      <c r="BW7" s="15"/>
      <c r="BX7" s="14" t="s">
        <v>11</v>
      </c>
      <c r="BY7" s="14" t="s">
        <v>10</v>
      </c>
      <c r="BZ7" s="15"/>
      <c r="CA7" s="14" t="s">
        <v>11</v>
      </c>
      <c r="CB7" s="14" t="s">
        <v>12</v>
      </c>
      <c r="CC7" s="15"/>
      <c r="CD7" s="15"/>
      <c r="CE7" s="14" t="s">
        <v>11</v>
      </c>
      <c r="CF7" s="15"/>
      <c r="CG7" s="14" t="s">
        <v>11</v>
      </c>
      <c r="CH7" s="1"/>
      <c r="CI7" s="14" t="s">
        <v>11</v>
      </c>
      <c r="CJ7" s="14" t="s">
        <v>13</v>
      </c>
      <c r="CK7" s="1"/>
      <c r="CL7" s="1"/>
      <c r="CM7" s="11"/>
      <c r="CN7" s="12"/>
      <c r="CO7" s="11" t="s">
        <v>11</v>
      </c>
      <c r="CP7" s="11"/>
      <c r="CQ7" s="12"/>
      <c r="CR7" s="11" t="s">
        <v>11</v>
      </c>
      <c r="CS7" s="11" t="s">
        <v>12</v>
      </c>
      <c r="CT7" s="12"/>
      <c r="CU7" s="12"/>
      <c r="CV7" s="11" t="s">
        <v>11</v>
      </c>
      <c r="CW7" s="12"/>
      <c r="CX7" s="11" t="s">
        <v>11</v>
      </c>
      <c r="CY7" s="1"/>
      <c r="CZ7" s="11" t="s">
        <v>11</v>
      </c>
      <c r="DA7" s="11" t="s">
        <v>13</v>
      </c>
      <c r="DB7" s="1"/>
      <c r="DC7" s="1"/>
      <c r="DD7" s="11" t="s">
        <v>10</v>
      </c>
      <c r="DE7" s="12"/>
      <c r="DF7" s="11" t="s">
        <v>11</v>
      </c>
      <c r="DG7" s="11" t="s">
        <v>10</v>
      </c>
      <c r="DH7" s="12"/>
      <c r="DI7" s="11" t="s">
        <v>11</v>
      </c>
      <c r="DJ7" s="11" t="s">
        <v>12</v>
      </c>
      <c r="DK7" s="12"/>
      <c r="DL7" s="12"/>
      <c r="DM7" s="11" t="s">
        <v>11</v>
      </c>
      <c r="DN7" s="12"/>
      <c r="DO7" s="11" t="s">
        <v>11</v>
      </c>
      <c r="DP7" s="1"/>
      <c r="DQ7" s="11" t="s">
        <v>11</v>
      </c>
      <c r="DR7" s="11" t="s">
        <v>13</v>
      </c>
      <c r="DS7" s="1"/>
      <c r="DT7" s="1"/>
      <c r="DU7" s="14" t="s">
        <v>10</v>
      </c>
      <c r="DV7" s="15"/>
      <c r="DW7" s="14" t="s">
        <v>11</v>
      </c>
      <c r="DX7" s="14" t="s">
        <v>10</v>
      </c>
      <c r="DY7" s="15"/>
      <c r="DZ7" s="14" t="s">
        <v>11</v>
      </c>
      <c r="EA7" s="14" t="s">
        <v>12</v>
      </c>
      <c r="EB7" s="15"/>
      <c r="EC7" s="15"/>
      <c r="ED7" s="14" t="s">
        <v>11</v>
      </c>
      <c r="EE7" s="15"/>
      <c r="EF7" s="14" t="s">
        <v>11</v>
      </c>
      <c r="EG7" s="1"/>
      <c r="EH7" s="14" t="s">
        <v>11</v>
      </c>
      <c r="EI7" s="14" t="s">
        <v>13</v>
      </c>
    </row>
    <row r="8" spans="1:139" ht="30" customHeight="1" x14ac:dyDescent="0.2">
      <c r="A8" s="1"/>
      <c r="B8" s="1"/>
      <c r="C8" s="1"/>
      <c r="D8" s="1"/>
      <c r="E8" s="1"/>
      <c r="F8" s="11" t="s">
        <v>14</v>
      </c>
      <c r="G8" s="11" t="s">
        <v>15</v>
      </c>
      <c r="H8" s="11" t="s">
        <v>16</v>
      </c>
      <c r="I8" s="11" t="s">
        <v>17</v>
      </c>
      <c r="J8" s="11" t="s">
        <v>18</v>
      </c>
      <c r="K8" s="16" t="s">
        <v>19</v>
      </c>
      <c r="L8" s="11" t="s">
        <v>20</v>
      </c>
      <c r="M8" s="11" t="s">
        <v>21</v>
      </c>
      <c r="N8" s="11" t="s">
        <v>22</v>
      </c>
      <c r="O8" s="11" t="s">
        <v>23</v>
      </c>
      <c r="P8" s="11" t="s">
        <v>24</v>
      </c>
      <c r="Q8" s="11" t="s">
        <v>25</v>
      </c>
      <c r="R8" s="1"/>
      <c r="S8" s="11" t="s">
        <v>25</v>
      </c>
      <c r="T8" s="11" t="s">
        <v>26</v>
      </c>
      <c r="U8" s="1"/>
      <c r="V8" s="1"/>
      <c r="W8" s="11" t="s">
        <v>14</v>
      </c>
      <c r="X8" s="11" t="s">
        <v>15</v>
      </c>
      <c r="Y8" s="11" t="s">
        <v>16</v>
      </c>
      <c r="Z8" s="11" t="s">
        <v>17</v>
      </c>
      <c r="AA8" s="11" t="s">
        <v>18</v>
      </c>
      <c r="AB8" s="16" t="s">
        <v>19</v>
      </c>
      <c r="AC8" s="11" t="s">
        <v>20</v>
      </c>
      <c r="AD8" s="11" t="s">
        <v>21</v>
      </c>
      <c r="AE8" s="11" t="s">
        <v>22</v>
      </c>
      <c r="AF8" s="11" t="s">
        <v>23</v>
      </c>
      <c r="AG8" s="11" t="s">
        <v>24</v>
      </c>
      <c r="AH8" s="11" t="s">
        <v>25</v>
      </c>
      <c r="AI8" s="1"/>
      <c r="AJ8" s="11" t="s">
        <v>25</v>
      </c>
      <c r="AK8" s="11" t="s">
        <v>26</v>
      </c>
      <c r="AL8" s="1"/>
      <c r="AM8" s="1"/>
      <c r="AN8" s="11" t="s">
        <v>14</v>
      </c>
      <c r="AO8" s="11" t="s">
        <v>15</v>
      </c>
      <c r="AP8" s="11" t="s">
        <v>16</v>
      </c>
      <c r="AQ8" s="11" t="s">
        <v>17</v>
      </c>
      <c r="AR8" s="11" t="s">
        <v>18</v>
      </c>
      <c r="AS8" s="16" t="s">
        <v>19</v>
      </c>
      <c r="AT8" s="11" t="s">
        <v>20</v>
      </c>
      <c r="AU8" s="11" t="s">
        <v>21</v>
      </c>
      <c r="AV8" s="11" t="s">
        <v>22</v>
      </c>
      <c r="AW8" s="11" t="s">
        <v>23</v>
      </c>
      <c r="AX8" s="11" t="s">
        <v>24</v>
      </c>
      <c r="AY8" s="11" t="s">
        <v>25</v>
      </c>
      <c r="AZ8" s="1"/>
      <c r="BA8" s="11" t="s">
        <v>25</v>
      </c>
      <c r="BB8" s="13" t="s">
        <v>26</v>
      </c>
      <c r="BC8" s="1"/>
      <c r="BD8" s="1"/>
      <c r="BE8" s="14" t="s">
        <v>14</v>
      </c>
      <c r="BF8" s="14" t="s">
        <v>15</v>
      </c>
      <c r="BG8" s="14" t="s">
        <v>16</v>
      </c>
      <c r="BH8" s="14" t="s">
        <v>17</v>
      </c>
      <c r="BI8" s="14" t="s">
        <v>18</v>
      </c>
      <c r="BJ8" s="17" t="s">
        <v>19</v>
      </c>
      <c r="BK8" s="14" t="s">
        <v>20</v>
      </c>
      <c r="BL8" s="14" t="s">
        <v>21</v>
      </c>
      <c r="BM8" s="14" t="s">
        <v>22</v>
      </c>
      <c r="BN8" s="14" t="s">
        <v>23</v>
      </c>
      <c r="BO8" s="14" t="s">
        <v>27</v>
      </c>
      <c r="BP8" s="14" t="s">
        <v>25</v>
      </c>
      <c r="BQ8" s="1"/>
      <c r="BR8" s="14" t="s">
        <v>25</v>
      </c>
      <c r="BS8" s="14" t="s">
        <v>26</v>
      </c>
      <c r="BT8" s="1"/>
      <c r="BU8" s="1"/>
      <c r="BV8" s="14" t="s">
        <v>14</v>
      </c>
      <c r="BW8" s="14" t="s">
        <v>15</v>
      </c>
      <c r="BX8" s="14" t="s">
        <v>16</v>
      </c>
      <c r="BY8" s="14" t="s">
        <v>17</v>
      </c>
      <c r="BZ8" s="14" t="s">
        <v>18</v>
      </c>
      <c r="CA8" s="17" t="s">
        <v>19</v>
      </c>
      <c r="CB8" s="14" t="s">
        <v>20</v>
      </c>
      <c r="CC8" s="14" t="s">
        <v>21</v>
      </c>
      <c r="CD8" s="14" t="s">
        <v>22</v>
      </c>
      <c r="CE8" s="14" t="s">
        <v>23</v>
      </c>
      <c r="CF8" s="14" t="s">
        <v>27</v>
      </c>
      <c r="CG8" s="14" t="s">
        <v>25</v>
      </c>
      <c r="CH8" s="1"/>
      <c r="CI8" s="14" t="s">
        <v>25</v>
      </c>
      <c r="CJ8" s="14" t="s">
        <v>26</v>
      </c>
      <c r="CK8" s="1"/>
      <c r="CL8" s="1"/>
      <c r="CM8" s="11"/>
      <c r="CN8" s="11"/>
      <c r="CO8" s="11" t="s">
        <v>16</v>
      </c>
      <c r="CP8" s="11"/>
      <c r="CQ8" s="11"/>
      <c r="CR8" s="16" t="s">
        <v>19</v>
      </c>
      <c r="CS8" s="11" t="s">
        <v>20</v>
      </c>
      <c r="CT8" s="11" t="s">
        <v>21</v>
      </c>
      <c r="CU8" s="11" t="s">
        <v>22</v>
      </c>
      <c r="CV8" s="11" t="s">
        <v>23</v>
      </c>
      <c r="CW8" s="11" t="s">
        <v>24</v>
      </c>
      <c r="CX8" s="11" t="s">
        <v>25</v>
      </c>
      <c r="CY8" s="1"/>
      <c r="CZ8" s="11" t="s">
        <v>25</v>
      </c>
      <c r="DA8" s="11" t="s">
        <v>26</v>
      </c>
      <c r="DB8" s="1"/>
      <c r="DC8" s="1"/>
      <c r="DD8" s="11" t="s">
        <v>14</v>
      </c>
      <c r="DE8" s="11" t="s">
        <v>15</v>
      </c>
      <c r="DF8" s="11" t="s">
        <v>16</v>
      </c>
      <c r="DG8" s="11" t="s">
        <v>17</v>
      </c>
      <c r="DH8" s="11" t="s">
        <v>18</v>
      </c>
      <c r="DI8" s="16" t="s">
        <v>19</v>
      </c>
      <c r="DJ8" s="11" t="s">
        <v>20</v>
      </c>
      <c r="DK8" s="11" t="s">
        <v>21</v>
      </c>
      <c r="DL8" s="11" t="s">
        <v>22</v>
      </c>
      <c r="DM8" s="11" t="s">
        <v>23</v>
      </c>
      <c r="DN8" s="11" t="s">
        <v>24</v>
      </c>
      <c r="DO8" s="11" t="s">
        <v>25</v>
      </c>
      <c r="DP8" s="1"/>
      <c r="DQ8" s="11" t="s">
        <v>25</v>
      </c>
      <c r="DR8" s="11" t="s">
        <v>26</v>
      </c>
      <c r="DS8" s="1"/>
      <c r="DT8" s="1"/>
      <c r="DU8" s="14" t="s">
        <v>14</v>
      </c>
      <c r="DV8" s="14" t="s">
        <v>15</v>
      </c>
      <c r="DW8" s="14" t="s">
        <v>16</v>
      </c>
      <c r="DX8" s="14" t="s">
        <v>17</v>
      </c>
      <c r="DY8" s="14" t="s">
        <v>18</v>
      </c>
      <c r="DZ8" s="17" t="s">
        <v>19</v>
      </c>
      <c r="EA8" s="14" t="s">
        <v>20</v>
      </c>
      <c r="EB8" s="14" t="s">
        <v>21</v>
      </c>
      <c r="EC8" s="14" t="s">
        <v>22</v>
      </c>
      <c r="ED8" s="14" t="s">
        <v>23</v>
      </c>
      <c r="EE8" s="14" t="s">
        <v>27</v>
      </c>
      <c r="EF8" s="14" t="s">
        <v>25</v>
      </c>
      <c r="EG8" s="1"/>
      <c r="EH8" s="14" t="s">
        <v>25</v>
      </c>
      <c r="EI8" s="14" t="s">
        <v>26</v>
      </c>
    </row>
    <row r="9" spans="1:139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8"/>
      <c r="R9" s="1"/>
      <c r="S9" s="1"/>
      <c r="T9" s="18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8"/>
      <c r="AI9" s="1"/>
      <c r="AJ9" s="18"/>
      <c r="AK9" s="18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8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8"/>
      <c r="BQ9" s="1"/>
      <c r="BR9" s="1"/>
      <c r="BS9" s="18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8"/>
      <c r="CH9" s="1"/>
      <c r="CI9" s="1"/>
      <c r="CJ9" s="18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8"/>
      <c r="CY9" s="1"/>
      <c r="CZ9" s="1"/>
      <c r="DA9" s="18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8"/>
      <c r="DP9" s="1"/>
      <c r="DQ9" s="18"/>
      <c r="DR9" s="18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8"/>
      <c r="EG9" s="1"/>
      <c r="EH9" s="1"/>
      <c r="EI9" s="18"/>
    </row>
    <row r="10" spans="1:139" x14ac:dyDescent="0.2">
      <c r="A10" s="1"/>
      <c r="B10" s="1"/>
      <c r="C10" s="1"/>
      <c r="D10" s="1"/>
      <c r="E10" s="1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20"/>
      <c r="R10" s="1"/>
      <c r="S10" s="19"/>
      <c r="T10" s="20"/>
      <c r="U10" s="1"/>
      <c r="V10" s="1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20"/>
      <c r="AI10" s="1"/>
      <c r="AJ10" s="20"/>
      <c r="AK10" s="20"/>
      <c r="AL10" s="1"/>
      <c r="AM10" s="1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20"/>
      <c r="AZ10" s="1"/>
      <c r="BA10" s="19"/>
      <c r="BB10" s="19"/>
      <c r="BC10" s="1"/>
      <c r="BD10" s="1"/>
      <c r="BE10" s="19">
        <f t="shared" ref="BE10:BF10" si="0">F10-AN10</f>
        <v>0</v>
      </c>
      <c r="BF10" s="19">
        <f t="shared" si="0"/>
        <v>0</v>
      </c>
      <c r="BG10" s="19">
        <f t="shared" ref="BG10" si="1">SUM(BE10:BF10)</f>
        <v>0</v>
      </c>
      <c r="BH10" s="19">
        <f t="shared" ref="BH10:BI10" si="2">I10-AQ10</f>
        <v>0</v>
      </c>
      <c r="BI10" s="19">
        <f t="shared" si="2"/>
        <v>0</v>
      </c>
      <c r="BJ10" s="19">
        <f t="shared" ref="BJ10" si="3">SUM(BH10:BI10)</f>
        <v>0</v>
      </c>
      <c r="BK10" s="19">
        <f t="shared" ref="BK10:BM10" si="4">L10-AT10</f>
        <v>0</v>
      </c>
      <c r="BL10" s="19">
        <f t="shared" si="4"/>
        <v>0</v>
      </c>
      <c r="BM10" s="19">
        <f t="shared" si="4"/>
        <v>0</v>
      </c>
      <c r="BN10" s="19">
        <f t="shared" ref="BN10" si="5">SUM(BK10:BM10)</f>
        <v>0</v>
      </c>
      <c r="BO10" s="19">
        <f t="shared" ref="BO10:BP10" si="6">P10-AX10</f>
        <v>0</v>
      </c>
      <c r="BP10" s="20">
        <f t="shared" si="6"/>
        <v>0</v>
      </c>
      <c r="BQ10" s="1"/>
      <c r="BR10" s="19">
        <f t="shared" ref="BR10" si="7">S10-BA10</f>
        <v>0</v>
      </c>
      <c r="BS10" s="20">
        <f t="shared" ref="BS10" si="8">BR10-BP10</f>
        <v>0</v>
      </c>
      <c r="BT10" s="1"/>
      <c r="BU10" s="1"/>
      <c r="BV10" s="19">
        <f t="shared" ref="BV10:BW10" si="9">F10-W10</f>
        <v>0</v>
      </c>
      <c r="BW10" s="19">
        <f t="shared" si="9"/>
        <v>0</v>
      </c>
      <c r="BX10" s="19">
        <f t="shared" ref="BX10" si="10">SUM(BV10:BW10)</f>
        <v>0</v>
      </c>
      <c r="BY10" s="19">
        <f t="shared" ref="BY10:BZ10" si="11">I10-Z10</f>
        <v>0</v>
      </c>
      <c r="BZ10" s="19">
        <f t="shared" si="11"/>
        <v>0</v>
      </c>
      <c r="CA10" s="19">
        <f t="shared" ref="CA10" si="12">SUM(BY10:BZ10)</f>
        <v>0</v>
      </c>
      <c r="CB10" s="19">
        <f t="shared" ref="CB10:CD10" si="13">L10-AC10</f>
        <v>0</v>
      </c>
      <c r="CC10" s="19">
        <f t="shared" si="13"/>
        <v>0</v>
      </c>
      <c r="CD10" s="19">
        <f t="shared" si="13"/>
        <v>0</v>
      </c>
      <c r="CE10" s="19">
        <f t="shared" ref="CE10" si="14">SUM(CB10:CD10)</f>
        <v>0</v>
      </c>
      <c r="CF10" s="19">
        <f t="shared" ref="CF10" si="15">P10-AI10</f>
        <v>0</v>
      </c>
      <c r="CG10" s="20">
        <f t="shared" ref="CG10" si="16">Q10-AH10</f>
        <v>0</v>
      </c>
      <c r="CH10" s="1"/>
      <c r="CI10" s="19">
        <f t="shared" ref="CI10" si="17">S10-AJ10</f>
        <v>0</v>
      </c>
      <c r="CJ10" s="20">
        <f t="shared" ref="CJ10" si="18">CI10-CG10</f>
        <v>0</v>
      </c>
      <c r="CK10" s="1"/>
      <c r="CL10" s="1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20"/>
      <c r="CY10" s="1"/>
      <c r="CZ10" s="19"/>
      <c r="DA10" s="20"/>
      <c r="DB10" s="1"/>
      <c r="DC10" s="1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20"/>
      <c r="DP10" s="1"/>
      <c r="DQ10" s="20"/>
      <c r="DR10" s="20"/>
      <c r="DS10" s="1"/>
      <c r="DT10" s="1"/>
      <c r="DU10" s="19">
        <f t="shared" ref="DU10:DV10" si="19">CM10-DD10</f>
        <v>0</v>
      </c>
      <c r="DV10" s="19">
        <f t="shared" si="19"/>
        <v>0</v>
      </c>
      <c r="DW10" s="19">
        <f t="shared" ref="DW10" si="20">SUM(DU10:DV10)</f>
        <v>0</v>
      </c>
      <c r="DX10" s="19">
        <f t="shared" ref="DX10:DY10" si="21">CP10-DG10</f>
        <v>0</v>
      </c>
      <c r="DY10" s="19">
        <f t="shared" si="21"/>
        <v>0</v>
      </c>
      <c r="DZ10" s="19">
        <f t="shared" ref="DZ10" si="22">SUM(DX10:DY10)</f>
        <v>0</v>
      </c>
      <c r="EA10" s="19">
        <f t="shared" ref="EA10:EC10" si="23">CS10-DJ10</f>
        <v>0</v>
      </c>
      <c r="EB10" s="19">
        <f t="shared" si="23"/>
        <v>0</v>
      </c>
      <c r="EC10" s="19">
        <f t="shared" si="23"/>
        <v>0</v>
      </c>
      <c r="ED10" s="19">
        <f t="shared" ref="ED10" si="24">SUM(EA10:EC10)</f>
        <v>0</v>
      </c>
      <c r="EE10" s="19">
        <f t="shared" ref="EE10" si="25">CW10-DP10</f>
        <v>0</v>
      </c>
      <c r="EF10" s="20">
        <f t="shared" ref="EF10" si="26">CX10-DO10</f>
        <v>0</v>
      </c>
      <c r="EG10" s="1"/>
      <c r="EH10" s="19">
        <f t="shared" ref="EH10" si="27">CZ10-DQ10</f>
        <v>0</v>
      </c>
      <c r="EI10" s="20">
        <f t="shared" ref="EI10" si="28">EH10-EF10</f>
        <v>0</v>
      </c>
    </row>
  </sheetData>
  <pageMargins left="0.7" right="0.7" top="0.75" bottom="0.75" header="0.3" footer="0.3"/>
  <pageSetup scale="75" orientation="portrait" horizontalDpi="4294967292" verticalDpi="4294967292" r:id="rId1"/>
  <headerFooter>
    <oddFooter>&amp;L&amp;Z&amp;F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1575B-6E1C-2B40-A6C6-EE5DB66823E9}">
  <dimension ref="A1:E12"/>
  <sheetViews>
    <sheetView workbookViewId="0">
      <selection activeCell="H34" sqref="H34"/>
    </sheetView>
  </sheetViews>
  <sheetFormatPr baseColWidth="10" defaultRowHeight="15" x14ac:dyDescent="0.2"/>
  <sheetData>
    <row r="1" spans="1:5" x14ac:dyDescent="0.2">
      <c r="A1" s="1"/>
      <c r="B1" s="1"/>
      <c r="C1" s="1"/>
      <c r="D1" s="1"/>
      <c r="E1" s="1"/>
    </row>
    <row r="2" spans="1:5" x14ac:dyDescent="0.2">
      <c r="A2" s="1"/>
      <c r="B2" s="1"/>
      <c r="C2" s="1"/>
      <c r="D2" s="1"/>
      <c r="E2" s="1"/>
    </row>
    <row r="3" spans="1:5" x14ac:dyDescent="0.2">
      <c r="A3" s="2" t="s">
        <v>0</v>
      </c>
      <c r="B3" s="1"/>
      <c r="C3" s="1"/>
      <c r="D3" s="1"/>
      <c r="E3" s="1"/>
    </row>
    <row r="4" spans="1:5" x14ac:dyDescent="0.2">
      <c r="A4" s="2" t="s">
        <v>1</v>
      </c>
      <c r="B4" s="1"/>
      <c r="C4" s="1"/>
      <c r="D4" s="1"/>
      <c r="E4" s="1"/>
    </row>
    <row r="5" spans="1:5" x14ac:dyDescent="0.2">
      <c r="A5" s="2" t="s">
        <v>2</v>
      </c>
      <c r="B5" s="1"/>
      <c r="C5" s="1"/>
      <c r="D5" s="1"/>
      <c r="E5" s="1"/>
    </row>
    <row r="6" spans="1:5" x14ac:dyDescent="0.2">
      <c r="A6" s="2" t="s">
        <v>31</v>
      </c>
      <c r="B6" s="1"/>
      <c r="C6" s="1"/>
      <c r="D6" s="1"/>
      <c r="E6" s="1"/>
    </row>
    <row r="7" spans="1:5" x14ac:dyDescent="0.2">
      <c r="A7" s="1" t="s">
        <v>32</v>
      </c>
      <c r="B7" s="1"/>
      <c r="C7" s="1"/>
      <c r="D7" s="1"/>
      <c r="E7" s="1"/>
    </row>
    <row r="8" spans="1:5" x14ac:dyDescent="0.2">
      <c r="B8" s="1"/>
      <c r="C8" s="1"/>
      <c r="D8" s="1"/>
      <c r="E8" s="1"/>
    </row>
    <row r="9" spans="1:5" x14ac:dyDescent="0.2">
      <c r="B9" s="2"/>
      <c r="C9" s="2"/>
      <c r="D9" s="2"/>
      <c r="E9" s="2"/>
    </row>
    <row r="10" spans="1:5" x14ac:dyDescent="0.2">
      <c r="B10" s="1"/>
      <c r="C10" s="1"/>
      <c r="D10" s="1"/>
      <c r="E10" s="1"/>
    </row>
    <row r="11" spans="1:5" x14ac:dyDescent="0.2">
      <c r="A11" s="1"/>
      <c r="B11" s="1"/>
      <c r="C11" s="1"/>
      <c r="D11" s="1"/>
      <c r="E11" s="1"/>
    </row>
    <row r="12" spans="1:5" x14ac:dyDescent="0.2">
      <c r="A12" s="1"/>
      <c r="B12" s="1"/>
      <c r="C12" s="1"/>
      <c r="D12" s="1"/>
      <c r="E12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88EC0-47E9-014C-BE73-5BD7EB729202}">
  <dimension ref="A1:E12"/>
  <sheetViews>
    <sheetView workbookViewId="0">
      <selection activeCell="D26" sqref="D26"/>
    </sheetView>
  </sheetViews>
  <sheetFormatPr baseColWidth="10" defaultRowHeight="15" x14ac:dyDescent="0.2"/>
  <sheetData>
    <row r="1" spans="1:5" x14ac:dyDescent="0.2">
      <c r="A1" s="1"/>
      <c r="B1" s="1"/>
      <c r="C1" s="1"/>
      <c r="D1" s="1"/>
      <c r="E1" s="1"/>
    </row>
    <row r="2" spans="1:5" x14ac:dyDescent="0.2">
      <c r="A2" s="1"/>
      <c r="B2" s="1"/>
      <c r="C2" s="1"/>
      <c r="D2" s="1"/>
      <c r="E2" s="1"/>
    </row>
    <row r="3" spans="1:5" x14ac:dyDescent="0.2">
      <c r="A3" s="2" t="s">
        <v>0</v>
      </c>
      <c r="B3" s="1"/>
      <c r="C3" s="1"/>
      <c r="D3" s="1"/>
      <c r="E3" s="1"/>
    </row>
    <row r="4" spans="1:5" x14ac:dyDescent="0.2">
      <c r="A4" s="2" t="s">
        <v>1</v>
      </c>
      <c r="B4" s="1"/>
      <c r="C4" s="1"/>
      <c r="D4" s="1"/>
      <c r="E4" s="1"/>
    </row>
    <row r="5" spans="1:5" x14ac:dyDescent="0.2">
      <c r="A5" s="2" t="s">
        <v>2</v>
      </c>
      <c r="B5" s="1"/>
      <c r="C5" s="1"/>
      <c r="D5" s="1"/>
      <c r="E5" s="1"/>
    </row>
    <row r="6" spans="1:5" x14ac:dyDescent="0.2">
      <c r="A6" s="2" t="s">
        <v>31</v>
      </c>
      <c r="B6" s="1"/>
      <c r="C6" s="1"/>
      <c r="D6" s="1"/>
      <c r="E6" s="1"/>
    </row>
    <row r="7" spans="1:5" x14ac:dyDescent="0.2">
      <c r="A7" s="1" t="s">
        <v>32</v>
      </c>
      <c r="B7" s="1"/>
      <c r="C7" s="1"/>
      <c r="D7" s="1"/>
      <c r="E7" s="1"/>
    </row>
    <row r="8" spans="1:5" x14ac:dyDescent="0.2">
      <c r="B8" s="1"/>
      <c r="C8" s="1"/>
      <c r="D8" s="1"/>
      <c r="E8" s="1"/>
    </row>
    <row r="9" spans="1:5" x14ac:dyDescent="0.2">
      <c r="B9" s="2"/>
      <c r="C9" s="2"/>
      <c r="D9" s="2"/>
      <c r="E9" s="2"/>
    </row>
    <row r="10" spans="1:5" x14ac:dyDescent="0.2">
      <c r="B10" s="1"/>
      <c r="C10" s="1"/>
      <c r="D10" s="1"/>
      <c r="E10" s="1"/>
    </row>
    <row r="11" spans="1:5" x14ac:dyDescent="0.2">
      <c r="A11" s="1"/>
      <c r="B11" s="1"/>
      <c r="C11" s="1"/>
      <c r="D11" s="1"/>
      <c r="E11" s="1"/>
    </row>
    <row r="12" spans="1:5" x14ac:dyDescent="0.2">
      <c r="A12" s="1"/>
      <c r="B12" s="1"/>
      <c r="C12" s="1"/>
      <c r="D12" s="1"/>
      <c r="E12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D8FA9-EE0B-C741-A060-1A0AE61D78D0}">
  <dimension ref="A1:E12"/>
  <sheetViews>
    <sheetView workbookViewId="0">
      <selection activeCell="F35" sqref="F35"/>
    </sheetView>
  </sheetViews>
  <sheetFormatPr baseColWidth="10" defaultRowHeight="15" x14ac:dyDescent="0.2"/>
  <sheetData>
    <row r="1" spans="1:5" x14ac:dyDescent="0.2">
      <c r="A1" s="1"/>
      <c r="B1" s="1"/>
      <c r="C1" s="1"/>
      <c r="D1" s="1"/>
      <c r="E1" s="1"/>
    </row>
    <row r="2" spans="1:5" x14ac:dyDescent="0.2">
      <c r="A2" s="1"/>
      <c r="B2" s="1"/>
      <c r="C2" s="1"/>
      <c r="D2" s="1"/>
      <c r="E2" s="1"/>
    </row>
    <row r="3" spans="1:5" x14ac:dyDescent="0.2">
      <c r="A3" s="2" t="s">
        <v>0</v>
      </c>
      <c r="B3" s="1"/>
      <c r="C3" s="1"/>
      <c r="D3" s="1"/>
      <c r="E3" s="1"/>
    </row>
    <row r="4" spans="1:5" x14ac:dyDescent="0.2">
      <c r="A4" s="2" t="s">
        <v>1</v>
      </c>
      <c r="B4" s="1"/>
      <c r="C4" s="1"/>
      <c r="D4" s="1"/>
      <c r="E4" s="1"/>
    </row>
    <row r="5" spans="1:5" x14ac:dyDescent="0.2">
      <c r="A5" s="2" t="s">
        <v>2</v>
      </c>
      <c r="B5" s="1"/>
      <c r="C5" s="1"/>
      <c r="D5" s="1"/>
      <c r="E5" s="1"/>
    </row>
    <row r="6" spans="1:5" x14ac:dyDescent="0.2">
      <c r="A6" s="2" t="s">
        <v>31</v>
      </c>
      <c r="B6" s="1"/>
      <c r="C6" s="1"/>
      <c r="D6" s="1"/>
      <c r="E6" s="1"/>
    </row>
    <row r="7" spans="1:5" x14ac:dyDescent="0.2">
      <c r="A7" s="1" t="s">
        <v>32</v>
      </c>
      <c r="B7" s="1"/>
      <c r="C7" s="1"/>
      <c r="D7" s="1"/>
      <c r="E7" s="1"/>
    </row>
    <row r="8" spans="1:5" x14ac:dyDescent="0.2">
      <c r="B8" s="1"/>
      <c r="C8" s="1"/>
      <c r="D8" s="1"/>
      <c r="E8" s="1"/>
    </row>
    <row r="9" spans="1:5" x14ac:dyDescent="0.2">
      <c r="B9" s="2"/>
      <c r="C9" s="2"/>
      <c r="D9" s="2"/>
      <c r="E9" s="2"/>
    </row>
    <row r="10" spans="1:5" x14ac:dyDescent="0.2">
      <c r="B10" s="1"/>
      <c r="C10" s="1"/>
      <c r="D10" s="1"/>
      <c r="E10" s="1"/>
    </row>
    <row r="11" spans="1:5" x14ac:dyDescent="0.2">
      <c r="A11" s="1"/>
      <c r="B11" s="1"/>
      <c r="C11" s="1"/>
      <c r="D11" s="1"/>
      <c r="E11" s="1"/>
    </row>
    <row r="12" spans="1:5" x14ac:dyDescent="0.2">
      <c r="A12" s="1"/>
      <c r="B12" s="1"/>
      <c r="C12" s="1"/>
      <c r="D12" s="1"/>
      <c r="E12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BS Seg Total</vt:lpstr>
      <vt:lpstr>BS BU Seg CY</vt:lpstr>
      <vt:lpstr>BS BU Seg PY</vt:lpstr>
      <vt:lpstr>BS BU Seg Last Period PY</vt:lpstr>
      <vt:lpstr>'BS Seg Total'!Print_Area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2020-07-02T18:51:32Z</dcterms:created>
  <dcterms:modified xsi:type="dcterms:W3CDTF">2020-07-04T21:33:18Z</dcterms:modified>
</cp:coreProperties>
</file>